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Invullen groen" sheetId="1" state="visible" r:id="rId1"/>
    <sheet name="Administratieve wijz en Coda" sheetId="2" state="visible" r:id="rId2"/>
    <sheet name="Raad" sheetId="3" state="visible" r:id="rId3"/>
    <sheet name="Totaaloverzicht" sheetId="4" state="visible" r:id="rId4"/>
    <sheet name="Samenvatting" sheetId="5" state="visible" r:id="rId5"/>
    <sheet name="Dekking" sheetId="6" state="visible" r:id="rId6"/>
    <sheet name="Tabellen" sheetId="7" state="visible" r:id="rId7"/>
  </sheets>
  <definedNames/>
  <calcPr calcId="191029" fullCalcOnLoad="1" iterateDelta="0.0001" calcCompleted="0"/>
</workbook>
</file>

<file path=xl/styles.xml><?xml version="1.0" encoding="utf-8"?>
<styleSheet xmlns="http://schemas.openxmlformats.org/spreadsheetml/2006/main">
  <numFmts count="2">
    <numFmt numFmtId="164" formatCode="0_ ;\-0\ "/>
    <numFmt numFmtId="165" formatCode="_-* #,##0.00_-;_-* #,##0.00\-;_-* &quot;-&quot;??_-;_-@_-"/>
  </numFmts>
  <fonts count="5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Tahoma"/>
      <family val="2"/>
      <b val="1"/>
      <color theme="1"/>
      <sz val="10"/>
    </font>
    <font>
      <name val="Tahoma"/>
      <family val="2"/>
      <color theme="1"/>
      <sz val="10"/>
    </font>
    <font>
      <name val="Tahoma"/>
      <family val="2"/>
      <i val="1"/>
      <color theme="1"/>
      <sz val="10"/>
    </font>
    <font>
      <name val="Tahoma"/>
      <family val="2"/>
      <color rgb="FF002060"/>
      <sz val="10"/>
    </font>
    <font>
      <name val="Tahoma"/>
      <family val="2"/>
      <i val="1"/>
      <color rgb="FF002060"/>
      <sz val="10"/>
    </font>
    <font>
      <name val="Tahoma"/>
      <family val="2"/>
      <b val="1"/>
      <color rgb="FF002060"/>
      <sz val="10"/>
    </font>
    <font>
      <name val="Calibri"/>
      <family val="2"/>
      <color rgb="FF002060"/>
      <sz val="11"/>
      <scheme val="minor"/>
    </font>
    <font>
      <name val="Calibri"/>
      <family val="2"/>
      <i val="1"/>
      <color rgb="FF002060"/>
      <sz val="11"/>
      <scheme val="minor"/>
    </font>
    <font>
      <name val="Tahoma"/>
      <family val="2"/>
      <b val="1"/>
      <sz val="10"/>
    </font>
    <font>
      <name val="Tahoma"/>
      <family val="2"/>
      <sz val="10"/>
    </font>
    <font>
      <name val="Tahoma"/>
      <family val="2"/>
      <i val="1"/>
      <sz val="10"/>
    </font>
    <font>
      <name val="Tahoma"/>
      <family val="2"/>
      <color theme="4" tint="-0.499984740745262"/>
      <sz val="10"/>
    </font>
    <font>
      <name val="Arial"/>
      <family val="2"/>
      <sz val="10"/>
    </font>
    <font>
      <name val="Helv"/>
      <sz val="12"/>
    </font>
    <font>
      <name val="Tahoma"/>
      <family val="2"/>
      <color rgb="FF000000"/>
      <sz val="10"/>
    </font>
    <font>
      <name val="Arial"/>
      <family val="2"/>
      <color rgb="FF000000"/>
      <sz val="10"/>
    </font>
    <font>
      <name val="Calibri"/>
      <sz val="11"/>
    </font>
    <font>
      <name val="Calibri"/>
      <b val="1"/>
      <color rgb="FFFFFFFF"/>
      <sz val="9"/>
    </font>
    <font>
      <name val="Calibri"/>
      <color rgb="FF0D1E35"/>
      <sz val="9"/>
    </font>
    <font>
      <name val="Calibri"/>
      <b val="1"/>
      <color rgb="FF7A2020"/>
      <sz val="9"/>
    </font>
    <font>
      <name val="Calibri"/>
      <b val="1"/>
      <color rgb="FF1A6448"/>
      <sz val="9"/>
    </font>
    <font>
      <name val="Calibri"/>
      <b val="1"/>
      <color rgb="FFFFFFFF"/>
      <sz val="10"/>
    </font>
    <font>
      <name val="Calibri"/>
      <i val="1"/>
      <color rgb="FF7A94AE"/>
      <sz val="9"/>
    </font>
    <font>
      <name val="Calibri"/>
      <b val="1"/>
      <color rgb="FF0D1E35"/>
      <sz val="9"/>
    </font>
    <font>
      <name val="Calibri"/>
      <color rgb="FF1A5FA8"/>
      <sz val="9"/>
    </font>
    <font>
      <name val="Calibri"/>
      <b val="1"/>
      <color rgb="FF7A5C00"/>
      <sz val="10"/>
    </font>
    <font>
      <name val="Calibri"/>
      <color rgb="FF7A5C00"/>
      <sz val="9"/>
    </font>
    <font>
      <name val="Calibri"/>
      <b val="1"/>
      <color rgb="FF1A5FA8"/>
      <sz val="9"/>
    </font>
    <font>
      <name val="Calibri"/>
      <b val="1"/>
      <sz val="9"/>
    </font>
    <font>
      <name val="Calibri"/>
      <i val="1"/>
      <sz val="8"/>
    </font>
    <font>
      <name val="Calibri"/>
      <b val="1"/>
      <color rgb="FFFFFFFF"/>
      <sz val="11"/>
    </font>
    <font>
      <name val="Calibri"/>
      <color rgb="FF000000"/>
      <sz val="9"/>
    </font>
    <font>
      <name val="Calibri"/>
      <b val="1"/>
      <color rgb="FF000000"/>
      <sz val="9"/>
    </font>
    <font>
      <name val="Calibri"/>
      <i val="1"/>
      <color rgb="FF888888"/>
      <sz val="9"/>
    </font>
    <font>
      <name val="Calibri"/>
      <b val="1"/>
      <i val="1"/>
      <color rgb="FF000000"/>
      <sz val="9"/>
    </font>
    <font>
      <name val="Calibri"/>
      <b val="1"/>
      <color rgb="FF1B5E20"/>
      <sz val="9"/>
    </font>
    <font>
      <name val="Calibri"/>
      <b val="1"/>
      <color rgb="FF7D5A00"/>
      <sz val="9"/>
    </font>
    <font>
      <name val="Calibri"/>
      <b val="1"/>
      <color rgb="FFFFFFFF"/>
      <sz val="12"/>
    </font>
    <font>
      <name val="Calibri"/>
      <i val="1"/>
      <color rgb="FF7A94AE"/>
      <sz val="10"/>
    </font>
    <font>
      <name val="Calibri"/>
      <color rgb="FFFFFFFF"/>
      <sz val="12"/>
    </font>
    <font>
      <name val="Calibri"/>
      <i val="1"/>
      <color rgb="FF888888"/>
      <sz val="8"/>
    </font>
    <font>
      <name val="Calibri"/>
      <b val="1"/>
      <i val="1"/>
      <color rgb="FF0D1E35"/>
      <sz val="9"/>
    </font>
    <font>
      <name val="Calibri"/>
      <b val="1"/>
      <color rgb="FF0D1E35"/>
      <sz val="10"/>
    </font>
    <font>
      <name val="Calibri"/>
      <b val="1"/>
      <sz val="11"/>
    </font>
    <font>
      <name val="Calibri"/>
      <color theme="1"/>
      <sz val="10"/>
    </font>
    <font>
      <name val="Calibri"/>
      <b val="1"/>
      <color theme="1"/>
      <sz val="10"/>
    </font>
    <font>
      <name val="Calibri"/>
      <i val="1"/>
      <color rgb="FF002060"/>
      <sz val="10"/>
    </font>
    <font>
      <name val="Calibri"/>
      <color rgb="FF002060"/>
      <sz val="10"/>
    </font>
    <font>
      <name val="Calibri"/>
      <i val="1"/>
      <color theme="1"/>
      <sz val="10"/>
    </font>
    <font>
      <name val="Calibri"/>
      <b val="1"/>
      <color rgb="FF002060"/>
      <sz val="10"/>
    </font>
    <font>
      <name val="Calibri"/>
      <b val="1"/>
      <color rgb="FFFFFFFF"/>
      <sz val="9"/>
      <scheme val="minor"/>
    </font>
    <font>
      <name val="Calibri"/>
      <b val="1"/>
      <color rgb="FF0D1E35"/>
      <sz val="9"/>
      <scheme val="minor"/>
    </font>
    <font>
      <name val="Calibri"/>
      <color rgb="FF002060"/>
      <sz val="11"/>
      <scheme val="minor"/>
    </font>
    <font>
      <name val="Calibri"/>
      <family val="2"/>
      <i val="1"/>
      <color rgb="FF002060"/>
      <sz val="10"/>
    </font>
    <font>
      <name val="Calibri"/>
      <family val="2"/>
      <b val="1"/>
      <color rgb="FF0D1E35"/>
      <sz val="9"/>
    </font>
    <font>
      <name val="Calibri"/>
      <family val="2"/>
      <color rgb="FFFFFFFF"/>
      <sz val="12"/>
    </font>
  </fonts>
  <fills count="32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5E5E5"/>
      </patternFill>
    </fill>
    <fill>
      <patternFill patternType="solid">
        <fgColor rgb="FFE3F2EB"/>
      </patternFill>
    </fill>
    <fill>
      <patternFill patternType="solid">
        <fgColor rgb="FF7A2020"/>
      </patternFill>
    </fill>
    <fill>
      <patternFill patternType="solid">
        <fgColor rgb="FF1A6448"/>
      </patternFill>
    </fill>
    <fill>
      <patternFill patternType="solid">
        <fgColor rgb="FFFFFF99"/>
      </patternFill>
    </fill>
    <fill>
      <patternFill patternType="solid">
        <fgColor rgb="FFD0E8F8"/>
      </patternFill>
    </fill>
    <fill>
      <patternFill patternType="solid">
        <fgColor rgb="FF0D1E35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1A5FA8"/>
      </patternFill>
    </fill>
    <fill>
      <patternFill patternType="solid">
        <fgColor rgb="FFE4EDF8"/>
      </patternFill>
    </fill>
    <fill>
      <patternFill patternType="solid">
        <fgColor rgb="FFE0E0E0"/>
      </patternFill>
    </fill>
    <fill>
      <patternFill patternType="solid">
        <fgColor rgb="FFE8F5E9"/>
      </patternFill>
    </fill>
    <fill>
      <patternFill patternType="solid">
        <fgColor rgb="FFFFF3CD"/>
      </patternFill>
    </fill>
    <fill>
      <patternFill patternType="solid">
        <fgColor rgb="FFDFF7DF"/>
      </patternFill>
    </fill>
    <fill>
      <patternFill patternType="solid">
        <fgColor rgb="FFD6EAF8"/>
      </patternFill>
    </fill>
    <fill>
      <patternFill patternType="solid">
        <fgColor rgb="FFD8F0D8"/>
      </patternFill>
    </fill>
    <fill>
      <patternFill patternType="solid">
        <fgColor rgb="FFFDE8D8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0D1E35"/>
        <bgColor indexed="64"/>
      </patternFill>
    </fill>
    <fill>
      <patternFill patternType="solid">
        <fgColor rgb="FF1A5FA8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D6EAF8"/>
        <bgColor indexed="64"/>
      </patternFill>
    </fill>
  </fills>
  <borders count="23">
    <border>
      <left/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7A2020"/>
      </bottom>
      <diagonal/>
    </border>
    <border>
      <left/>
      <right/>
      <top/>
      <bottom style="thin">
        <color rgb="FF1A6448"/>
      </bottom>
      <diagonal/>
    </border>
    <border>
      <left/>
      <right/>
      <top/>
      <bottom style="thin">
        <color rgb="FFC8D6E5"/>
      </bottom>
      <diagonal/>
    </border>
    <border>
      <left/>
      <right/>
      <top style="thin">
        <color rgb="FFC9A227"/>
      </top>
      <bottom/>
      <diagonal/>
    </border>
    <border>
      <left/>
      <right/>
      <top style="thin">
        <color rgb="FFC9A227"/>
      </top>
      <bottom style="thin">
        <color rgb="FFC9A227"/>
      </bottom>
      <diagonal/>
    </border>
    <border>
      <left/>
      <right/>
      <top/>
      <bottom style="thin">
        <color rgb="FF1A5FA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8">
    <xf numFmtId="0" fontId="0" fillId="0" borderId="14"/>
    <xf numFmtId="0" fontId="3" fillId="5" borderId="14" applyAlignment="1">
      <alignment horizontal="center"/>
    </xf>
    <xf numFmtId="0" fontId="3" fillId="5" borderId="14" applyAlignment="1">
      <alignment horizontal="center"/>
    </xf>
    <xf numFmtId="0" fontId="5" fillId="7" borderId="1" applyAlignment="1" applyProtection="1">
      <alignment horizontal="center"/>
      <protection locked="0" hidden="0"/>
    </xf>
    <xf numFmtId="0" fontId="14" fillId="0" borderId="14"/>
    <xf numFmtId="0" fontId="15" fillId="0" borderId="14"/>
    <xf numFmtId="165" fontId="14" fillId="0" borderId="14"/>
    <xf numFmtId="0" fontId="14" fillId="0" borderId="14"/>
  </cellStyleXfs>
  <cellXfs count="41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6" fillId="2" borderId="1" applyAlignment="1" pivotButton="0" quotePrefix="0" xfId="0">
      <alignment horizontal="left"/>
    </xf>
    <xf numFmtId="0" fontId="6" fillId="2" borderId="1" pivotButton="0" quotePrefix="0" xfId="0"/>
    <xf numFmtId="0" fontId="6" fillId="2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8" fillId="0" borderId="1" pivotButton="0" quotePrefix="0" xfId="0"/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right"/>
    </xf>
    <xf numFmtId="0" fontId="9" fillId="4" borderId="1" pivotButton="0" quotePrefix="0" xfId="0"/>
    <xf numFmtId="0" fontId="6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left"/>
    </xf>
    <xf numFmtId="0" fontId="6" fillId="2" borderId="4" pivotButton="0" quotePrefix="0" xfId="0"/>
    <xf numFmtId="0" fontId="5" fillId="2" borderId="4" pivotButton="0" quotePrefix="0" xfId="0"/>
    <xf numFmtId="0" fontId="5" fillId="0" borderId="4" pivotButton="0" quotePrefix="0" xfId="0"/>
    <xf numFmtId="0" fontId="6" fillId="4" borderId="4" pivotButton="0" quotePrefix="0" xfId="0"/>
    <xf numFmtId="0" fontId="6" fillId="4" borderId="1" applyAlignment="1" pivotButton="0" quotePrefix="0" xfId="0">
      <alignment horizontal="center"/>
    </xf>
    <xf numFmtId="0" fontId="4" fillId="4" borderId="0" pivotButton="0" quotePrefix="0" xfId="0"/>
    <xf numFmtId="0" fontId="6" fillId="2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3" fillId="6" borderId="6" applyAlignment="1" pivotButton="0" quotePrefix="0" xfId="0">
      <alignment horizontal="center"/>
    </xf>
    <xf numFmtId="0" fontId="13" fillId="6" borderId="9" pivotButton="0" quotePrefix="0" xfId="0"/>
    <xf numFmtId="0" fontId="13" fillId="6" borderId="11" applyAlignment="1" pivotButton="0" quotePrefix="0" xfId="0">
      <alignment horizontal="center"/>
    </xf>
    <xf numFmtId="0" fontId="13" fillId="6" borderId="12" pivotButton="0" quotePrefix="0" xfId="0"/>
    <xf numFmtId="0" fontId="3" fillId="8" borderId="0" pivotButton="0" quotePrefix="0" xfId="0"/>
    <xf numFmtId="0" fontId="13" fillId="6" borderId="5" applyAlignment="1" pivotButton="0" quotePrefix="0" xfId="0">
      <alignment horizontal="left"/>
    </xf>
    <xf numFmtId="0" fontId="13" fillId="6" borderId="8" applyAlignment="1" pivotButton="0" quotePrefix="0" xfId="0">
      <alignment horizontal="left"/>
    </xf>
    <xf numFmtId="0" fontId="13" fillId="6" borderId="10" applyAlignment="1" pivotButton="0" quotePrefix="0" xfId="0">
      <alignment horizontal="left"/>
    </xf>
    <xf numFmtId="1" fontId="13" fillId="6" borderId="9" pivotButton="0" quotePrefix="0" xfId="0"/>
    <xf numFmtId="14" fontId="13" fillId="6" borderId="7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1" fontId="11" fillId="0" borderId="0" applyAlignment="1" pivotButton="0" quotePrefix="0" xfId="0">
      <alignment horizontal="left"/>
    </xf>
    <xf numFmtId="0" fontId="18" fillId="0" borderId="14" pivotButton="0" quotePrefix="0" xfId="0"/>
    <xf numFmtId="0" fontId="21" fillId="9" borderId="16" applyAlignment="1" pivotButton="0" quotePrefix="0" xfId="0">
      <alignment horizontal="left" vertical="center"/>
    </xf>
    <xf numFmtId="0" fontId="22" fillId="10" borderId="17" applyAlignment="1" pivotButton="0" quotePrefix="0" xfId="0">
      <alignment horizontal="left" vertical="center"/>
    </xf>
    <xf numFmtId="0" fontId="21" fillId="9" borderId="18" applyAlignment="1" pivotButton="0" quotePrefix="0" xfId="0">
      <alignment horizontal="left" vertical="center"/>
    </xf>
    <xf numFmtId="0" fontId="22" fillId="10" borderId="18" applyAlignment="1" pivotButton="0" quotePrefix="0" xfId="0">
      <alignment horizontal="left" vertical="center"/>
    </xf>
    <xf numFmtId="3" fontId="21" fillId="9" borderId="16" applyAlignment="1" pivotButton="0" quotePrefix="0" xfId="0">
      <alignment horizontal="right" vertical="center"/>
    </xf>
    <xf numFmtId="3" fontId="22" fillId="10" borderId="17" applyAlignment="1" pivotButton="0" quotePrefix="0" xfId="0">
      <alignment horizontal="right" vertical="center"/>
    </xf>
    <xf numFmtId="0" fontId="29" fillId="14" borderId="1" applyAlignment="1" pivotButton="0" quotePrefix="0" xfId="0">
      <alignment horizontal="left"/>
    </xf>
    <xf numFmtId="0" fontId="29" fillId="14" borderId="1" applyAlignment="1" pivotButton="0" quotePrefix="0" xfId="0">
      <alignment horizontal="center"/>
    </xf>
    <xf numFmtId="0" fontId="29" fillId="14" borderId="4" pivotButton="0" quotePrefix="0" xfId="0"/>
    <xf numFmtId="0" fontId="29" fillId="14" borderId="1" pivotButton="0" quotePrefix="0" xfId="0"/>
    <xf numFmtId="0" fontId="29" fillId="14" borderId="1" applyAlignment="1" pivotButton="0" quotePrefix="0" xfId="0">
      <alignment horizontal="right"/>
    </xf>
    <xf numFmtId="0" fontId="33" fillId="16" borderId="22" applyAlignment="1" pivotButton="0" quotePrefix="0" xfId="0">
      <alignment horizontal="left" vertical="center"/>
    </xf>
    <xf numFmtId="3" fontId="33" fillId="16" borderId="22" applyAlignment="1" pivotButton="0" quotePrefix="0" xfId="0">
      <alignment horizontal="right" vertical="center"/>
    </xf>
    <xf numFmtId="0" fontId="33" fillId="17" borderId="22" applyAlignment="1" pivotButton="0" quotePrefix="0" xfId="0">
      <alignment horizontal="left" vertical="center"/>
    </xf>
    <xf numFmtId="3" fontId="33" fillId="17" borderId="22" applyAlignment="1" pivotButton="0" quotePrefix="0" xfId="0">
      <alignment horizontal="right" vertical="center"/>
    </xf>
    <xf numFmtId="3" fontId="33" fillId="13" borderId="22" applyAlignment="1" applyProtection="1" pivotButton="0" quotePrefix="0" xfId="0">
      <alignment horizontal="right" vertical="center"/>
      <protection locked="0" hidden="0"/>
    </xf>
    <xf numFmtId="3" fontId="34" fillId="16" borderId="22" applyAlignment="1" pivotButton="0" quotePrefix="0" xfId="0">
      <alignment horizontal="right" vertical="center"/>
    </xf>
    <xf numFmtId="3" fontId="34" fillId="20" borderId="22" applyAlignment="1" pivotButton="0" quotePrefix="0" xfId="0">
      <alignment horizontal="right" vertical="center"/>
    </xf>
    <xf numFmtId="0" fontId="25" fillId="16" borderId="1" applyAlignment="1" pivotButton="0" quotePrefix="0" xfId="0">
      <alignment horizontal="left" vertical="center"/>
    </xf>
    <xf numFmtId="0" fontId="25" fillId="16" borderId="4" applyAlignment="1" pivotButton="0" quotePrefix="0" xfId="0">
      <alignment horizontal="left" vertical="center"/>
    </xf>
    <xf numFmtId="3" fontId="25" fillId="16" borderId="1" applyAlignment="1" pivotButton="0" quotePrefix="0" xfId="0">
      <alignment horizontal="right" vertical="center"/>
    </xf>
    <xf numFmtId="0" fontId="27" fillId="16" borderId="20" applyAlignment="1" pivotButton="0" quotePrefix="0" xfId="0">
      <alignment horizontal="left" vertical="center"/>
    </xf>
    <xf numFmtId="3" fontId="27" fillId="16" borderId="20" applyAlignment="1" pivotButton="0" quotePrefix="0" xfId="0">
      <alignment horizontal="right" vertical="center"/>
    </xf>
    <xf numFmtId="0" fontId="19" fillId="17" borderId="1" applyAlignment="1" pivotButton="0" quotePrefix="0" xfId="0">
      <alignment horizontal="left" vertical="center"/>
    </xf>
    <xf numFmtId="0" fontId="19" fillId="17" borderId="4" applyAlignment="1" pivotButton="0" quotePrefix="0" xfId="0">
      <alignment horizontal="left" vertical="center"/>
    </xf>
    <xf numFmtId="3" fontId="19" fillId="17" borderId="1" applyAlignment="1" pivotButton="0" quotePrefix="0" xfId="0">
      <alignment horizontal="right" vertical="center"/>
    </xf>
    <xf numFmtId="0" fontId="21" fillId="16" borderId="18" applyAlignment="1" pivotButton="0" quotePrefix="0" xfId="0">
      <alignment horizontal="left" vertical="center"/>
    </xf>
    <xf numFmtId="0" fontId="22" fillId="17" borderId="18" applyAlignment="1" pivotButton="0" quotePrefix="0" xfId="0">
      <alignment horizontal="left" vertical="center"/>
    </xf>
    <xf numFmtId="0" fontId="23" fillId="16" borderId="18" applyAlignment="1" pivotButton="0" quotePrefix="0" xfId="0">
      <alignment horizontal="left" vertical="center"/>
    </xf>
    <xf numFmtId="3" fontId="33" fillId="27" borderId="22" applyAlignment="1" applyProtection="1" pivotButton="0" quotePrefix="0" xfId="0">
      <alignment horizontal="right" vertical="center"/>
      <protection locked="0" hidden="0"/>
    </xf>
    <xf numFmtId="3" fontId="19" fillId="29" borderId="15" applyAlignment="1" pivotButton="0" quotePrefix="0" xfId="0">
      <alignment horizontal="center" vertical="center"/>
    </xf>
    <xf numFmtId="0" fontId="19" fillId="29" borderId="22" applyAlignment="1" pivotButton="0" quotePrefix="0" xfId="0">
      <alignment horizontal="center" vertical="center"/>
    </xf>
    <xf numFmtId="1" fontId="19" fillId="18" borderId="13" applyAlignment="1" pivotButton="0" quotePrefix="0" xfId="0">
      <alignment horizontal="left" vertical="center"/>
    </xf>
    <xf numFmtId="1" fontId="19" fillId="18" borderId="13" applyAlignment="1" pivotButton="0" quotePrefix="0" xfId="0">
      <alignment horizontal="center" vertical="center"/>
    </xf>
    <xf numFmtId="3" fontId="19" fillId="18" borderId="13" applyAlignment="1" pivotButton="0" quotePrefix="0" xfId="0">
      <alignment horizontal="center" vertical="center"/>
    </xf>
    <xf numFmtId="0" fontId="39" fillId="15" borderId="14" applyAlignment="1" pivotButton="0" quotePrefix="0" xfId="0">
      <alignment horizontal="left" vertical="center"/>
    </xf>
    <xf numFmtId="0" fontId="40" fillId="30" borderId="14" applyAlignment="1" pivotButton="0" quotePrefix="0" xfId="0">
      <alignment horizontal="left" vertical="center"/>
    </xf>
    <xf numFmtId="0" fontId="40" fillId="16" borderId="14" applyAlignment="1" pivotButton="0" quotePrefix="0" xfId="0">
      <alignment horizontal="left" vertical="center"/>
    </xf>
    <xf numFmtId="0" fontId="41" fillId="15" borderId="14" applyAlignment="1" pivotButton="0" quotePrefix="0" xfId="0">
      <alignment horizontal="left" vertical="center"/>
    </xf>
    <xf numFmtId="0" fontId="20" fillId="16" borderId="14" applyAlignment="1" pivotButton="0" quotePrefix="0" xfId="0">
      <alignment horizontal="left" vertical="center"/>
    </xf>
    <xf numFmtId="0" fontId="20" fillId="17" borderId="14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/>
    </xf>
    <xf numFmtId="0" fontId="20" fillId="17" borderId="1" applyAlignment="1" pivotButton="0" quotePrefix="0" xfId="0">
      <alignment horizontal="left" vertical="center"/>
    </xf>
    <xf numFmtId="0" fontId="19" fillId="15" borderId="14" applyAlignment="1" pivotButton="0" quotePrefix="0" xfId="0">
      <alignment horizontal="left" vertical="center"/>
    </xf>
    <xf numFmtId="0" fontId="25" fillId="16" borderId="14" pivotButton="0" quotePrefix="0" xfId="0"/>
    <xf numFmtId="0" fontId="0" fillId="0" borderId="14" pivotButton="0" quotePrefix="0" xfId="0"/>
    <xf numFmtId="0" fontId="1" fillId="0" borderId="14" pivotButton="0" quotePrefix="0" xfId="0"/>
    <xf numFmtId="0" fontId="29" fillId="25" borderId="14" applyProtection="1" pivotButton="0" quotePrefix="0" xfId="0">
      <protection locked="0" hidden="0"/>
    </xf>
    <xf numFmtId="0" fontId="0" fillId="20" borderId="14" pivotButton="0" quotePrefix="0" xfId="0"/>
    <xf numFmtId="0" fontId="0" fillId="0" borderId="14" applyAlignment="1" pivotButton="0" quotePrefix="0" xfId="0">
      <alignment vertical="top" wrapText="1"/>
    </xf>
    <xf numFmtId="14" fontId="39" fillId="15" borderId="14" applyAlignment="1" pivotButton="0" quotePrefix="0" xfId="0">
      <alignment horizontal="left" vertical="center"/>
    </xf>
    <xf numFmtId="1" fontId="41" fillId="15" borderId="14" applyAlignment="1" pivotButton="0" quotePrefix="0" xfId="0">
      <alignment horizontal="left" vertical="center"/>
    </xf>
    <xf numFmtId="3" fontId="41" fillId="15" borderId="14" applyAlignment="1" pivotButton="0" quotePrefix="0" xfId="0">
      <alignment horizontal="left" vertical="center"/>
    </xf>
    <xf numFmtId="0" fontId="39" fillId="28" borderId="14" pivotButton="0" quotePrefix="0" xfId="0"/>
    <xf numFmtId="0" fontId="11" fillId="0" borderId="14" pivotButton="0" quotePrefix="0" xfId="0"/>
    <xf numFmtId="1" fontId="40" fillId="16" borderId="14" applyAlignment="1" pivotButton="0" quotePrefix="0" xfId="0">
      <alignment horizontal="center" vertical="center"/>
    </xf>
    <xf numFmtId="3" fontId="40" fillId="16" borderId="14" applyAlignment="1" pivotButton="0" quotePrefix="0" xfId="0">
      <alignment horizontal="center" vertical="center"/>
    </xf>
    <xf numFmtId="0" fontId="40" fillId="16" borderId="14" applyAlignment="1" pivotButton="0" quotePrefix="0" xfId="0">
      <alignment horizontal="center" vertical="center"/>
    </xf>
    <xf numFmtId="0" fontId="40" fillId="30" borderId="14" pivotButton="0" quotePrefix="0" xfId="0"/>
    <xf numFmtId="1" fontId="40" fillId="16" borderId="14" applyAlignment="1" pivotButton="0" quotePrefix="0" xfId="0">
      <alignment horizontal="left" vertical="center"/>
    </xf>
    <xf numFmtId="0" fontId="19" fillId="18" borderId="14" applyAlignment="1" pivotButton="0" quotePrefix="0" xfId="0">
      <alignment horizontal="center" vertical="center"/>
    </xf>
    <xf numFmtId="0" fontId="19" fillId="29" borderId="14" pivotButton="0" quotePrefix="0" xfId="0"/>
    <xf numFmtId="3" fontId="20" fillId="17" borderId="14" applyAlignment="1" pivotButton="0" quotePrefix="0" xfId="0">
      <alignment horizontal="right" vertical="center"/>
    </xf>
    <xf numFmtId="3" fontId="20" fillId="16" borderId="14" applyAlignment="1" pivotButton="0" quotePrefix="0" xfId="0">
      <alignment horizontal="right" vertical="center"/>
    </xf>
    <xf numFmtId="0" fontId="0" fillId="0" borderId="14" applyAlignment="1" pivotButton="0" quotePrefix="0" xfId="0">
      <alignment horizontal="center"/>
    </xf>
    <xf numFmtId="1" fontId="0" fillId="0" borderId="14" pivotButton="0" quotePrefix="0" xfId="0"/>
    <xf numFmtId="0" fontId="41" fillId="0" borderId="14" applyAlignment="1" pivotButton="0" quotePrefix="0" xfId="0">
      <alignment horizontal="left" vertical="center"/>
    </xf>
    <xf numFmtId="0" fontId="57" fillId="0" borderId="14" applyAlignment="1" pivotButton="0" quotePrefix="0" xfId="0">
      <alignment horizontal="left" vertical="center"/>
    </xf>
    <xf numFmtId="0" fontId="41" fillId="28" borderId="14" pivotButton="0" quotePrefix="0" xfId="0"/>
    <xf numFmtId="0" fontId="55" fillId="2" borderId="14" pivotButton="0" quotePrefix="0" xfId="0"/>
    <xf numFmtId="0" fontId="40" fillId="4" borderId="14" applyAlignment="1" pivotButton="0" quotePrefix="0" xfId="0">
      <alignment horizontal="left"/>
    </xf>
    <xf numFmtId="0" fontId="40" fillId="4" borderId="14" applyAlignment="1" pivotButton="0" quotePrefix="0" xfId="0">
      <alignment horizontal="left" vertical="center"/>
    </xf>
    <xf numFmtId="0" fontId="48" fillId="2" borderId="14" pivotButton="0" quotePrefix="0" xfId="0"/>
    <xf numFmtId="0" fontId="51" fillId="4" borderId="14" pivotButton="0" quotePrefix="0" xfId="0"/>
    <xf numFmtId="0" fontId="49" fillId="0" borderId="14" applyAlignment="1" pivotButton="0" quotePrefix="0" xfId="0">
      <alignment horizontal="right"/>
    </xf>
    <xf numFmtId="0" fontId="3" fillId="0" borderId="14" applyAlignment="1" pivotButton="0" quotePrefix="0" xfId="0">
      <alignment horizontal="left"/>
    </xf>
    <xf numFmtId="0" fontId="3" fillId="0" borderId="14" applyAlignment="1" pivotButton="0" quotePrefix="0" xfId="0">
      <alignment horizontal="right"/>
    </xf>
    <xf numFmtId="0" fontId="49" fillId="0" borderId="14" pivotButton="0" quotePrefix="0" xfId="0"/>
    <xf numFmtId="0" fontId="46" fillId="0" borderId="14" pivotButton="0" quotePrefix="0" xfId="0"/>
    <xf numFmtId="0" fontId="49" fillId="0" borderId="14" applyAlignment="1" pivotButton="0" quotePrefix="0" xfId="0">
      <alignment horizontal="left"/>
    </xf>
    <xf numFmtId="0" fontId="51" fillId="4" borderId="14" applyAlignment="1" pivotButton="0" quotePrefix="0" xfId="0">
      <alignment horizontal="left"/>
    </xf>
    <xf numFmtId="0" fontId="49" fillId="0" borderId="14" applyAlignment="1" pivotButton="0" quotePrefix="0" xfId="0">
      <alignment horizontal="center"/>
    </xf>
    <xf numFmtId="0" fontId="51" fillId="0" borderId="14" applyAlignment="1" pivotButton="0" quotePrefix="0" xfId="0">
      <alignment horizontal="left"/>
    </xf>
    <xf numFmtId="0" fontId="51" fillId="0" borderId="14" applyAlignment="1" pivotButton="0" quotePrefix="0" xfId="0">
      <alignment horizontal="center"/>
    </xf>
    <xf numFmtId="0" fontId="19" fillId="18" borderId="1" applyAlignment="1" pivotButton="0" quotePrefix="0" xfId="0">
      <alignment horizontal="left" vertical="center"/>
    </xf>
    <xf numFmtId="0" fontId="19" fillId="18" borderId="1" applyAlignment="1" pivotButton="0" quotePrefix="0" xfId="0">
      <alignment horizontal="center" vertical="center"/>
    </xf>
    <xf numFmtId="0" fontId="3" fillId="0" borderId="14" pivotButton="0" quotePrefix="0" xfId="0"/>
    <xf numFmtId="0" fontId="19" fillId="18" borderId="4" applyAlignment="1" pivotButton="0" quotePrefix="0" xfId="0">
      <alignment horizontal="center" vertical="center"/>
    </xf>
    <xf numFmtId="0" fontId="29" fillId="19" borderId="1" applyAlignment="1" pivotButton="0" quotePrefix="0" xfId="0">
      <alignment horizontal="left" vertical="center"/>
    </xf>
    <xf numFmtId="0" fontId="29" fillId="19" borderId="4" applyAlignment="1" pivotButton="0" quotePrefix="0" xfId="0">
      <alignment horizontal="left" vertical="center"/>
    </xf>
    <xf numFmtId="0" fontId="20" fillId="16" borderId="4" applyAlignment="1" pivotButton="0" quotePrefix="0" xfId="0">
      <alignment horizontal="left" vertical="center"/>
    </xf>
    <xf numFmtId="3" fontId="20" fillId="16" borderId="1" applyAlignment="1" pivotButton="0" quotePrefix="0" xfId="0">
      <alignment horizontal="right" vertical="center"/>
    </xf>
    <xf numFmtId="0" fontId="20" fillId="17" borderId="4" applyAlignment="1" pivotButton="0" quotePrefix="0" xfId="0">
      <alignment horizontal="left" vertical="center"/>
    </xf>
    <xf numFmtId="3" fontId="20" fillId="17" borderId="1" applyAlignment="1" pivotButton="0" quotePrefix="0" xfId="0">
      <alignment horizontal="right" vertical="center"/>
    </xf>
    <xf numFmtId="3" fontId="20" fillId="17" borderId="2" applyAlignment="1" pivotButton="0" quotePrefix="0" xfId="0">
      <alignment horizontal="right" vertical="center"/>
    </xf>
    <xf numFmtId="0" fontId="4" fillId="0" borderId="14" pivotButton="0" quotePrefix="0" xfId="0"/>
    <xf numFmtId="0" fontId="27" fillId="22" borderId="20" pivotButton="0" quotePrefix="0" xfId="0"/>
    <xf numFmtId="3" fontId="20" fillId="16" borderId="2" applyAlignment="1" pivotButton="0" quotePrefix="0" xfId="0">
      <alignment horizontal="right" vertical="center"/>
    </xf>
    <xf numFmtId="0" fontId="19" fillId="15" borderId="14" pivotButton="0" quotePrefix="0" xfId="0"/>
    <xf numFmtId="0" fontId="30" fillId="16" borderId="14" applyAlignment="1" pivotButton="0" quotePrefix="0" xfId="0">
      <alignment horizontal="left" vertical="center"/>
    </xf>
    <xf numFmtId="3" fontId="30" fillId="16" borderId="14" applyAlignment="1" pivotButton="0" quotePrefix="0" xfId="0">
      <alignment horizontal="right" vertical="center"/>
    </xf>
    <xf numFmtId="0" fontId="3" fillId="20" borderId="14" pivotButton="0" quotePrefix="0" xfId="0"/>
    <xf numFmtId="0" fontId="7" fillId="0" borderId="14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0" fontId="5" fillId="0" borderId="14" pivotButton="0" quotePrefix="0" xfId="0"/>
    <xf numFmtId="0" fontId="5" fillId="0" borderId="14" applyAlignment="1" pivotButton="0" quotePrefix="0" xfId="0">
      <alignment horizontal="right"/>
    </xf>
    <xf numFmtId="0" fontId="5" fillId="0" borderId="14" applyAlignment="1" pivotButton="0" quotePrefix="0" xfId="0">
      <alignment horizontal="left"/>
    </xf>
    <xf numFmtId="0" fontId="5" fillId="0" borderId="14" applyAlignment="1" pivotButton="0" quotePrefix="0" xfId="0">
      <alignment horizontal="center"/>
    </xf>
    <xf numFmtId="0" fontId="8" fillId="0" borderId="14" pivotButton="0" quotePrefix="0" xfId="0"/>
    <xf numFmtId="0" fontId="29" fillId="14" borderId="14" pivotButton="0" quotePrefix="0" xfId="0"/>
    <xf numFmtId="0" fontId="29" fillId="25" borderId="1" applyAlignment="1" applyProtection="1" pivotButton="0" quotePrefix="0" xfId="0">
      <alignment horizontal="left"/>
      <protection locked="0" hidden="0"/>
    </xf>
    <xf numFmtId="0" fontId="29" fillId="25" borderId="1" applyAlignment="1" applyProtection="1" pivotButton="0" quotePrefix="0" xfId="0">
      <alignment horizontal="center"/>
      <protection locked="0" hidden="0"/>
    </xf>
    <xf numFmtId="0" fontId="29" fillId="25" borderId="4" applyProtection="1" pivotButton="0" quotePrefix="0" xfId="0">
      <protection locked="0" hidden="0"/>
    </xf>
    <xf numFmtId="0" fontId="29" fillId="25" borderId="1" applyProtection="1" pivotButton="0" quotePrefix="0" xfId="0">
      <protection locked="0" hidden="0"/>
    </xf>
    <xf numFmtId="0" fontId="29" fillId="25" borderId="1" applyAlignment="1" applyProtection="1" pivotButton="0" quotePrefix="0" xfId="0">
      <alignment horizontal="right"/>
      <protection locked="0" hidden="0"/>
    </xf>
    <xf numFmtId="0" fontId="13" fillId="6" borderId="14" applyAlignment="1" pivotButton="0" quotePrefix="0" xfId="0">
      <alignment horizontal="center"/>
    </xf>
    <xf numFmtId="0" fontId="3" fillId="0" borderId="14" applyAlignment="1" pivotButton="0" quotePrefix="0" xfId="0">
      <alignment horizontal="center"/>
    </xf>
    <xf numFmtId="3" fontId="40" fillId="16" borderId="14" pivotButton="0" quotePrefix="0" xfId="0"/>
    <xf numFmtId="0" fontId="0" fillId="17" borderId="14" pivotButton="0" quotePrefix="0" xfId="0"/>
    <xf numFmtId="3" fontId="0" fillId="17" borderId="14" pivotButton="0" quotePrefix="0" xfId="0"/>
    <xf numFmtId="0" fontId="19" fillId="18" borderId="15" applyAlignment="1" pivotButton="0" quotePrefix="0" xfId="0">
      <alignment horizontal="left" vertical="center"/>
    </xf>
    <xf numFmtId="0" fontId="19" fillId="18" borderId="15" applyAlignment="1" pivotButton="0" quotePrefix="0" xfId="0">
      <alignment horizontal="center" vertical="center"/>
    </xf>
    <xf numFmtId="3" fontId="19" fillId="18" borderId="15" applyAlignment="1" pivotButton="0" quotePrefix="0" xfId="0">
      <alignment horizontal="center" vertical="center"/>
    </xf>
    <xf numFmtId="0" fontId="20" fillId="17" borderId="18" applyAlignment="1" pivotButton="0" quotePrefix="0" xfId="0">
      <alignment horizontal="left" vertical="center"/>
    </xf>
    <xf numFmtId="3" fontId="20" fillId="17" borderId="18" applyAlignment="1" pivotButton="0" quotePrefix="0" xfId="0">
      <alignment horizontal="right" vertical="center"/>
    </xf>
    <xf numFmtId="0" fontId="20" fillId="16" borderId="18" applyAlignment="1" pivotButton="0" quotePrefix="0" xfId="0">
      <alignment horizontal="left" vertical="center"/>
    </xf>
    <xf numFmtId="3" fontId="20" fillId="16" borderId="18" applyAlignment="1" pivotButton="0" quotePrefix="0" xfId="0">
      <alignment horizontal="right" vertical="center"/>
    </xf>
    <xf numFmtId="3" fontId="21" fillId="16" borderId="18" applyAlignment="1" pivotButton="0" quotePrefix="0" xfId="0">
      <alignment horizontal="right" vertical="center"/>
    </xf>
    <xf numFmtId="3" fontId="22" fillId="17" borderId="18" applyAlignment="1" pivotButton="0" quotePrefix="0" xfId="0">
      <alignment horizontal="right" vertical="center"/>
    </xf>
    <xf numFmtId="3" fontId="23" fillId="16" borderId="18" applyAlignment="1" pivotButton="0" quotePrefix="0" xfId="0">
      <alignment horizontal="right" vertical="center"/>
    </xf>
    <xf numFmtId="0" fontId="19" fillId="18" borderId="22" applyAlignment="1" pivotButton="0" quotePrefix="0" xfId="0">
      <alignment horizontal="left" vertical="center"/>
    </xf>
    <xf numFmtId="0" fontId="19" fillId="18" borderId="22" applyAlignment="1" pivotButton="0" quotePrefix="0" xfId="0">
      <alignment horizontal="center" vertical="center"/>
    </xf>
    <xf numFmtId="3" fontId="19" fillId="15" borderId="22" applyAlignment="1" pivotButton="0" quotePrefix="0" xfId="0">
      <alignment horizontal="right" vertical="center"/>
    </xf>
    <xf numFmtId="0" fontId="34" fillId="16" borderId="18" applyAlignment="1" pivotButton="0" quotePrefix="0" xfId="0">
      <alignment horizontal="left" vertical="center"/>
    </xf>
    <xf numFmtId="0" fontId="34" fillId="16" borderId="14" applyAlignment="1" pivotButton="0" quotePrefix="0" xfId="0">
      <alignment horizontal="left" vertical="center"/>
    </xf>
    <xf numFmtId="0" fontId="36" fillId="20" borderId="14" applyAlignment="1" pivotButton="0" quotePrefix="0" xfId="0">
      <alignment horizontal="left" vertical="center"/>
    </xf>
    <xf numFmtId="3" fontId="40" fillId="16" borderId="14" applyAlignment="1" pivotButton="0" quotePrefix="0" xfId="0">
      <alignment horizontal="left" vertical="center"/>
    </xf>
    <xf numFmtId="0" fontId="20" fillId="0" borderId="18" applyAlignment="1" pivotButton="0" quotePrefix="0" xfId="0">
      <alignment horizontal="left" vertical="center"/>
    </xf>
    <xf numFmtId="3" fontId="20" fillId="0" borderId="18" applyAlignment="1" pivotButton="0" quotePrefix="0" xfId="0">
      <alignment horizontal="right" vertical="center"/>
    </xf>
    <xf numFmtId="0" fontId="19" fillId="15" borderId="18" applyAlignment="1" pivotButton="0" quotePrefix="0" xfId="0">
      <alignment horizontal="left" vertical="center"/>
    </xf>
    <xf numFmtId="3" fontId="19" fillId="15" borderId="18" applyAlignment="1" pivotButton="0" quotePrefix="0" xfId="0">
      <alignment horizontal="right" vertical="center"/>
    </xf>
    <xf numFmtId="0" fontId="25" fillId="20" borderId="18" applyAlignment="1" pivotButton="0" quotePrefix="0" xfId="0">
      <alignment horizontal="left" vertical="center"/>
    </xf>
    <xf numFmtId="3" fontId="25" fillId="20" borderId="18" applyAlignment="1" pivotButton="0" quotePrefix="0" xfId="0">
      <alignment horizontal="left" vertical="center"/>
    </xf>
    <xf numFmtId="0" fontId="25" fillId="20" borderId="14" applyAlignment="1" pivotButton="0" quotePrefix="0" xfId="0">
      <alignment horizontal="left" vertical="center"/>
    </xf>
    <xf numFmtId="0" fontId="31" fillId="0" borderId="18" applyAlignment="1" pivotButton="0" quotePrefix="0" xfId="0">
      <alignment horizontal="left" vertical="center"/>
    </xf>
    <xf numFmtId="3" fontId="0" fillId="0" borderId="14" pivotButton="0" quotePrefix="0" xfId="0"/>
    <xf numFmtId="3" fontId="21" fillId="9" borderId="18" applyAlignment="1" pivotButton="0" quotePrefix="0" xfId="0">
      <alignment horizontal="right" vertical="center"/>
    </xf>
    <xf numFmtId="3" fontId="22" fillId="10" borderId="18" applyAlignment="1" pivotButton="0" quotePrefix="0" xfId="0">
      <alignment horizontal="right" vertical="center"/>
    </xf>
    <xf numFmtId="0" fontId="23" fillId="18" borderId="14" applyAlignment="1" pivotButton="0" quotePrefix="0" xfId="0">
      <alignment horizontal="left" vertical="center"/>
    </xf>
    <xf numFmtId="0" fontId="24" fillId="16" borderId="14" applyAlignment="1" pivotButton="0" quotePrefix="0" xfId="0">
      <alignment horizontal="left" vertical="center"/>
    </xf>
    <xf numFmtId="0" fontId="23" fillId="29" borderId="14" applyAlignment="1" pivotButton="0" quotePrefix="0" xfId="0">
      <alignment horizontal="left"/>
    </xf>
    <xf numFmtId="1" fontId="23" fillId="29" borderId="14" applyAlignment="1" pivotButton="0" quotePrefix="0" xfId="0">
      <alignment horizontal="left"/>
    </xf>
    <xf numFmtId="0" fontId="23" fillId="29" borderId="14" applyAlignment="1" pivotButton="0" quotePrefix="0" xfId="0">
      <alignment horizontal="center"/>
    </xf>
    <xf numFmtId="0" fontId="23" fillId="29" borderId="14" pivotButton="0" quotePrefix="0" xfId="0"/>
    <xf numFmtId="0" fontId="11" fillId="0" borderId="14" applyAlignment="1" pivotButton="0" quotePrefix="0" xfId="0">
      <alignment horizontal="left"/>
    </xf>
    <xf numFmtId="0" fontId="11" fillId="0" borderId="14" applyAlignment="1" pivotButton="0" quotePrefix="0" xfId="0">
      <alignment horizontal="center" vertical="top" wrapText="1"/>
    </xf>
    <xf numFmtId="0" fontId="11" fillId="0" borderId="14" applyAlignment="1" pivotButton="0" quotePrefix="0" xfId="0">
      <alignment horizontal="center"/>
    </xf>
    <xf numFmtId="0" fontId="11" fillId="0" borderId="14" applyAlignment="1" pivotButton="0" quotePrefix="0" xfId="0">
      <alignment vertical="top"/>
    </xf>
    <xf numFmtId="0" fontId="3" fillId="0" borderId="14" applyAlignment="1" pivotButton="0" quotePrefix="0" xfId="0">
      <alignment vertical="top"/>
    </xf>
    <xf numFmtId="0" fontId="0" fillId="0" borderId="14" applyAlignment="1" pivotButton="0" quotePrefix="0" xfId="0">
      <alignment horizontal="left" vertical="top" wrapText="1"/>
    </xf>
    <xf numFmtId="0" fontId="14" fillId="0" borderId="14" pivotButton="0" quotePrefix="0" xfId="0"/>
    <xf numFmtId="0" fontId="0" fillId="0" borderId="14" applyAlignment="1" pivotButton="0" quotePrefix="0" xfId="0">
      <alignment horizontal="left"/>
    </xf>
    <xf numFmtId="0" fontId="0" fillId="0" borderId="14" applyAlignment="1" pivotButton="0" quotePrefix="0" xfId="0">
      <alignment horizontal="center" vertical="top" wrapText="1"/>
    </xf>
    <xf numFmtId="49" fontId="11" fillId="0" borderId="14" applyAlignment="1" pivotButton="0" quotePrefix="0" xfId="4">
      <alignment horizontal="left" vertical="center"/>
    </xf>
    <xf numFmtId="0" fontId="11" fillId="0" borderId="14" applyAlignment="1" pivotButton="0" quotePrefix="0" xfId="5">
      <alignment horizontal="left"/>
    </xf>
    <xf numFmtId="0" fontId="11" fillId="0" borderId="14" applyAlignment="1" pivotButton="0" quotePrefix="1" xfId="0">
      <alignment horizontal="left"/>
    </xf>
    <xf numFmtId="0" fontId="16" fillId="0" borderId="14" applyAlignment="1" pivotButton="0" quotePrefix="0" xfId="0">
      <alignment horizontal="left"/>
    </xf>
    <xf numFmtId="0" fontId="17" fillId="0" borderId="14" pivotButton="0" quotePrefix="0" xfId="0"/>
    <xf numFmtId="49" fontId="11" fillId="0" borderId="14" applyAlignment="1" pivotButton="0" quotePrefix="0" xfId="0">
      <alignment horizontal="left"/>
    </xf>
    <xf numFmtId="0" fontId="11" fillId="0" borderId="14" pivotButton="0" quotePrefix="0" xfId="7"/>
    <xf numFmtId="0" fontId="16" fillId="0" borderId="14" pivotButton="0" quotePrefix="0" xfId="0"/>
    <xf numFmtId="0" fontId="40" fillId="16" borderId="14" applyAlignment="1" pivotButton="0" quotePrefix="1" xfId="0">
      <alignment horizontal="left" vertical="center"/>
    </xf>
    <xf numFmtId="0" fontId="42" fillId="17" borderId="14" applyAlignment="1" pivotButton="0" quotePrefix="0" xfId="0">
      <alignment horizontal="left" vertical="center"/>
    </xf>
    <xf numFmtId="0" fontId="42" fillId="17" borderId="14" applyAlignment="1" pivotButton="0" quotePrefix="1" xfId="0">
      <alignment horizontal="left" vertical="center"/>
    </xf>
    <xf numFmtId="164" fontId="42" fillId="17" borderId="14" applyAlignment="1" pivotButton="0" quotePrefix="0" xfId="0">
      <alignment horizontal="left" vertical="center"/>
    </xf>
    <xf numFmtId="0" fontId="32" fillId="15" borderId="14" applyAlignment="1" pivotButton="0" quotePrefix="0" xfId="0">
      <alignment horizontal="left" vertical="center"/>
    </xf>
    <xf numFmtId="0" fontId="23" fillId="15" borderId="14" applyAlignment="1" pivotButton="0" quotePrefix="0" xfId="0">
      <alignment horizontal="left" vertical="center"/>
    </xf>
    <xf numFmtId="0" fontId="44" fillId="13" borderId="14" applyAlignment="1" pivotButton="0" quotePrefix="0" xfId="0">
      <alignment horizontal="left" vertical="center"/>
    </xf>
    <xf numFmtId="164" fontId="32" fillId="15" borderId="14" applyAlignment="1" pivotButton="0" quotePrefix="0" xfId="0">
      <alignment horizontal="left" vertical="center"/>
    </xf>
    <xf numFmtId="0" fontId="25" fillId="16" borderId="14" applyAlignment="1" pivotButton="0" quotePrefix="0" xfId="0">
      <alignment horizontal="left" vertical="center"/>
    </xf>
    <xf numFmtId="0" fontId="25" fillId="13" borderId="14" applyAlignment="1" pivotButton="0" quotePrefix="0" xfId="0">
      <alignment horizontal="left" vertical="center"/>
    </xf>
    <xf numFmtId="164" fontId="20" fillId="16" borderId="14" applyAlignment="1" pivotButton="0" quotePrefix="0" xfId="0">
      <alignment horizontal="left" vertical="center"/>
    </xf>
    <xf numFmtId="0" fontId="20" fillId="13" borderId="14" applyAlignment="1" pivotButton="0" quotePrefix="0" xfId="0">
      <alignment horizontal="left" vertical="center"/>
    </xf>
    <xf numFmtId="164" fontId="25" fillId="16" borderId="14" applyAlignment="1" pivotButton="0" quotePrefix="0" xfId="0">
      <alignment horizontal="left" vertical="center"/>
    </xf>
    <xf numFmtId="0" fontId="47" fillId="4" borderId="14" pivotButton="0" quotePrefix="0" xfId="0"/>
    <xf numFmtId="0" fontId="2" fillId="4" borderId="14" pivotButton="0" quotePrefix="0" xfId="0"/>
    <xf numFmtId="0" fontId="3" fillId="4" borderId="14" pivotButton="0" quotePrefix="0" xfId="0"/>
    <xf numFmtId="0" fontId="46" fillId="2" borderId="14" pivotButton="0" quotePrefix="0" xfId="0"/>
    <xf numFmtId="0" fontId="7" fillId="4" borderId="14" pivotButton="0" quotePrefix="0" xfId="0"/>
    <xf numFmtId="0" fontId="56" fillId="16" borderId="14" applyAlignment="1" pivotButton="0" quotePrefix="0" xfId="0">
      <alignment horizontal="left" vertical="center"/>
    </xf>
    <xf numFmtId="0" fontId="25" fillId="16" borderId="14" applyAlignment="1" pivotButton="0" quotePrefix="1" xfId="0">
      <alignment horizontal="left" vertical="center"/>
    </xf>
    <xf numFmtId="0" fontId="49" fillId="17" borderId="14" applyAlignment="1" pivotButton="0" quotePrefix="0" xfId="0">
      <alignment horizontal="left"/>
    </xf>
    <xf numFmtId="0" fontId="49" fillId="17" borderId="14" applyAlignment="1" pivotButton="0" quotePrefix="0" xfId="0">
      <alignment horizontal="center"/>
    </xf>
    <xf numFmtId="0" fontId="49" fillId="17" borderId="14" applyAlignment="1" pivotButton="0" quotePrefix="0" xfId="0">
      <alignment horizontal="right"/>
    </xf>
    <xf numFmtId="0" fontId="49" fillId="17" borderId="14" pivotButton="0" quotePrefix="0" xfId="0"/>
    <xf numFmtId="0" fontId="1" fillId="17" borderId="14" pivotButton="0" quotePrefix="0" xfId="0"/>
    <xf numFmtId="164" fontId="49" fillId="17" borderId="14" applyAlignment="1" pivotButton="0" quotePrefix="0" xfId="0">
      <alignment horizontal="left"/>
    </xf>
    <xf numFmtId="0" fontId="19" fillId="18" borderId="1" applyAlignment="1" pivotButton="0" quotePrefix="0" xfId="0">
      <alignment horizontal="left" vertical="center" wrapText="1"/>
    </xf>
    <xf numFmtId="0" fontId="19" fillId="18" borderId="1" applyAlignment="1" pivotButton="0" quotePrefix="0" xfId="0">
      <alignment horizontal="center" vertical="center" wrapText="1"/>
    </xf>
    <xf numFmtId="0" fontId="19" fillId="18" borderId="14" applyAlignment="1" pivotButton="0" quotePrefix="0" xfId="0">
      <alignment horizontal="center" vertical="center" wrapText="1"/>
    </xf>
    <xf numFmtId="0" fontId="23" fillId="18" borderId="1" applyAlignment="1" pivotButton="0" quotePrefix="0" xfId="0">
      <alignment horizontal="center" vertical="center" wrapText="1"/>
    </xf>
    <xf numFmtId="1" fontId="19" fillId="18" borderId="14" applyAlignment="1" pivotButton="0" quotePrefix="0" xfId="0">
      <alignment horizontal="center" vertical="center" wrapText="1"/>
    </xf>
    <xf numFmtId="164" fontId="19" fillId="18" borderId="1" applyAlignment="1" pivotButton="0" quotePrefix="0" xfId="0">
      <alignment horizontal="center" vertical="center" wrapText="1"/>
    </xf>
    <xf numFmtId="0" fontId="50" fillId="3" borderId="14" applyAlignment="1" pivotButton="0" quotePrefix="0" xfId="0">
      <alignment horizontal="right"/>
    </xf>
    <xf numFmtId="0" fontId="3" fillId="2" borderId="14" pivotButton="0" quotePrefix="0" xfId="0"/>
    <xf numFmtId="0" fontId="3" fillId="2" borderId="0" pivotButton="0" quotePrefix="0" xfId="0"/>
    <xf numFmtId="0" fontId="23" fillId="18" borderId="3" applyAlignment="1" pivotButton="0" quotePrefix="0" xfId="0">
      <alignment horizontal="center" vertical="center" wrapText="1"/>
    </xf>
    <xf numFmtId="0" fontId="19" fillId="18" borderId="4" applyAlignment="1" pivotButton="0" quotePrefix="0" xfId="0">
      <alignment horizontal="center" vertical="center" wrapText="1"/>
    </xf>
    <xf numFmtId="0" fontId="19" fillId="18" borderId="3" applyAlignment="1" pivotButton="0" quotePrefix="0" xfId="0">
      <alignment horizontal="center" vertical="center" wrapText="1"/>
    </xf>
    <xf numFmtId="1" fontId="19" fillId="18" borderId="1" applyAlignment="1" pivotButton="0" quotePrefix="0" xfId="0">
      <alignment horizontal="center" vertical="center" wrapText="1"/>
    </xf>
    <xf numFmtId="0" fontId="50" fillId="3" borderId="14" applyAlignment="1" pivotButton="0" quotePrefix="1" xfId="0">
      <alignment horizontal="right"/>
    </xf>
    <xf numFmtId="0" fontId="29" fillId="24" borderId="1" applyAlignment="1" pivotButton="0" quotePrefix="0" xfId="0">
      <alignment horizontal="left" vertical="center"/>
    </xf>
    <xf numFmtId="0" fontId="29" fillId="24" borderId="3" applyAlignment="1" pivotButton="0" quotePrefix="0" xfId="0">
      <alignment horizontal="left" vertical="center"/>
    </xf>
    <xf numFmtId="0" fontId="29" fillId="24" borderId="4" applyAlignment="1" pivotButton="0" quotePrefix="0" xfId="0">
      <alignment horizontal="left" vertical="center"/>
    </xf>
    <xf numFmtId="1" fontId="29" fillId="24" borderId="1" applyAlignment="1" pivotButton="0" quotePrefix="0" xfId="0">
      <alignment horizontal="left" vertical="center"/>
    </xf>
    <xf numFmtId="164" fontId="29" fillId="24" borderId="1" applyAlignment="1" pivotButton="0" quotePrefix="0" xfId="0">
      <alignment horizontal="left" vertical="center"/>
    </xf>
    <xf numFmtId="0" fontId="29" fillId="24" borderId="14" pivotButton="0" quotePrefix="0" xfId="0"/>
    <xf numFmtId="0" fontId="37" fillId="21" borderId="14" pivotButton="0" quotePrefix="0" xfId="0"/>
    <xf numFmtId="0" fontId="26" fillId="19" borderId="14" pivotButton="0" quotePrefix="0" xfId="0"/>
    <xf numFmtId="0" fontId="20" fillId="23" borderId="1" applyAlignment="1" pivotButton="0" quotePrefix="0" xfId="0">
      <alignment horizontal="left" vertical="center"/>
    </xf>
    <xf numFmtId="0" fontId="20" fillId="23" borderId="3" applyAlignment="1" pivotButton="0" quotePrefix="0" xfId="0">
      <alignment horizontal="left" vertical="center"/>
    </xf>
    <xf numFmtId="3" fontId="20" fillId="23" borderId="1" applyAlignment="1" pivotButton="0" quotePrefix="0" xfId="0">
      <alignment horizontal="right" vertical="center"/>
    </xf>
    <xf numFmtId="1" fontId="20" fillId="0" borderId="1" applyAlignment="1" pivotButton="0" quotePrefix="0" xfId="0">
      <alignment horizontal="left" vertical="center"/>
    </xf>
    <xf numFmtId="164" fontId="20" fillId="17" borderId="1" applyAlignment="1" pivotButton="0" quotePrefix="0" xfId="0">
      <alignment horizontal="left" vertical="center"/>
    </xf>
    <xf numFmtId="0" fontId="3" fillId="3" borderId="14" pivotButton="0" quotePrefix="0" xfId="0"/>
    <xf numFmtId="164" fontId="20" fillId="16" borderId="1" applyAlignment="1" pivotButton="0" quotePrefix="0" xfId="0">
      <alignment horizontal="left" vertical="center"/>
    </xf>
    <xf numFmtId="3" fontId="20" fillId="23" borderId="2" applyAlignment="1" pivotButton="0" quotePrefix="0" xfId="0">
      <alignment horizontal="right" vertical="center"/>
    </xf>
    <xf numFmtId="0" fontId="19" fillId="15" borderId="1" applyAlignment="1" pivotButton="0" quotePrefix="0" xfId="0">
      <alignment horizontal="left" vertical="center"/>
    </xf>
    <xf numFmtId="0" fontId="19" fillId="15" borderId="3" applyAlignment="1" pivotButton="0" quotePrefix="0" xfId="0">
      <alignment horizontal="left" vertical="center"/>
    </xf>
    <xf numFmtId="0" fontId="19" fillId="15" borderId="4" applyAlignment="1" pivotButton="0" quotePrefix="0" xfId="0">
      <alignment horizontal="left" vertical="center"/>
    </xf>
    <xf numFmtId="3" fontId="19" fillId="15" borderId="1" applyAlignment="1" pivotButton="0" quotePrefix="0" xfId="0">
      <alignment horizontal="right" vertical="center"/>
    </xf>
    <xf numFmtId="1" fontId="19" fillId="15" borderId="1" applyAlignment="1" pivotButton="0" quotePrefix="0" xfId="0">
      <alignment horizontal="right" vertical="center"/>
    </xf>
    <xf numFmtId="164" fontId="19" fillId="15" borderId="1" applyAlignment="1" pivotButton="0" quotePrefix="0" xfId="0">
      <alignment horizontal="left" vertical="center"/>
    </xf>
    <xf numFmtId="0" fontId="19" fillId="15" borderId="3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center"/>
    </xf>
    <xf numFmtId="0" fontId="5" fillId="0" borderId="4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/>
    </xf>
    <xf numFmtId="164" fontId="8" fillId="0" borderId="1" applyAlignment="1" pivotButton="0" quotePrefix="0" xfId="0">
      <alignment vertical="top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vertical="top" wrapText="1"/>
    </xf>
    <xf numFmtId="0" fontId="38" fillId="22" borderId="19" applyAlignment="1" pivotButton="0" quotePrefix="0" xfId="0">
      <alignment horizontal="left" vertical="center"/>
    </xf>
    <xf numFmtId="1" fontId="38" fillId="22" borderId="19" applyAlignment="1" pivotButton="0" quotePrefix="0" xfId="0">
      <alignment horizontal="left" vertical="center"/>
    </xf>
    <xf numFmtId="164" fontId="38" fillId="22" borderId="19" applyAlignment="1" pivotButton="0" quotePrefix="0" xfId="0">
      <alignment horizontal="left" vertical="center"/>
    </xf>
    <xf numFmtId="0" fontId="38" fillId="22" borderId="19" pivotButton="0" quotePrefix="0" xfId="0"/>
    <xf numFmtId="0" fontId="28" fillId="22" borderId="19" pivotButton="0" quotePrefix="0" xfId="0"/>
    <xf numFmtId="0" fontId="20" fillId="16" borderId="1" applyAlignment="1" pivotButton="0" quotePrefix="1" xfId="0">
      <alignment horizontal="left" vertical="center"/>
    </xf>
    <xf numFmtId="1" fontId="20" fillId="0" borderId="3" applyAlignment="1" pivotButton="0" quotePrefix="0" xfId="0">
      <alignment horizontal="left" vertical="center"/>
    </xf>
    <xf numFmtId="0" fontId="20" fillId="17" borderId="1" applyAlignment="1" pivotButton="0" quotePrefix="1" xfId="0">
      <alignment horizontal="left" vertical="center"/>
    </xf>
    <xf numFmtId="0" fontId="43" fillId="20" borderId="14" applyAlignment="1" pivotButton="0" quotePrefix="0" xfId="0">
      <alignment horizontal="left" vertical="center"/>
    </xf>
    <xf numFmtId="3" fontId="43" fillId="20" borderId="14" applyAlignment="1" pivotButton="0" quotePrefix="0" xfId="0">
      <alignment horizontal="right" vertical="center"/>
    </xf>
    <xf numFmtId="1" fontId="43" fillId="20" borderId="14" applyAlignment="1" pivotButton="0" quotePrefix="0" xfId="0">
      <alignment horizontal="left" vertical="center"/>
    </xf>
    <xf numFmtId="164" fontId="43" fillId="20" borderId="14" applyAlignment="1" pivotButton="0" quotePrefix="0" xfId="0">
      <alignment horizontal="left" vertical="center"/>
    </xf>
    <xf numFmtId="0" fontId="43" fillId="20" borderId="14" applyAlignment="1" pivotButton="0" quotePrefix="0" xfId="0">
      <alignment horizontal="right" vertical="center"/>
    </xf>
    <xf numFmtId="0" fontId="3" fillId="3" borderId="0" pivotButton="0" quotePrefix="0" xfId="0"/>
    <xf numFmtId="0" fontId="5" fillId="0" borderId="14" applyAlignment="1" pivotButton="0" quotePrefix="0" xfId="0">
      <alignment horizontal="left" vertical="top" wrapText="1"/>
    </xf>
    <xf numFmtId="1" fontId="5" fillId="0" borderId="14" applyAlignment="1" pivotButton="0" quotePrefix="0" xfId="0">
      <alignment horizontal="center"/>
    </xf>
    <xf numFmtId="164" fontId="8" fillId="0" borderId="14" applyAlignment="1" pivotButton="0" quotePrefix="0" xfId="0">
      <alignment vertical="top" wrapText="1"/>
    </xf>
    <xf numFmtId="0" fontId="8" fillId="0" borderId="14" applyAlignment="1" pivotButton="0" quotePrefix="0" xfId="0">
      <alignment horizontal="center"/>
    </xf>
    <xf numFmtId="0" fontId="8" fillId="0" borderId="14" applyAlignment="1" pivotButton="0" quotePrefix="0" xfId="0">
      <alignment vertical="top" wrapText="1"/>
    </xf>
    <xf numFmtId="0" fontId="25" fillId="30" borderId="14" applyAlignment="1" pivotButton="0" quotePrefix="0" xfId="0">
      <alignment horizontal="left" vertical="top" wrapText="1"/>
    </xf>
    <xf numFmtId="0" fontId="25" fillId="30" borderId="14" applyAlignment="1" pivotButton="0" quotePrefix="0" xfId="0">
      <alignment horizontal="left"/>
    </xf>
    <xf numFmtId="1" fontId="25" fillId="30" borderId="14" applyAlignment="1" pivotButton="0" quotePrefix="0" xfId="0">
      <alignment horizontal="left"/>
    </xf>
    <xf numFmtId="164" fontId="25" fillId="30" borderId="14" applyAlignment="1" pivotButton="0" quotePrefix="0" xfId="0">
      <alignment horizontal="left" vertical="top" wrapText="1"/>
    </xf>
    <xf numFmtId="0" fontId="53" fillId="30" borderId="14" applyAlignment="1" pivotButton="0" quotePrefix="0" xfId="0">
      <alignment horizontal="left"/>
    </xf>
    <xf numFmtId="0" fontId="46" fillId="3" borderId="14" pivotButton="0" quotePrefix="0" xfId="0"/>
    <xf numFmtId="0" fontId="49" fillId="0" borderId="14" applyAlignment="1" pivotButton="0" quotePrefix="0" xfId="0">
      <alignment horizontal="left" vertical="top" wrapText="1"/>
    </xf>
    <xf numFmtId="1" fontId="49" fillId="0" borderId="14" applyAlignment="1" pivotButton="0" quotePrefix="0" xfId="0">
      <alignment horizontal="center"/>
    </xf>
    <xf numFmtId="164" fontId="54" fillId="0" borderId="14" applyAlignment="1" pivotButton="0" quotePrefix="0" xfId="0">
      <alignment vertical="top" wrapText="1"/>
    </xf>
    <xf numFmtId="0" fontId="54" fillId="0" borderId="14" applyAlignment="1" pivotButton="0" quotePrefix="0" xfId="0">
      <alignment horizontal="center"/>
    </xf>
    <xf numFmtId="0" fontId="54" fillId="0" borderId="14" applyAlignment="1" pivotButton="0" quotePrefix="0" xfId="0">
      <alignment vertical="top" wrapText="1"/>
    </xf>
    <xf numFmtId="0" fontId="19" fillId="29" borderId="1" applyAlignment="1" pivotButton="0" quotePrefix="0" xfId="0">
      <alignment horizontal="left" vertical="top" wrapText="1"/>
    </xf>
    <xf numFmtId="0" fontId="19" fillId="29" borderId="1" applyAlignment="1" pivotButton="0" quotePrefix="0" xfId="0">
      <alignment horizontal="center"/>
    </xf>
    <xf numFmtId="0" fontId="19" fillId="29" borderId="1" applyAlignment="1" pivotButton="0" quotePrefix="0" xfId="0">
      <alignment horizontal="center" vertical="top" wrapText="1"/>
    </xf>
    <xf numFmtId="0" fontId="19" fillId="29" borderId="14" applyAlignment="1" pivotButton="0" quotePrefix="0" xfId="0">
      <alignment horizontal="center"/>
    </xf>
    <xf numFmtId="0" fontId="23" fillId="29" borderId="3" applyAlignment="1" pivotButton="0" quotePrefix="0" xfId="0">
      <alignment horizontal="center"/>
    </xf>
    <xf numFmtId="0" fontId="19" fillId="29" borderId="4" applyAlignment="1" pivotButton="0" quotePrefix="0" xfId="0">
      <alignment horizontal="center" vertical="top" wrapText="1"/>
    </xf>
    <xf numFmtId="1" fontId="19" fillId="29" borderId="14" applyAlignment="1" pivotButton="0" quotePrefix="0" xfId="0">
      <alignment horizontal="center"/>
    </xf>
    <xf numFmtId="164" fontId="19" fillId="29" borderId="1" applyAlignment="1" pivotButton="0" quotePrefix="0" xfId="0">
      <alignment horizontal="center" vertical="top" wrapText="1"/>
    </xf>
    <xf numFmtId="0" fontId="52" fillId="29" borderId="14" applyAlignment="1" pivotButton="0" quotePrefix="0" xfId="0">
      <alignment horizontal="center"/>
    </xf>
    <xf numFmtId="0" fontId="19" fillId="29" borderId="3" applyAlignment="1" pivotButton="0" quotePrefix="0" xfId="0">
      <alignment horizontal="center"/>
    </xf>
    <xf numFmtId="0" fontId="19" fillId="29" borderId="3" applyAlignment="1" pivotButton="0" quotePrefix="0" xfId="0">
      <alignment horizontal="center" vertical="top" wrapText="1"/>
    </xf>
    <xf numFmtId="1" fontId="19" fillId="29" borderId="1" applyAlignment="1" pivotButton="0" quotePrefix="0" xfId="0">
      <alignment horizontal="center"/>
    </xf>
    <xf numFmtId="164" fontId="52" fillId="29" borderId="1" applyAlignment="1" pivotButton="0" quotePrefix="0" xfId="0">
      <alignment horizontal="center" vertical="top" wrapText="1"/>
    </xf>
    <xf numFmtId="0" fontId="52" fillId="29" borderId="3" applyAlignment="1" pivotButton="0" quotePrefix="0" xfId="0">
      <alignment horizontal="center"/>
    </xf>
    <xf numFmtId="0" fontId="52" fillId="29" borderId="3" applyAlignment="1" pivotButton="0" quotePrefix="0" xfId="0">
      <alignment horizontal="center" vertical="top" wrapText="1"/>
    </xf>
    <xf numFmtId="0" fontId="29" fillId="31" borderId="1" applyAlignment="1" pivotButton="0" quotePrefix="0" xfId="0">
      <alignment horizontal="left" vertical="center"/>
    </xf>
    <xf numFmtId="0" fontId="29" fillId="31" borderId="3" applyAlignment="1" pivotButton="0" quotePrefix="0" xfId="0">
      <alignment horizontal="left" vertical="center"/>
    </xf>
    <xf numFmtId="0" fontId="29" fillId="31" borderId="4" applyAlignment="1" pivotButton="0" quotePrefix="0" xfId="0">
      <alignment horizontal="left" vertical="center"/>
    </xf>
    <xf numFmtId="1" fontId="29" fillId="31" borderId="1" applyAlignment="1" pivotButton="0" quotePrefix="0" xfId="0">
      <alignment horizontal="left" vertical="center"/>
    </xf>
    <xf numFmtId="164" fontId="29" fillId="31" borderId="1" applyAlignment="1" pivotButton="0" quotePrefix="0" xfId="0">
      <alignment horizontal="left" vertical="center"/>
    </xf>
    <xf numFmtId="0" fontId="29" fillId="31" borderId="14" pivotButton="0" quotePrefix="0" xfId="0"/>
    <xf numFmtId="0" fontId="37" fillId="25" borderId="1" applyAlignment="1" pivotButton="0" quotePrefix="0" xfId="0">
      <alignment horizontal="left" vertical="center"/>
    </xf>
    <xf numFmtId="0" fontId="37" fillId="25" borderId="3" applyAlignment="1" pivotButton="0" quotePrefix="0" xfId="0">
      <alignment horizontal="left" vertical="center"/>
    </xf>
    <xf numFmtId="0" fontId="37" fillId="25" borderId="4" applyAlignment="1" pivotButton="0" quotePrefix="0" xfId="0">
      <alignment horizontal="left" vertical="center"/>
    </xf>
    <xf numFmtId="1" fontId="37" fillId="25" borderId="1" applyAlignment="1" pivotButton="0" quotePrefix="0" xfId="0">
      <alignment horizontal="left" vertical="center"/>
    </xf>
    <xf numFmtId="164" fontId="37" fillId="25" borderId="1" applyAlignment="1" pivotButton="0" quotePrefix="0" xfId="0">
      <alignment horizontal="left" vertical="center"/>
    </xf>
    <xf numFmtId="0" fontId="37" fillId="25" borderId="14" pivotButton="0" quotePrefix="0" xfId="0"/>
    <xf numFmtId="0" fontId="29" fillId="25" borderId="14" pivotButton="0" quotePrefix="0" xfId="0"/>
    <xf numFmtId="0" fontId="43" fillId="20" borderId="1" applyAlignment="1" pivotButton="0" quotePrefix="0" xfId="0">
      <alignment horizontal="left" vertical="center"/>
    </xf>
    <xf numFmtId="0" fontId="43" fillId="20" borderId="3" applyAlignment="1" pivotButton="0" quotePrefix="0" xfId="0">
      <alignment horizontal="left" vertical="center"/>
    </xf>
    <xf numFmtId="0" fontId="43" fillId="20" borderId="4" applyAlignment="1" pivotButton="0" quotePrefix="0" xfId="0">
      <alignment horizontal="left" vertical="center"/>
    </xf>
    <xf numFmtId="3" fontId="43" fillId="20" borderId="1" applyAlignment="1" pivotButton="0" quotePrefix="0" xfId="0">
      <alignment horizontal="right" vertical="center"/>
    </xf>
    <xf numFmtId="1" fontId="43" fillId="20" borderId="1" applyAlignment="1" pivotButton="0" quotePrefix="0" xfId="0">
      <alignment horizontal="left" vertical="center"/>
    </xf>
    <xf numFmtId="164" fontId="43" fillId="20" borderId="1" applyAlignment="1" pivotButton="0" quotePrefix="0" xfId="0">
      <alignment horizontal="left" vertical="center"/>
    </xf>
    <xf numFmtId="0" fontId="45" fillId="26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center"/>
    </xf>
    <xf numFmtId="0" fontId="5" fillId="26" borderId="1" applyAlignment="1" pivotButton="0" quotePrefix="0" xfId="0">
      <alignment horizontal="left" vertical="top" wrapText="1"/>
    </xf>
    <xf numFmtId="0" fontId="5" fillId="26" borderId="3" applyAlignment="1" pivotButton="0" quotePrefix="0" xfId="0">
      <alignment horizontal="center"/>
    </xf>
    <xf numFmtId="0" fontId="5" fillId="26" borderId="4" applyAlignment="1" pivotButton="0" quotePrefix="0" xfId="0">
      <alignment horizontal="left" vertical="top" wrapText="1"/>
    </xf>
    <xf numFmtId="0" fontId="5" fillId="26" borderId="1" applyAlignment="1" pivotButton="0" quotePrefix="0" xfId="0">
      <alignment horizontal="right"/>
    </xf>
    <xf numFmtId="1" fontId="5" fillId="26" borderId="1" applyAlignment="1" pivotButton="0" quotePrefix="0" xfId="0">
      <alignment horizontal="center"/>
    </xf>
    <xf numFmtId="164" fontId="8" fillId="26" borderId="1" applyAlignment="1" pivotButton="0" quotePrefix="0" xfId="0">
      <alignment vertical="top" wrapText="1"/>
    </xf>
    <xf numFmtId="0" fontId="8" fillId="26" borderId="3" applyAlignment="1" pivotButton="0" quotePrefix="0" xfId="0">
      <alignment horizontal="center"/>
    </xf>
    <xf numFmtId="0" fontId="8" fillId="26" borderId="3" applyAlignment="1" pivotButton="0" quotePrefix="0" xfId="0">
      <alignment vertical="top" wrapText="1"/>
    </xf>
    <xf numFmtId="0" fontId="0" fillId="26" borderId="14" pivotButton="0" quotePrefix="0" xfId="0"/>
    <xf numFmtId="0" fontId="3" fillId="26" borderId="14" pivotButton="0" quotePrefix="0" xfId="0"/>
    <xf numFmtId="0" fontId="5" fillId="16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center"/>
    </xf>
    <xf numFmtId="0" fontId="5" fillId="23" borderId="3" applyAlignment="1" pivotButton="0" quotePrefix="0" xfId="0">
      <alignment horizontal="center"/>
    </xf>
    <xf numFmtId="0" fontId="5" fillId="16" borderId="4" applyAlignment="1" pivotButton="0" quotePrefix="0" xfId="0">
      <alignment horizontal="left" vertical="top" wrapText="1"/>
    </xf>
    <xf numFmtId="0" fontId="5" fillId="23" borderId="1" applyAlignment="1" pivotButton="0" quotePrefix="0" xfId="0">
      <alignment horizontal="right"/>
    </xf>
    <xf numFmtId="0" fontId="8" fillId="23" borderId="3" applyAlignment="1" pivotButton="0" quotePrefix="0" xfId="0">
      <alignment horizontal="center"/>
    </xf>
    <xf numFmtId="0" fontId="8" fillId="23" borderId="3" applyAlignment="1" pivotButton="0" quotePrefix="0" xfId="0">
      <alignment vertical="top" wrapText="1"/>
    </xf>
    <xf numFmtId="0" fontId="5" fillId="17" borderId="1" applyAlignment="1" pivotButton="0" quotePrefix="0" xfId="0">
      <alignment horizontal="left" vertical="top" wrapText="1"/>
    </xf>
    <xf numFmtId="0" fontId="5" fillId="17" borderId="4" applyAlignment="1" pivotButton="0" quotePrefix="0" xfId="0">
      <alignment horizontal="left" vertical="top" wrapText="1"/>
    </xf>
    <xf numFmtId="0" fontId="5" fillId="23" borderId="2" applyAlignment="1" pivotButton="0" quotePrefix="0" xfId="0">
      <alignment horizontal="right"/>
    </xf>
    <xf numFmtId="0" fontId="23" fillId="15" borderId="1" applyAlignment="1" pivotButton="0" quotePrefix="0" xfId="0">
      <alignment horizontal="left" vertical="top" wrapText="1"/>
    </xf>
    <xf numFmtId="0" fontId="23" fillId="15" borderId="1" applyAlignment="1" pivotButton="0" quotePrefix="0" xfId="0">
      <alignment horizontal="center"/>
    </xf>
    <xf numFmtId="0" fontId="23" fillId="15" borderId="3" applyAlignment="1" pivotButton="0" quotePrefix="0" xfId="0">
      <alignment horizontal="center"/>
    </xf>
    <xf numFmtId="0" fontId="23" fillId="15" borderId="4" applyAlignment="1" pivotButton="0" quotePrefix="0" xfId="0">
      <alignment horizontal="left" vertical="top" wrapText="1"/>
    </xf>
    <xf numFmtId="0" fontId="23" fillId="15" borderId="1" applyAlignment="1" pivotButton="0" quotePrefix="0" xfId="0">
      <alignment horizontal="right"/>
    </xf>
    <xf numFmtId="1" fontId="23" fillId="15" borderId="1" applyAlignment="1" pivotButton="0" quotePrefix="0" xfId="0">
      <alignment horizontal="center"/>
    </xf>
    <xf numFmtId="164" fontId="23" fillId="15" borderId="1" applyAlignment="1" pivotButton="0" quotePrefix="0" xfId="0">
      <alignment vertical="top" wrapText="1"/>
    </xf>
    <xf numFmtId="0" fontId="23" fillId="15" borderId="3" applyAlignment="1" pivotButton="0" quotePrefix="0" xfId="0">
      <alignment vertical="top" wrapText="1"/>
    </xf>
    <xf numFmtId="0" fontId="23" fillId="15" borderId="14" pivotButton="0" quotePrefix="0" xfId="0"/>
    <xf numFmtId="0" fontId="23" fillId="15" borderId="1" applyAlignment="1" pivotButton="0" quotePrefix="1" xfId="0">
      <alignment horizontal="center"/>
    </xf>
    <xf numFmtId="3" fontId="5" fillId="0" borderId="1" applyAlignment="1" pivotButton="0" quotePrefix="0" xfId="0">
      <alignment horizontal="right"/>
    </xf>
    <xf numFmtId="0" fontId="5" fillId="20" borderId="1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center"/>
    </xf>
    <xf numFmtId="0" fontId="5" fillId="20" borderId="1" applyAlignment="1" pivotButton="0" quotePrefix="0" xfId="0">
      <alignment horizontal="left"/>
    </xf>
    <xf numFmtId="0" fontId="5" fillId="20" borderId="3" applyAlignment="1" pivotButton="0" quotePrefix="0" xfId="0">
      <alignment horizontal="center"/>
    </xf>
    <xf numFmtId="0" fontId="5" fillId="20" borderId="4" applyAlignment="1" pivotButton="0" quotePrefix="0" xfId="0">
      <alignment horizontal="left" vertical="top" wrapText="1"/>
    </xf>
    <xf numFmtId="0" fontId="5" fillId="20" borderId="1" applyAlignment="1" pivotButton="0" quotePrefix="0" xfId="0">
      <alignment horizontal="right"/>
    </xf>
    <xf numFmtId="1" fontId="5" fillId="20" borderId="1" applyAlignment="1" pivotButton="0" quotePrefix="0" xfId="0">
      <alignment horizontal="center"/>
    </xf>
    <xf numFmtId="164" fontId="8" fillId="20" borderId="1" applyAlignment="1" pivotButton="0" quotePrefix="0" xfId="0">
      <alignment vertical="top" wrapText="1"/>
    </xf>
    <xf numFmtId="0" fontId="8" fillId="20" borderId="3" applyAlignment="1" pivotButton="0" quotePrefix="0" xfId="0">
      <alignment horizontal="center"/>
    </xf>
    <xf numFmtId="0" fontId="8" fillId="20" borderId="3" applyAlignment="1" pivotButton="0" quotePrefix="0" xfId="0">
      <alignment vertical="top" wrapText="1"/>
    </xf>
    <xf numFmtId="164" fontId="5" fillId="0" borderId="14" applyAlignment="1" pivotButton="0" quotePrefix="0" xfId="0">
      <alignment horizontal="left" vertical="top" wrapText="1"/>
    </xf>
    <xf numFmtId="0" fontId="10" fillId="0" borderId="14" applyAlignment="1" pivotButton="0" quotePrefix="0" xfId="0">
      <alignment horizontal="left" vertical="top" wrapText="1"/>
    </xf>
    <xf numFmtId="3" fontId="11" fillId="0" borderId="14" pivotButton="0" quotePrefix="0" xfId="0"/>
    <xf numFmtId="14" fontId="11" fillId="0" borderId="14" applyAlignment="1" pivotButton="0" quotePrefix="0" xfId="0">
      <alignment horizontal="right" vertical="top" wrapText="1"/>
    </xf>
    <xf numFmtId="1" fontId="3" fillId="0" borderId="14" applyAlignment="1" pivotButton="0" quotePrefix="0" xfId="0">
      <alignment horizontal="center"/>
    </xf>
    <xf numFmtId="1" fontId="11" fillId="0" borderId="14" applyAlignment="1" pivotButton="0" quotePrefix="0" xfId="0">
      <alignment horizontal="center"/>
    </xf>
    <xf numFmtId="3" fontId="0" fillId="0" borderId="14" applyAlignment="1" pivotButton="0" quotePrefix="0" xfId="0">
      <alignment horizontal="left" vertical="top" wrapText="1"/>
    </xf>
    <xf numFmtId="3" fontId="0" fillId="0" borderId="14" applyAlignment="1" pivotButton="0" quotePrefix="0" xfId="0">
      <alignment horizontal="center"/>
    </xf>
    <xf numFmtId="1" fontId="10" fillId="0" borderId="14" applyAlignment="1" pivotButton="0" quotePrefix="0" xfId="0">
      <alignment horizontal="center"/>
    </xf>
    <xf numFmtId="49" fontId="12" fillId="0" borderId="14" applyAlignment="1" pivotButton="0" quotePrefix="0" xfId="0">
      <alignment horizontal="left" vertical="top" wrapText="1"/>
    </xf>
    <xf numFmtId="49" fontId="12" fillId="0" borderId="14" applyAlignment="1" pivotButton="0" quotePrefix="0" xfId="0">
      <alignment horizontal="center"/>
    </xf>
    <xf numFmtId="1" fontId="11" fillId="0" borderId="14" applyAlignment="1" pivotButton="0" quotePrefix="0" xfId="0">
      <alignment horizontal="center" vertical="top" wrapText="1"/>
    </xf>
    <xf numFmtId="0" fontId="10" fillId="0" borderId="14" pivotButton="0" quotePrefix="0" xfId="0"/>
    <xf numFmtId="1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39" fillId="15" borderId="14" applyAlignment="1" pivotButton="0" quotePrefix="0" xfId="0">
      <alignment horizontal="left" vertical="center"/>
    </xf>
    <xf numFmtId="0" fontId="0" fillId="0" borderId="0" pivotButton="0" quotePrefix="0" xfId="0"/>
    <xf numFmtId="0" fontId="40" fillId="16" borderId="14" pivotButton="0" quotePrefix="0" xfId="0"/>
    <xf numFmtId="0" fontId="39" fillId="28" borderId="14" applyAlignment="1" pivotButton="0" quotePrefix="0" xfId="0">
      <alignment horizontal="left" vertical="center"/>
    </xf>
    <xf numFmtId="0" fontId="35" fillId="17" borderId="14" applyAlignment="1" pivotButton="0" quotePrefix="0" xfId="0">
      <alignment horizontal="left" vertical="center"/>
    </xf>
    <xf numFmtId="0" fontId="29" fillId="19" borderId="21" applyAlignment="1" pivotButton="0" quotePrefix="0" xfId="0">
      <alignment horizontal="left" vertical="center"/>
    </xf>
    <xf numFmtId="0" fontId="0" fillId="0" borderId="21" pivotButton="0" quotePrefix="0" xfId="0"/>
    <xf numFmtId="0" fontId="40" fillId="30" borderId="14" applyAlignment="1" pivotButton="0" quotePrefix="0" xfId="0">
      <alignment horizontal="left" vertical="center"/>
    </xf>
    <xf numFmtId="0" fontId="19" fillId="15" borderId="22" applyAlignment="1" pivotButton="0" quotePrefix="0" xfId="0">
      <alignment horizontal="left" vertical="center"/>
    </xf>
    <xf numFmtId="0" fontId="23" fillId="12" borderId="14" applyAlignment="1" pivotButton="0" quotePrefix="0" xfId="0">
      <alignment horizontal="left" vertical="center"/>
    </xf>
    <xf numFmtId="0" fontId="23" fillId="11" borderId="14" applyAlignment="1" pivotButton="0" quotePrefix="0" xfId="0">
      <alignment horizontal="left" vertical="center"/>
    </xf>
    <xf numFmtId="0" fontId="40" fillId="16" borderId="14" applyAlignment="1" pivotButton="0" quotePrefix="0" xfId="0">
      <alignment horizontal="left" vertical="center"/>
    </xf>
  </cellXfs>
  <cellStyles count="8">
    <cellStyle name="Standaard" xfId="0" builtinId="0"/>
    <cellStyle name="Stijl 1" xfId="1"/>
    <cellStyle name="Stijl 2" xfId="2"/>
    <cellStyle name="Stijl 3" xfId="3"/>
    <cellStyle name="Standaard 2" xfId="4"/>
    <cellStyle name="Standaard 3" xfId="5"/>
    <cellStyle name="Komma 2" xfId="6"/>
    <cellStyle name="Standaard_Niveau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Jolanda Wijnen</author>
  </authors>
  <commentList>
    <comment ref="B2" authorId="0" shapeId="0">
      <text>
        <t>Jolanda Wijnen:
1 budget met omschrijving 'Kosten Raad'</t>
      </text>
    </comment>
    <comment ref="B8" authorId="0" shapeId="0">
      <text>
        <t>Jolanda Wijnen:
kosten voormalig personeel B&amp;W</t>
      </text>
    </comment>
  </commentList>
</comment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Blad3">
    <tabColor rgb="FF2E7D32"/>
    <outlinePr summaryBelow="1" summaryRight="1"/>
    <pageSetUpPr/>
  </sheetPr>
  <dimension ref="A1:T290"/>
  <sheetViews>
    <sheetView showZeros="0" tabSelected="1" zoomScale="85" zoomScaleNormal="85" workbookViewId="0">
      <selection activeCell="E18" sqref="E18"/>
    </sheetView>
  </sheetViews>
  <sheetFormatPr baseColWidth="8" defaultColWidth="0" defaultRowHeight="15"/>
  <cols>
    <col width="28" customWidth="1" style="4" min="1" max="1"/>
    <col hidden="1" width="12" customWidth="1" style="2" min="2" max="2"/>
    <col hidden="1" width="10" customWidth="1" style="2" min="3" max="3"/>
    <col width="28" customWidth="1" style="4" min="4" max="4"/>
    <col width="12" customWidth="1" style="4" min="5" max="5"/>
    <col width="12" customWidth="1" style="2" min="6" max="6"/>
    <col width="35" customWidth="1" style="4" min="7" max="7"/>
    <col width="14" customWidth="1" style="399" min="8" max="8"/>
    <col width="12" customWidth="1" style="400" min="9" max="9"/>
    <col width="12" customWidth="1" style="2" min="10" max="10"/>
    <col width="12" customWidth="1" style="4" min="11" max="11"/>
    <col hidden="1" width="8" customWidth="1" style="3" min="12" max="12"/>
    <col hidden="1" width="30" customWidth="1" style="402" min="13" max="13"/>
    <col width="14" customWidth="1" style="402" min="14" max="14"/>
    <col width="28" customWidth="1" style="402" min="15" max="15"/>
    <col hidden="1" width="9" customWidth="1" style="1" min="16" max="16"/>
    <col hidden="1" width="35" customWidth="1" style="1" min="17" max="17"/>
    <col hidden="1" width="40" customWidth="1" style="1" min="18" max="18"/>
    <col hidden="1" width="5" customWidth="1" style="1" min="19" max="21"/>
    <col hidden="1" width="5" customWidth="1" style="1" min="22" max="16384"/>
  </cols>
  <sheetData>
    <row r="1" ht="24" customHeight="1" s="402">
      <c r="A1" s="401" t="inlineStr">
        <is>
          <t>Invullen groen — Begrotingswijziging</t>
        </is>
      </c>
      <c r="B1" s="76" t="n"/>
      <c r="C1" s="76" t="n"/>
      <c r="D1" s="76" t="n"/>
      <c r="E1" s="76" t="n"/>
      <c r="F1" s="76" t="n"/>
      <c r="G1" s="76" t="n"/>
      <c r="H1" s="76" t="n"/>
      <c r="I1" s="76" t="n"/>
      <c r="J1" s="76" t="n"/>
      <c r="K1" s="76" t="n"/>
      <c r="L1" s="76" t="n"/>
      <c r="M1" s="76" t="n"/>
      <c r="N1" s="76" t="n"/>
      <c r="O1" s="76" t="n"/>
      <c r="P1" s="76" t="n"/>
      <c r="Q1" s="124" t="n"/>
      <c r="R1" s="124" t="n"/>
      <c r="S1" s="124" t="n"/>
      <c r="T1" s="124" t="n"/>
    </row>
    <row r="2" ht="18" customHeight="1" s="402">
      <c r="A2" s="412">
        <f>A4</f>
        <v/>
      </c>
      <c r="B2" s="209" t="n"/>
      <c r="C2" s="412" t="n"/>
      <c r="D2" s="412" t="n"/>
      <c r="E2" s="412" t="n"/>
      <c r="F2" s="412" t="n"/>
      <c r="G2" s="412" t="n"/>
      <c r="H2" s="412" t="n"/>
      <c r="I2" s="412" t="n"/>
      <c r="J2" s="412" t="n"/>
      <c r="K2" s="412" t="n"/>
      <c r="L2" s="412">
        <f>IFERROR('Invullen groen'!L4,"")</f>
        <v/>
      </c>
      <c r="M2" s="412" t="n"/>
      <c r="N2" s="412" t="n"/>
      <c r="O2" s="412" t="n"/>
      <c r="P2" s="412" t="n"/>
      <c r="Q2" s="124" t="n"/>
      <c r="R2" s="124" t="n"/>
      <c r="S2" s="124" t="n"/>
      <c r="T2" s="124" t="n"/>
    </row>
    <row r="3" ht="13.9" customHeight="1" s="402">
      <c r="A3" s="210" t="n"/>
      <c r="B3" s="211" t="n"/>
      <c r="C3" s="210" t="n"/>
      <c r="D3" s="210" t="n"/>
      <c r="E3" s="210" t="n"/>
      <c r="F3" s="210" t="n"/>
      <c r="G3" s="210" t="n"/>
      <c r="H3" s="210" t="n"/>
      <c r="I3" s="210" t="n"/>
      <c r="J3" s="210" t="n"/>
      <c r="K3" s="210" t="n"/>
      <c r="L3" s="210" t="n"/>
      <c r="M3" s="212" t="n"/>
      <c r="N3" s="210" t="n"/>
      <c r="O3" s="210" t="n"/>
      <c r="P3" s="210" t="n"/>
      <c r="Q3" s="116" t="n"/>
      <c r="R3" s="116" t="n"/>
      <c r="S3" s="124" t="n"/>
      <c r="T3" s="124" t="n"/>
    </row>
    <row r="4" ht="22.15" customHeight="1" s="402">
      <c r="A4" s="213" t="inlineStr">
        <is>
          <t>Begrotingswijziging 2026</t>
        </is>
      </c>
      <c r="B4" s="213" t="n"/>
      <c r="C4" s="213" t="n"/>
      <c r="D4" s="213" t="n"/>
      <c r="E4" s="213" t="n"/>
      <c r="F4" s="213" t="n"/>
      <c r="G4" s="214" t="inlineStr">
        <is>
          <t>Nummer wijziging:</t>
        </is>
      </c>
      <c r="H4" s="215" t="n"/>
      <c r="I4" s="213" t="n"/>
      <c r="J4" s="213" t="n"/>
      <c r="K4" s="213" t="n"/>
      <c r="L4" s="213" t="n"/>
      <c r="M4" s="216" t="n"/>
      <c r="N4" s="213" t="n"/>
      <c r="O4" s="213" t="n"/>
      <c r="P4" s="213" t="n"/>
      <c r="Q4" s="116" t="n"/>
      <c r="R4" s="116" t="n"/>
      <c r="S4" s="124" t="n"/>
      <c r="T4" s="124" t="n"/>
    </row>
    <row r="5" ht="16.15" customHeight="1" s="402">
      <c r="A5" s="217" t="inlineStr">
        <is>
          <t>Omschrijving wijziging:</t>
        </is>
      </c>
      <c r="B5" s="77" t="n"/>
      <c r="C5" s="77" t="n"/>
      <c r="D5" s="218" t="n"/>
      <c r="E5" s="77" t="n"/>
      <c r="F5" s="77" t="n"/>
      <c r="G5" s="77" t="n"/>
      <c r="H5" s="77" t="n"/>
      <c r="I5" s="77" t="n"/>
      <c r="J5" s="77" t="n"/>
      <c r="K5" s="77" t="n"/>
      <c r="L5" s="77" t="n"/>
      <c r="M5" s="219" t="n"/>
      <c r="N5" s="77" t="n"/>
      <c r="O5" s="77" t="n"/>
      <c r="P5" s="77" t="n"/>
      <c r="Q5" s="116" t="n"/>
      <c r="R5" s="116" t="n"/>
      <c r="S5" s="124" t="n"/>
      <c r="T5" s="124" t="n"/>
    </row>
    <row r="6" ht="16.15" customHeight="1" s="402">
      <c r="A6" s="217" t="inlineStr">
        <is>
          <t>Programma / afdeling:</t>
        </is>
      </c>
      <c r="B6" s="220" t="n"/>
      <c r="C6" s="218" t="n"/>
      <c r="D6" s="218" t="n"/>
      <c r="E6" s="217" t="n"/>
      <c r="F6" s="77" t="n"/>
      <c r="G6" s="217" t="inlineStr">
        <is>
          <t>Corsanummer wijziging:</t>
        </is>
      </c>
      <c r="H6" s="218" t="n"/>
      <c r="I6" s="77" t="n"/>
      <c r="J6" s="77" t="n"/>
      <c r="K6" s="77" t="n"/>
      <c r="L6" s="77" t="n"/>
      <c r="M6" s="221" t="n"/>
      <c r="N6" s="217" t="n"/>
      <c r="O6" s="217" t="n"/>
      <c r="P6" s="77" t="n"/>
      <c r="Q6" s="222" t="inlineStr">
        <is>
          <t>Controle budgettair neutrale categorieen</t>
        </is>
      </c>
      <c r="R6" s="222" t="n"/>
      <c r="S6" s="223" t="n"/>
      <c r="T6" s="224" t="n"/>
    </row>
    <row r="7" ht="16.15" customHeight="1" s="402">
      <c r="A7" s="77" t="n"/>
      <c r="B7" s="77" t="n"/>
      <c r="C7" s="220" t="n"/>
      <c r="D7" s="77" t="n"/>
      <c r="E7" s="77" t="n"/>
      <c r="F7" s="77" t="n"/>
      <c r="G7" s="217" t="inlineStr">
        <is>
          <t>Corsanummer raadsvoorstel:</t>
        </is>
      </c>
      <c r="H7" s="218" t="n"/>
      <c r="I7" s="77" t="n"/>
      <c r="J7" s="77" t="n"/>
      <c r="K7" s="77" t="n"/>
      <c r="L7" s="77" t="n"/>
      <c r="M7" s="219" t="n"/>
      <c r="N7" s="77" t="n"/>
      <c r="O7" s="77" t="n"/>
      <c r="P7" s="77" t="n"/>
      <c r="Q7" s="116" t="n"/>
      <c r="R7" s="116" t="n"/>
      <c r="S7" s="124" t="n"/>
      <c r="T7" s="124" t="n"/>
    </row>
    <row r="8" ht="16.15" customHeight="1" s="402">
      <c r="A8" s="77" t="n"/>
      <c r="B8" s="77" t="n"/>
      <c r="C8" s="220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219" t="n"/>
      <c r="N8" s="77" t="n"/>
      <c r="O8" s="77" t="n"/>
      <c r="P8" s="77" t="n"/>
      <c r="Q8" s="110" t="inlineStr">
        <is>
          <t>Nummer wijziging:</t>
        </is>
      </c>
      <c r="R8" s="225" t="n"/>
      <c r="S8" s="145" t="n"/>
      <c r="T8" s="226" t="n"/>
    </row>
    <row r="9" ht="16.15" customHeight="1" s="402">
      <c r="A9" s="217" t="n"/>
      <c r="B9" s="217" t="n"/>
      <c r="C9" s="77" t="n"/>
      <c r="D9" s="217" t="n"/>
      <c r="E9" s="217" t="n"/>
      <c r="F9" s="77" t="n"/>
      <c r="G9" s="77" t="n"/>
      <c r="H9" s="77" t="n"/>
      <c r="I9" s="77" t="n"/>
      <c r="J9" s="77" t="n"/>
      <c r="K9" s="77" t="n"/>
      <c r="L9" s="77" t="n"/>
      <c r="M9" s="219" t="n"/>
      <c r="N9" s="77" t="n"/>
      <c r="O9" s="77" t="n"/>
      <c r="P9" s="77" t="n"/>
      <c r="Q9" s="116" t="n"/>
      <c r="R9" s="116" t="n"/>
      <c r="S9" s="124" t="n"/>
      <c r="T9" s="124" t="n"/>
    </row>
    <row r="10" ht="16.15" customHeight="1" s="402">
      <c r="A10" s="77" t="n"/>
      <c r="B10" s="77" t="n"/>
      <c r="C10" s="77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219" t="n"/>
      <c r="N10" s="77" t="n"/>
      <c r="O10" s="77" t="n"/>
      <c r="P10" s="77" t="n"/>
      <c r="Q10" s="116" t="n"/>
      <c r="R10" s="116" t="n"/>
      <c r="S10" s="124" t="n"/>
      <c r="T10" s="124" t="n"/>
    </row>
    <row r="11" ht="18" customHeight="1" s="402">
      <c r="A11" s="227" t="inlineStr">
        <is>
          <t>A. Mutaties in de inkomsten en uitgaven (raming van baten en lasten)</t>
        </is>
      </c>
      <c r="B11" s="217" t="n"/>
      <c r="C11" s="217" t="n"/>
      <c r="D11" s="217" t="n"/>
      <c r="E11" s="217" t="n"/>
      <c r="F11" s="217" t="n"/>
      <c r="G11" s="217" t="n"/>
      <c r="H11" s="228" t="inlineStr">
        <is>
          <t>-/- = baten</t>
        </is>
      </c>
      <c r="I11" s="217" t="n"/>
      <c r="J11" s="217" t="n"/>
      <c r="K11" s="217" t="n"/>
      <c r="L11" s="217" t="n"/>
      <c r="M11" s="221" t="n"/>
      <c r="N11" s="217" t="n"/>
      <c r="O11" s="217" t="n"/>
      <c r="P11" s="217" t="n"/>
      <c r="Q11" s="116" t="n"/>
      <c r="R11" s="116" t="n"/>
      <c r="S11" s="124" t="n"/>
      <c r="T11" s="124" t="n"/>
    </row>
    <row r="12" ht="6" customHeight="1" s="402">
      <c r="A12" s="229" t="n"/>
      <c r="B12" s="230" t="n"/>
      <c r="C12" s="230" t="n"/>
      <c r="D12" s="229" t="n"/>
      <c r="E12" s="229" t="n"/>
      <c r="F12" s="230" t="n"/>
      <c r="G12" s="229" t="n"/>
      <c r="H12" s="231" t="n"/>
      <c r="I12" s="231" t="n"/>
      <c r="J12" s="231" t="n"/>
      <c r="K12" s="232" t="n"/>
      <c r="L12" s="233" t="n"/>
      <c r="M12" s="234" t="n"/>
      <c r="N12" s="230" t="n"/>
      <c r="O12" s="229" t="n"/>
      <c r="P12" s="233" t="n"/>
      <c r="Q12" s="116" t="n"/>
      <c r="R12" s="116" t="n"/>
      <c r="S12" s="124" t="n"/>
      <c r="T12" s="124" t="n"/>
    </row>
    <row r="13" ht="19.9" customFormat="1" customHeight="1" s="243">
      <c r="A13" s="235" t="inlineStr">
        <is>
          <t>Programma</t>
        </is>
      </c>
      <c r="B13" s="236" t="inlineStr">
        <is>
          <t>Nr.hoofd-
taakveld</t>
        </is>
      </c>
      <c r="C13" s="236" t="inlineStr">
        <is>
          <t>Nr.
taakveld</t>
        </is>
      </c>
      <c r="D13" s="236" t="inlineStr">
        <is>
          <t>Omschrijving taakveld</t>
        </is>
      </c>
      <c r="E13" s="237" t="inlineStr">
        <is>
          <t>Nr grootboek</t>
        </is>
      </c>
      <c r="F13" s="238" t="inlineStr">
        <is>
          <t>Econ.
categorie</t>
        </is>
      </c>
      <c r="G13" s="236" t="inlineStr">
        <is>
          <t>Omschrijving grootboek</t>
        </is>
      </c>
      <c r="H13" s="236" t="inlineStr">
        <is>
          <t>Bgr.jaar</t>
        </is>
      </c>
      <c r="I13" s="236" t="inlineStr">
        <is>
          <t>MJR</t>
        </is>
      </c>
      <c r="J13" s="236" t="inlineStr">
        <is>
          <t>MJR</t>
        </is>
      </c>
      <c r="K13" s="236" t="inlineStr">
        <is>
          <t>MJR</t>
        </is>
      </c>
      <c r="L13" s="239" t="inlineStr">
        <is>
          <t>Bgr w</t>
        </is>
      </c>
      <c r="M13" s="240" t="inlineStr">
        <is>
          <t>Omschr.
kostencat.</t>
        </is>
      </c>
      <c r="N13" s="236" t="inlineStr">
        <is>
          <t>Nr verbijz-</t>
        </is>
      </c>
      <c r="O13" s="236" t="inlineStr">
        <is>
          <t>Omschrijving</t>
        </is>
      </c>
      <c r="P13" s="237" t="n"/>
      <c r="Q13" s="241" t="inlineStr">
        <is>
          <t>Lasten</t>
        </is>
      </c>
      <c r="R13" s="241" t="inlineStr">
        <is>
          <t>Baten</t>
        </is>
      </c>
      <c r="S13" s="242" t="n"/>
      <c r="T13" s="242" t="n"/>
    </row>
    <row r="14" ht="19.9" customFormat="1" customHeight="1" s="243">
      <c r="A14" s="236" t="n"/>
      <c r="B14" s="236" t="n"/>
      <c r="C14" s="236" t="n"/>
      <c r="D14" s="236" t="n"/>
      <c r="E14" s="237" t="n"/>
      <c r="F14" s="244" t="inlineStr">
        <is>
          <t>nr</t>
        </is>
      </c>
      <c r="G14" s="245" t="n"/>
      <c r="H14" s="236" t="n">
        <v>2026</v>
      </c>
      <c r="I14" s="236" t="n">
        <v>2027</v>
      </c>
      <c r="J14" s="236" t="n">
        <v>2028</v>
      </c>
      <c r="K14" s="236" t="n">
        <v>2029</v>
      </c>
      <c r="L14" s="239" t="n"/>
      <c r="M14" s="240" t="n"/>
      <c r="N14" s="246" t="inlineStr">
        <is>
          <t>ondering</t>
        </is>
      </c>
      <c r="O14" s="246" t="inlineStr">
        <is>
          <t>verbijzondering</t>
        </is>
      </c>
      <c r="P14" s="237" t="n"/>
      <c r="Q14" s="241" t="inlineStr">
        <is>
          <t>47100 / 47200</t>
        </is>
      </c>
      <c r="R14" s="241" t="inlineStr">
        <is>
          <t>87100 / 87201</t>
        </is>
      </c>
      <c r="S14" s="242" t="n"/>
      <c r="T14" s="242" t="n"/>
    </row>
    <row r="15" ht="19.9" customHeight="1" s="402">
      <c r="A15" s="235" t="n"/>
      <c r="B15" s="236" t="n"/>
      <c r="C15" s="236" t="n"/>
      <c r="D15" s="236" t="n"/>
      <c r="E15" s="236" t="n"/>
      <c r="F15" s="244" t="n"/>
      <c r="G15" s="245" t="n"/>
      <c r="H15" s="236" t="n"/>
      <c r="I15" s="236" t="n"/>
      <c r="J15" s="236" t="n"/>
      <c r="K15" s="236" t="n"/>
      <c r="L15" s="247" t="n"/>
      <c r="M15" s="240" t="n"/>
      <c r="N15" s="246" t="n"/>
      <c r="O15" s="246" t="n"/>
      <c r="P15" s="237" t="n"/>
      <c r="Q15" s="248" t="inlineStr">
        <is>
          <t>47201 / 47500</t>
        </is>
      </c>
      <c r="R15" s="248" t="inlineStr">
        <is>
          <t>87201 / 87500</t>
        </is>
      </c>
      <c r="S15" s="124" t="n"/>
      <c r="T15" s="124" t="n"/>
    </row>
    <row r="16" ht="18" customHeight="1" s="402">
      <c r="A16" s="249" t="inlineStr">
        <is>
          <t>A. Uitgaven en inkomsten</t>
        </is>
      </c>
      <c r="B16" s="249" t="n"/>
      <c r="C16" s="249" t="n"/>
      <c r="D16" s="249" t="n"/>
      <c r="E16" s="249" t="n"/>
      <c r="F16" s="250" t="n"/>
      <c r="G16" s="251" t="n"/>
      <c r="H16" s="249" t="n"/>
      <c r="I16" s="249" t="n"/>
      <c r="J16" s="249" t="n"/>
      <c r="K16" s="249" t="n"/>
      <c r="L16" s="252" t="n"/>
      <c r="M16" s="253" t="n"/>
      <c r="N16" s="250" t="n"/>
      <c r="O16" s="250" t="n"/>
      <c r="P16" s="254" t="n"/>
      <c r="Q16" s="255" t="inlineStr">
        <is>
          <t>→ alleen directe lasten en baten; reserves/voorzieningen in sectie B</t>
        </is>
      </c>
      <c r="R16" s="255" t="n"/>
      <c r="S16" s="256" t="n"/>
      <c r="T16" s="256" t="n"/>
    </row>
    <row r="17" ht="15" customHeight="1" s="402">
      <c r="A17" s="80">
        <f>IFERROR(VLOOKUP(E17,Tabellen!A:F,4),0)</f>
        <v/>
      </c>
      <c r="B17" s="80" t="n"/>
      <c r="C17" s="80">
        <f>IFERROR(VLOOKUP(E17,Tabellen!A:F,5),0)</f>
        <v/>
      </c>
      <c r="D17" s="80">
        <f>IFERROR(VLOOKUP(E17,Tabellen!A:F,6),0)</f>
        <v/>
      </c>
      <c r="E17" s="257" t="n"/>
      <c r="F17" s="258" t="n"/>
      <c r="G17" s="130">
        <f>IFERROR(VLOOKUP(E17,Tabellen!A:F,2),0)</f>
        <v/>
      </c>
      <c r="H17" s="259" t="n"/>
      <c r="I17" s="259" t="n"/>
      <c r="J17" s="259" t="n"/>
      <c r="K17" s="259" t="n"/>
      <c r="L17" s="260">
        <f>IF(E17&gt;0,$H$4,0)</f>
        <v/>
      </c>
      <c r="M17" s="261">
        <f>IFERROR(VLOOKUP(F17,Tabellen!H:I,2),0)</f>
        <v/>
      </c>
      <c r="N17" s="258" t="n"/>
      <c r="O17" s="258" t="n"/>
      <c r="P17" s="78">
        <f>IF(E17&gt;0,COUNTIF($E$17:E17,"&gt;0"),0)</f>
        <v/>
      </c>
      <c r="Q17" s="262">
        <f>IF(OR(F17=47201,F17=47100,F17=47200,F17=47500),H17,0)</f>
        <v/>
      </c>
      <c r="R17" s="262">
        <f>IF(OR(F17=87201,F17=87100,F17=87200,F17=87500),H17,0)</f>
        <v/>
      </c>
    </row>
    <row r="18" ht="15" customHeight="1" s="402">
      <c r="A18" s="79">
        <f>IFERROR(VLOOKUP(E18,Tabellen!A:F,4),0)</f>
        <v/>
      </c>
      <c r="B18" s="79" t="n"/>
      <c r="C18" s="79">
        <f>IFERROR(VLOOKUP(E18,Tabellen!A:F,5),0)</f>
        <v/>
      </c>
      <c r="D18" s="79">
        <f>IFERROR(VLOOKUP(E18,Tabellen!A:F,6),0)</f>
        <v/>
      </c>
      <c r="E18" s="257" t="n"/>
      <c r="F18" s="258" t="n"/>
      <c r="G18" s="79">
        <f>IFERROR(VLOOKUP(E18,Tabellen!A:F,2),0)</f>
        <v/>
      </c>
      <c r="H18" s="259" t="n"/>
      <c r="I18" s="259" t="n"/>
      <c r="J18" s="259" t="n"/>
      <c r="K18" s="259" t="n"/>
      <c r="L18" s="260">
        <f>IF(E18&gt;0,$H$4,0)</f>
        <v/>
      </c>
      <c r="M18" s="263">
        <f>IFERROR(VLOOKUP(F18,Tabellen!H:I,2),0)</f>
        <v/>
      </c>
      <c r="N18" s="258" t="n"/>
      <c r="O18" s="258" t="n"/>
      <c r="P18" s="77">
        <f>IF(E18&gt;0,COUNTIF($E$17:E18,"&gt;0"),0)</f>
        <v/>
      </c>
      <c r="Q18" s="262">
        <f>IF(OR(F18=47201,F18=47100,F18=47200,F18=47500),H18,0)</f>
        <v/>
      </c>
      <c r="R18" s="262">
        <f>IF(OR(F18=87201,F18=87100,F18=87200,F18=87500),H18,0)</f>
        <v/>
      </c>
    </row>
    <row r="19" ht="15" customHeight="1" s="402">
      <c r="A19" s="80">
        <f>IFERROR(VLOOKUP(E19,Tabellen!A:F,4),0)</f>
        <v/>
      </c>
      <c r="B19" s="80" t="n"/>
      <c r="C19" s="80">
        <f>IFERROR(VLOOKUP(E19,Tabellen!A:F,5),0)</f>
        <v/>
      </c>
      <c r="D19" s="80">
        <f>IFERROR(VLOOKUP(E19,Tabellen!A:F,6),0)</f>
        <v/>
      </c>
      <c r="E19" s="257" t="n"/>
      <c r="F19" s="258">
        <f>IFERROR(VLOOKUP(E19,Tabellen!A:H,8),0)</f>
        <v/>
      </c>
      <c r="G19" s="80">
        <f>IFERROR(VLOOKUP(E19,Tabellen!A:F,2),0)</f>
        <v/>
      </c>
      <c r="H19" s="259" t="n"/>
      <c r="I19" s="259" t="n"/>
      <c r="J19" s="259" t="n"/>
      <c r="K19" s="259" t="n"/>
      <c r="L19" s="260">
        <f>IF(E19&gt;0,$H$4,0)</f>
        <v/>
      </c>
      <c r="M19" s="261">
        <f>IFERROR(VLOOKUP(F19,Tabellen!H:I,2),0)</f>
        <v/>
      </c>
      <c r="N19" s="258" t="n"/>
      <c r="O19" s="258" t="n"/>
      <c r="P19" s="78">
        <f>IF(E19&gt;0,COUNTIF($E$17:E19,"&gt;0"),0)</f>
        <v/>
      </c>
      <c r="Q19" s="262">
        <f>IF(OR(F19=47201,F19=47100,F19=47200,F19=47500),H19,0)</f>
        <v/>
      </c>
      <c r="R19" s="262">
        <f>IF(OR(F19=87201,F19=87100,F19=87200,F19=87500),H19,0)</f>
        <v/>
      </c>
    </row>
    <row r="20" ht="15" customHeight="1" s="402">
      <c r="A20" s="79">
        <f>IFERROR(VLOOKUP(E20,Tabellen!A:F,4),0)</f>
        <v/>
      </c>
      <c r="B20" s="79" t="n"/>
      <c r="C20" s="79">
        <f>IFERROR(VLOOKUP(E20,Tabellen!A:F,5),0)</f>
        <v/>
      </c>
      <c r="D20" s="79">
        <f>IFERROR(VLOOKUP(E20,Tabellen!A:F,6),0)</f>
        <v/>
      </c>
      <c r="E20" s="257" t="n"/>
      <c r="F20" s="258">
        <f>IFERROR(VLOOKUP(E20,Tabellen!A:H,8),0)</f>
        <v/>
      </c>
      <c r="G20" s="79">
        <f>IFERROR(VLOOKUP(E20,Tabellen!A:F,2),0)</f>
        <v/>
      </c>
      <c r="H20" s="259" t="n"/>
      <c r="I20" s="259" t="n"/>
      <c r="J20" s="259" t="n"/>
      <c r="K20" s="259" t="n"/>
      <c r="L20" s="260">
        <f>IF(E20&gt;0,$H$4,0)</f>
        <v/>
      </c>
      <c r="M20" s="263">
        <f>IFERROR(VLOOKUP(F20,Tabellen!H:I,2),0)</f>
        <v/>
      </c>
      <c r="N20" s="258" t="n"/>
      <c r="O20" s="258" t="n"/>
      <c r="P20" s="77">
        <f>IF(E20&gt;0,COUNTIF($E$17:E20,"&gt;0"),0)</f>
        <v/>
      </c>
      <c r="Q20" s="262">
        <f>IF(OR(F20=47201,F20=47100,F20=47200,F20=47500),H20,0)</f>
        <v/>
      </c>
      <c r="R20" s="262">
        <f>IF(OR(F20=87201,F20=87100,F20=87200,F20=87500),H20,0)</f>
        <v/>
      </c>
    </row>
    <row r="21" ht="15" customHeight="1" s="402">
      <c r="A21" s="80">
        <f>IFERROR(VLOOKUP(E21,Tabellen!A:F,4),0)</f>
        <v/>
      </c>
      <c r="B21" s="80" t="n"/>
      <c r="C21" s="80">
        <f>IFERROR(VLOOKUP(E21,Tabellen!A:F,5),0)</f>
        <v/>
      </c>
      <c r="D21" s="80">
        <f>IFERROR(VLOOKUP(E21,Tabellen!A:F,6),0)</f>
        <v/>
      </c>
      <c r="E21" s="257" t="n"/>
      <c r="F21" s="258">
        <f>IFERROR(VLOOKUP(E21,Tabellen!A:H,8),0)</f>
        <v/>
      </c>
      <c r="G21" s="80">
        <f>IFERROR(VLOOKUP(E21,Tabellen!A:F,2),0)</f>
        <v/>
      </c>
      <c r="H21" s="259" t="n"/>
      <c r="I21" s="259" t="n"/>
      <c r="J21" s="259" t="n"/>
      <c r="K21" s="259" t="n"/>
      <c r="L21" s="260">
        <f>IF(E21&gt;0,$H$4,0)</f>
        <v/>
      </c>
      <c r="M21" s="261">
        <f>IFERROR(VLOOKUP(F21,Tabellen!H:I,2),0)</f>
        <v/>
      </c>
      <c r="N21" s="258" t="n"/>
      <c r="O21" s="258" t="n"/>
      <c r="P21" s="78">
        <f>IF(E21&gt;0,COUNTIF($E$17:E21,"&gt;0"),0)</f>
        <v/>
      </c>
      <c r="Q21" s="262">
        <f>IF(OR(F21=47201,F21=47100,F21=47200,F21=47500),H21,0)</f>
        <v/>
      </c>
      <c r="R21" s="262">
        <f>IF(OR(F21=87201,F21=87100,F21=87200,F21=87500),H21,0)</f>
        <v/>
      </c>
    </row>
    <row r="22" ht="15" customHeight="1" s="402">
      <c r="A22" s="79">
        <f>IFERROR(VLOOKUP(E22,Tabellen!A:F,4),0)</f>
        <v/>
      </c>
      <c r="B22" s="79" t="n"/>
      <c r="C22" s="79">
        <f>IFERROR(VLOOKUP(E22,Tabellen!A:F,5),0)</f>
        <v/>
      </c>
      <c r="D22" s="79">
        <f>IFERROR(VLOOKUP(E22,Tabellen!A:F,6),0)</f>
        <v/>
      </c>
      <c r="E22" s="257" t="n"/>
      <c r="F22" s="258">
        <f>IFERROR(VLOOKUP(E22,Tabellen!A:H,8),0)</f>
        <v/>
      </c>
      <c r="G22" s="79">
        <f>IFERROR(VLOOKUP(E22,Tabellen!A:F,2),0)</f>
        <v/>
      </c>
      <c r="H22" s="259" t="n"/>
      <c r="I22" s="259" t="n"/>
      <c r="J22" s="259" t="n"/>
      <c r="K22" s="259" t="n"/>
      <c r="L22" s="260">
        <f>IF(E22&gt;0,$H$4,0)</f>
        <v/>
      </c>
      <c r="M22" s="263">
        <f>IFERROR(VLOOKUP(F22,Tabellen!H:I,2),0)</f>
        <v/>
      </c>
      <c r="N22" s="258" t="n"/>
      <c r="O22" s="258" t="n"/>
      <c r="P22" s="77">
        <f>IF(E22&gt;0,COUNTIF($E$17:E22,"&gt;0"),0)</f>
        <v/>
      </c>
      <c r="Q22" s="262">
        <f>IF(OR(F22=47201,F22=47100,F22=47200,F22=47500),H22,0)</f>
        <v/>
      </c>
      <c r="R22" s="262">
        <f>IF(OR(F22=87201,F22=87100,F22=87200,F22=87500),H22,0)</f>
        <v/>
      </c>
    </row>
    <row r="23" ht="15" customHeight="1" s="402">
      <c r="A23" s="80">
        <f>IFERROR(VLOOKUP(E23,Tabellen!A:F,4),0)</f>
        <v/>
      </c>
      <c r="B23" s="80" t="n"/>
      <c r="C23" s="80">
        <f>IFERROR(VLOOKUP(E23,Tabellen!A:F,5),0)</f>
        <v/>
      </c>
      <c r="D23" s="80">
        <f>IFERROR(VLOOKUP(E23,Tabellen!A:F,6),0)</f>
        <v/>
      </c>
      <c r="E23" s="257" t="n"/>
      <c r="F23" s="258">
        <f>IFERROR(VLOOKUP(E23,Tabellen!A:H,8),0)</f>
        <v/>
      </c>
      <c r="G23" s="80">
        <f>IFERROR(VLOOKUP(E23,Tabellen!A:F,2),0)</f>
        <v/>
      </c>
      <c r="H23" s="259" t="n"/>
      <c r="I23" s="259" t="n"/>
      <c r="J23" s="259" t="n"/>
      <c r="K23" s="259" t="n"/>
      <c r="L23" s="260">
        <f>IF(E23&gt;0,$H$4,0)</f>
        <v/>
      </c>
      <c r="M23" s="261">
        <f>IFERROR(VLOOKUP(F23,Tabellen!H:I,2),0)</f>
        <v/>
      </c>
      <c r="N23" s="258" t="n"/>
      <c r="O23" s="258" t="n"/>
      <c r="P23" s="78">
        <f>IF(E23&gt;0,COUNTIF($E$17:E23,"&gt;0"),0)</f>
        <v/>
      </c>
      <c r="Q23" s="262">
        <f>IF(OR(F23=47201,F23=47100,F23=47200,F23=47500),H23,0)</f>
        <v/>
      </c>
      <c r="R23" s="262">
        <f>IF(OR(F23=87201,F23=87100,F23=87200,F23=87500),H23,0)</f>
        <v/>
      </c>
    </row>
    <row r="24" ht="15" customHeight="1" s="402">
      <c r="A24" s="79">
        <f>IFERROR(VLOOKUP(E24,Tabellen!A:F,4),0)</f>
        <v/>
      </c>
      <c r="B24" s="79" t="n"/>
      <c r="C24" s="79">
        <f>IFERROR(VLOOKUP(E24,Tabellen!A:F,5),0)</f>
        <v/>
      </c>
      <c r="D24" s="79">
        <f>IFERROR(VLOOKUP(E24,Tabellen!A:F,6),0)</f>
        <v/>
      </c>
      <c r="E24" s="257" t="n"/>
      <c r="F24" s="258">
        <f>IFERROR(VLOOKUP(E24,Tabellen!A:H,8),0)</f>
        <v/>
      </c>
      <c r="G24" s="79">
        <f>IFERROR(VLOOKUP(E24,Tabellen!A:F,2),0)</f>
        <v/>
      </c>
      <c r="H24" s="259" t="n"/>
      <c r="I24" s="259" t="n"/>
      <c r="J24" s="259" t="n"/>
      <c r="K24" s="259" t="n"/>
      <c r="L24" s="260">
        <f>IF(E24&gt;0,$H$4,0)</f>
        <v/>
      </c>
      <c r="M24" s="263">
        <f>IFERROR(VLOOKUP(F24,Tabellen!H:I,2),0)</f>
        <v/>
      </c>
      <c r="N24" s="258" t="n"/>
      <c r="O24" s="258" t="n"/>
      <c r="P24" s="77">
        <f>IF(E24&gt;0,COUNTIF($E$17:E24,"&gt;0"),0)</f>
        <v/>
      </c>
      <c r="Q24" s="262">
        <f>IF(OR(F24=47201,F24=47100,F24=47200,F24=47500),H24,0)</f>
        <v/>
      </c>
      <c r="R24" s="262">
        <f>IF(OR(F24=87201,F24=87100,F24=87200,F24=87500),H24,0)</f>
        <v/>
      </c>
    </row>
    <row r="25" ht="15" customHeight="1" s="402">
      <c r="A25" s="80">
        <f>IFERROR(VLOOKUP(E25,Tabellen!A:F,4),0)</f>
        <v/>
      </c>
      <c r="B25" s="80" t="n"/>
      <c r="C25" s="80">
        <f>IFERROR(VLOOKUP(E25,Tabellen!A:F,5),0)</f>
        <v/>
      </c>
      <c r="D25" s="80">
        <f>IFERROR(VLOOKUP(E25,Tabellen!A:F,6),0)</f>
        <v/>
      </c>
      <c r="E25" s="257" t="n"/>
      <c r="F25" s="258">
        <f>IFERROR(VLOOKUP(E25,Tabellen!A:H,8),0)</f>
        <v/>
      </c>
      <c r="G25" s="80">
        <f>IFERROR(VLOOKUP(E25,Tabellen!A:F,2),0)</f>
        <v/>
      </c>
      <c r="H25" s="259" t="n"/>
      <c r="I25" s="259" t="n"/>
      <c r="J25" s="259" t="n"/>
      <c r="K25" s="259" t="n"/>
      <c r="L25" s="260">
        <f>IF(E25&gt;0,$H$4,0)</f>
        <v/>
      </c>
      <c r="M25" s="261">
        <f>IFERROR(VLOOKUP(F25,Tabellen!H:I,2),0)</f>
        <v/>
      </c>
      <c r="N25" s="258" t="n"/>
      <c r="O25" s="258" t="n"/>
      <c r="P25" s="78">
        <f>IF(E25&gt;0,COUNTIF($E$17:E25,"&gt;0"),0)</f>
        <v/>
      </c>
      <c r="Q25" s="262">
        <f>IF(OR(F25=47201,F25=47100,F25=47200,F25=47500),H25,0)</f>
        <v/>
      </c>
      <c r="R25" s="262">
        <f>IF(OR(F25=87201,F25=87100,F25=87200,F25=87500),H25,0)</f>
        <v/>
      </c>
    </row>
    <row r="26" ht="15" customHeight="1" s="402">
      <c r="A26" s="79">
        <f>IFERROR(VLOOKUP(E26,Tabellen!A:F,4),0)</f>
        <v/>
      </c>
      <c r="B26" s="79" t="n"/>
      <c r="C26" s="79">
        <f>IFERROR(VLOOKUP(E26,Tabellen!A:F,5),0)</f>
        <v/>
      </c>
      <c r="D26" s="79">
        <f>IFERROR(VLOOKUP(E26,Tabellen!A:F,6),0)</f>
        <v/>
      </c>
      <c r="E26" s="257" t="n"/>
      <c r="F26" s="258">
        <f>IFERROR(VLOOKUP(E26,Tabellen!A:H,8),0)</f>
        <v/>
      </c>
      <c r="G26" s="79">
        <f>IFERROR(VLOOKUP(E26,Tabellen!A:F,2),0)</f>
        <v/>
      </c>
      <c r="H26" s="259" t="n"/>
      <c r="I26" s="259" t="n"/>
      <c r="J26" s="259" t="n"/>
      <c r="K26" s="259" t="n"/>
      <c r="L26" s="260">
        <f>IF(E26&gt;0,$H$4,0)</f>
        <v/>
      </c>
      <c r="M26" s="263">
        <f>IFERROR(VLOOKUP(F26,Tabellen!H:I,2),0)</f>
        <v/>
      </c>
      <c r="N26" s="258" t="n"/>
      <c r="O26" s="258" t="n"/>
      <c r="P26" s="77">
        <f>IF(E26&gt;0,COUNTIF($E$17:E26,"&gt;0"),0)</f>
        <v/>
      </c>
      <c r="Q26" s="262">
        <f>IF(OR(F26=47201,F26=47100,F26=47200,F26=47500),H26,0)</f>
        <v/>
      </c>
      <c r="R26" s="262">
        <f>IF(OR(F26=87201,F26=87100,F26=87200,F26=87500),H26,0)</f>
        <v/>
      </c>
    </row>
    <row r="27" ht="15" customHeight="1" s="402">
      <c r="A27" s="80">
        <f>IFERROR(VLOOKUP(E27,Tabellen!A:F,4),0)</f>
        <v/>
      </c>
      <c r="B27" s="80" t="n"/>
      <c r="C27" s="80">
        <f>IFERROR(VLOOKUP(E27,Tabellen!A:F,5),0)</f>
        <v/>
      </c>
      <c r="D27" s="80">
        <f>IFERROR(VLOOKUP(E27,Tabellen!A:F,6),0)</f>
        <v/>
      </c>
      <c r="E27" s="257" t="n"/>
      <c r="F27" s="258">
        <f>IFERROR(VLOOKUP(E27,Tabellen!A:H,8),0)</f>
        <v/>
      </c>
      <c r="G27" s="80">
        <f>IFERROR(VLOOKUP(E27,Tabellen!A:F,2),0)</f>
        <v/>
      </c>
      <c r="H27" s="259" t="n"/>
      <c r="I27" s="259" t="n"/>
      <c r="J27" s="259" t="n"/>
      <c r="K27" s="259" t="n"/>
      <c r="L27" s="260">
        <f>IF(E27&gt;0,$H$4,0)</f>
        <v/>
      </c>
      <c r="M27" s="261">
        <f>IFERROR(VLOOKUP(F27,Tabellen!H:I,2),0)</f>
        <v/>
      </c>
      <c r="N27" s="258" t="n"/>
      <c r="O27" s="258" t="n"/>
      <c r="P27" s="78">
        <f>IF(E27&gt;0,COUNTIF($E$17:E27,"&gt;0"),0)</f>
        <v/>
      </c>
      <c r="Q27" s="262">
        <f>IF(OR(F27=47201,F27=47100,F27=47200,F27=47500),H27,0)</f>
        <v/>
      </c>
      <c r="R27" s="262">
        <f>IF(OR(F27=87201,F27=87100,F27=87200,F27=87500),H27,0)</f>
        <v/>
      </c>
    </row>
    <row r="28" ht="15" customHeight="1" s="402">
      <c r="A28" s="79">
        <f>IFERROR(VLOOKUP(E28,Tabellen!A:F,4),0)</f>
        <v/>
      </c>
      <c r="B28" s="79" t="n"/>
      <c r="C28" s="79">
        <f>IFERROR(VLOOKUP(E28,Tabellen!A:F,5),0)</f>
        <v/>
      </c>
      <c r="D28" s="79">
        <f>IFERROR(VLOOKUP(E28,Tabellen!A:F,6),0)</f>
        <v/>
      </c>
      <c r="E28" s="257" t="n"/>
      <c r="F28" s="258">
        <f>IFERROR(VLOOKUP(E28,Tabellen!A:H,8),0)</f>
        <v/>
      </c>
      <c r="G28" s="79">
        <f>IFERROR(VLOOKUP(E28,Tabellen!A:F,2),0)</f>
        <v/>
      </c>
      <c r="H28" s="259" t="n"/>
      <c r="I28" s="259" t="n"/>
      <c r="J28" s="259" t="n"/>
      <c r="K28" s="259" t="n"/>
      <c r="L28" s="260">
        <f>IF(E28&gt;0,$H$4,0)</f>
        <v/>
      </c>
      <c r="M28" s="263">
        <f>IFERROR(VLOOKUP(F28,Tabellen!H:I,2),0)</f>
        <v/>
      </c>
      <c r="N28" s="258" t="n"/>
      <c r="O28" s="258" t="n"/>
      <c r="P28" s="77">
        <f>IF(E28&gt;0,COUNTIF($E$17:E28,"&gt;0"),0)</f>
        <v/>
      </c>
      <c r="Q28" s="262">
        <f>IF(OR(F28=47201,F28=47100,F28=47200,F28=47500),H28,0)</f>
        <v/>
      </c>
      <c r="R28" s="262">
        <f>IF(OR(F28=87201,F28=87100,F28=87200,F28=87500),H28,0)</f>
        <v/>
      </c>
    </row>
    <row r="29" ht="15" customHeight="1" s="402">
      <c r="A29" s="80">
        <f>IFERROR(VLOOKUP(E29,Tabellen!A:F,4),0)</f>
        <v/>
      </c>
      <c r="B29" s="80" t="n"/>
      <c r="C29" s="80">
        <f>IFERROR(VLOOKUP(E29,Tabellen!A:F,5),0)</f>
        <v/>
      </c>
      <c r="D29" s="80">
        <f>IFERROR(VLOOKUP(E29,Tabellen!A:F,6),0)</f>
        <v/>
      </c>
      <c r="E29" s="257" t="n"/>
      <c r="F29" s="258">
        <f>IFERROR(VLOOKUP(E29,Tabellen!A:H,8),0)</f>
        <v/>
      </c>
      <c r="G29" s="80">
        <f>IFERROR(VLOOKUP(E29,Tabellen!A:F,2),0)</f>
        <v/>
      </c>
      <c r="H29" s="259" t="n"/>
      <c r="I29" s="259" t="n"/>
      <c r="J29" s="259" t="n"/>
      <c r="K29" s="259" t="n"/>
      <c r="L29" s="260">
        <f>IF(E29&gt;0,$H$4,0)</f>
        <v/>
      </c>
      <c r="M29" s="261">
        <f>IFERROR(VLOOKUP(F29,Tabellen!H:I,2),0)</f>
        <v/>
      </c>
      <c r="N29" s="258" t="n"/>
      <c r="O29" s="258" t="n"/>
      <c r="P29" s="78">
        <f>IF(E29&gt;0,COUNTIF($E$17:E29,"&gt;0"),0)</f>
        <v/>
      </c>
      <c r="Q29" s="262">
        <f>IF(OR(F29=47201,F29=47100,F29=47200,F29=47500),H29,0)</f>
        <v/>
      </c>
      <c r="R29" s="262">
        <f>IF(OR(F29=87201,F29=87100,F29=87200,F29=87500),H29,0)</f>
        <v/>
      </c>
    </row>
    <row r="30" ht="15" customHeight="1" s="402">
      <c r="A30" s="79">
        <f>IFERROR(VLOOKUP(E30,Tabellen!A:F,4),0)</f>
        <v/>
      </c>
      <c r="B30" s="79" t="n"/>
      <c r="C30" s="79">
        <f>IFERROR(VLOOKUP(E30,Tabellen!A:F,5),0)</f>
        <v/>
      </c>
      <c r="D30" s="79">
        <f>IFERROR(VLOOKUP(E30,Tabellen!A:F,6),0)</f>
        <v/>
      </c>
      <c r="E30" s="257" t="n"/>
      <c r="F30" s="258">
        <f>IFERROR(VLOOKUP(E30,Tabellen!A:H,8),0)</f>
        <v/>
      </c>
      <c r="G30" s="79">
        <f>IFERROR(VLOOKUP(E30,Tabellen!A:F,2),0)</f>
        <v/>
      </c>
      <c r="H30" s="259" t="n"/>
      <c r="I30" s="259" t="n"/>
      <c r="J30" s="259" t="n"/>
      <c r="K30" s="259" t="n"/>
      <c r="L30" s="260">
        <f>IF(E30&gt;0,$H$4,0)</f>
        <v/>
      </c>
      <c r="M30" s="263">
        <f>IFERROR(VLOOKUP(F30,Tabellen!H:I,2),0)</f>
        <v/>
      </c>
      <c r="N30" s="258" t="n"/>
      <c r="O30" s="258" t="n"/>
      <c r="P30" s="77">
        <f>IF(E30&gt;0,COUNTIF($E$17:E30,"&gt;0"),0)</f>
        <v/>
      </c>
      <c r="Q30" s="262">
        <f>IF(OR(F30=47201,F30=47100,F30=47200,F30=47500),H30,0)</f>
        <v/>
      </c>
      <c r="R30" s="262">
        <f>IF(OR(F30=87201,F30=87100,F30=87200,F30=87500),H30,0)</f>
        <v/>
      </c>
    </row>
    <row r="31" ht="15" customHeight="1" s="402">
      <c r="A31" s="80">
        <f>IFERROR(VLOOKUP(E31,Tabellen!A:F,4),0)</f>
        <v/>
      </c>
      <c r="B31" s="80" t="n"/>
      <c r="C31" s="80">
        <f>IFERROR(VLOOKUP(E31,Tabellen!A:F,5),0)</f>
        <v/>
      </c>
      <c r="D31" s="80">
        <f>IFERROR(VLOOKUP(E31,Tabellen!A:F,6),0)</f>
        <v/>
      </c>
      <c r="E31" s="257" t="n"/>
      <c r="F31" s="258">
        <f>IFERROR(VLOOKUP(E31,Tabellen!A:H,8),0)</f>
        <v/>
      </c>
      <c r="G31" s="80">
        <f>IFERROR(VLOOKUP(E31,Tabellen!A:F,2),0)</f>
        <v/>
      </c>
      <c r="H31" s="259" t="n"/>
      <c r="I31" s="259" t="n"/>
      <c r="J31" s="259" t="n"/>
      <c r="K31" s="259" t="n"/>
      <c r="L31" s="260">
        <f>IF(E31&gt;0,$H$4,0)</f>
        <v/>
      </c>
      <c r="M31" s="261">
        <f>IFERROR(VLOOKUP(F31,Tabellen!H:I,2),0)</f>
        <v/>
      </c>
      <c r="N31" s="258" t="n"/>
      <c r="O31" s="258" t="n"/>
      <c r="P31" s="78">
        <f>IF(E31&gt;0,COUNTIF($E$17:E31,"&gt;0"),0)</f>
        <v/>
      </c>
      <c r="Q31" s="262">
        <f>IF(OR(F31=47201,F31=47100,F31=47200,F31=47500),H31,0)</f>
        <v/>
      </c>
      <c r="R31" s="262">
        <f>IF(OR(F31=87201,F31=87100,F31=87200,F31=87500),H31,0)</f>
        <v/>
      </c>
    </row>
    <row r="32" ht="15" customHeight="1" s="402">
      <c r="A32" s="79">
        <f>IFERROR(VLOOKUP(E32,Tabellen!A:F,4),0)</f>
        <v/>
      </c>
      <c r="B32" s="79" t="n"/>
      <c r="C32" s="79">
        <f>IFERROR(VLOOKUP(E32,Tabellen!A:F,5),0)</f>
        <v/>
      </c>
      <c r="D32" s="79">
        <f>IFERROR(VLOOKUP(E32,Tabellen!A:F,6),0)</f>
        <v/>
      </c>
      <c r="E32" s="257" t="n"/>
      <c r="F32" s="258">
        <f>IFERROR(VLOOKUP(E32,Tabellen!A:H,8),0)</f>
        <v/>
      </c>
      <c r="G32" s="79">
        <f>IFERROR(VLOOKUP(E32,Tabellen!A:F,2),0)</f>
        <v/>
      </c>
      <c r="H32" s="259" t="n"/>
      <c r="I32" s="259" t="n"/>
      <c r="J32" s="259" t="n"/>
      <c r="K32" s="259" t="n"/>
      <c r="L32" s="260">
        <f>IF(E32&gt;0,$H$4,0)</f>
        <v/>
      </c>
      <c r="M32" s="263">
        <f>IFERROR(VLOOKUP(F32,Tabellen!H:I,2),0)</f>
        <v/>
      </c>
      <c r="N32" s="258" t="n"/>
      <c r="O32" s="258" t="n"/>
      <c r="P32" s="77">
        <f>IF(E32&gt;0,COUNTIF($E$17:E32,"&gt;0"),0)</f>
        <v/>
      </c>
      <c r="Q32" s="262">
        <f>IF(OR(F32=47201,F32=47100,F32=47200,F32=47500),H32,0)</f>
        <v/>
      </c>
      <c r="R32" s="262">
        <f>IF(OR(F32=87201,F32=87100,F32=87200,F32=87500),H32,0)</f>
        <v/>
      </c>
    </row>
    <row r="33" ht="15" customHeight="1" s="402">
      <c r="A33" s="80">
        <f>IFERROR(VLOOKUP(E33,Tabellen!A:F,4),0)</f>
        <v/>
      </c>
      <c r="B33" s="80" t="n"/>
      <c r="C33" s="80">
        <f>IFERROR(VLOOKUP(E33,Tabellen!A:F,5),0)</f>
        <v/>
      </c>
      <c r="D33" s="80">
        <f>IFERROR(VLOOKUP(E33,Tabellen!A:F,6),0)</f>
        <v/>
      </c>
      <c r="E33" s="257" t="n"/>
      <c r="F33" s="258">
        <f>IFERROR(VLOOKUP(E33,Tabellen!A:H,8),0)</f>
        <v/>
      </c>
      <c r="G33" s="80">
        <f>IFERROR(VLOOKUP(E33,Tabellen!A:F,2),0)</f>
        <v/>
      </c>
      <c r="H33" s="259" t="n"/>
      <c r="I33" s="259" t="n"/>
      <c r="J33" s="259" t="n"/>
      <c r="K33" s="259" t="n"/>
      <c r="L33" s="260">
        <f>IF(E33&gt;0,$H$4,0)</f>
        <v/>
      </c>
      <c r="M33" s="261">
        <f>IFERROR(VLOOKUP(F33,Tabellen!H:I,2),0)</f>
        <v/>
      </c>
      <c r="N33" s="258" t="n"/>
      <c r="O33" s="258" t="n"/>
      <c r="P33" s="78">
        <f>IF(E33&gt;0,COUNTIF($E$17:E33,"&gt;0"),0)</f>
        <v/>
      </c>
      <c r="Q33" s="262">
        <f>IF(OR(F33=47201,F33=47100,F33=47200,F33=47500),H33,0)</f>
        <v/>
      </c>
      <c r="R33" s="262">
        <f>IF(OR(F33=87201,F33=87100,F33=87200,F33=87500),H33,0)</f>
        <v/>
      </c>
    </row>
    <row r="34" ht="15" customHeight="1" s="402">
      <c r="A34" s="79">
        <f>IFERROR(VLOOKUP(E34,Tabellen!A:F,4),0)</f>
        <v/>
      </c>
      <c r="B34" s="79" t="n"/>
      <c r="C34" s="79">
        <f>IFERROR(VLOOKUP(E34,Tabellen!A:F,5),0)</f>
        <v/>
      </c>
      <c r="D34" s="79">
        <f>IFERROR(VLOOKUP(E34,Tabellen!A:F,6),0)</f>
        <v/>
      </c>
      <c r="E34" s="257" t="n"/>
      <c r="F34" s="258">
        <f>IFERROR(VLOOKUP(E34,Tabellen!A:H,8),0)</f>
        <v/>
      </c>
      <c r="G34" s="79">
        <f>IFERROR(VLOOKUP(E34,Tabellen!A:F,2),0)</f>
        <v/>
      </c>
      <c r="H34" s="259" t="n"/>
      <c r="I34" s="259" t="n"/>
      <c r="J34" s="259" t="n"/>
      <c r="K34" s="259" t="n"/>
      <c r="L34" s="260">
        <f>IF(E34&gt;0,$H$4,0)</f>
        <v/>
      </c>
      <c r="M34" s="263">
        <f>IFERROR(VLOOKUP(F34,Tabellen!H:I,2),0)</f>
        <v/>
      </c>
      <c r="N34" s="258" t="n"/>
      <c r="O34" s="258" t="n"/>
      <c r="P34" s="77">
        <f>IF(E34&gt;0,COUNTIF($E$17:E34,"&gt;0"),0)</f>
        <v/>
      </c>
      <c r="Q34" s="262">
        <f>IF(OR(F34=47201,F34=47100,F34=47200,F34=47500),H34,0)</f>
        <v/>
      </c>
      <c r="R34" s="262">
        <f>IF(OR(F34=87201,F34=87100,F34=87200,F34=87500),H34,0)</f>
        <v/>
      </c>
    </row>
    <row r="35" ht="15" customHeight="1" s="402">
      <c r="A35" s="80">
        <f>IFERROR(VLOOKUP(E35,Tabellen!A:F,4),0)</f>
        <v/>
      </c>
      <c r="B35" s="80" t="n"/>
      <c r="C35" s="80">
        <f>IFERROR(VLOOKUP(E35,Tabellen!A:F,5),0)</f>
        <v/>
      </c>
      <c r="D35" s="80">
        <f>IFERROR(VLOOKUP(E35,Tabellen!A:F,6),0)</f>
        <v/>
      </c>
      <c r="E35" s="257" t="n"/>
      <c r="F35" s="258">
        <f>IFERROR(VLOOKUP(E35,Tabellen!A:H,8),0)</f>
        <v/>
      </c>
      <c r="G35" s="80">
        <f>IFERROR(VLOOKUP(E35,Tabellen!A:F,2),0)</f>
        <v/>
      </c>
      <c r="H35" s="259" t="n"/>
      <c r="I35" s="259" t="n"/>
      <c r="J35" s="259" t="n"/>
      <c r="K35" s="259" t="n"/>
      <c r="L35" s="260">
        <f>IF(E35&gt;0,$H$4,0)</f>
        <v/>
      </c>
      <c r="M35" s="261">
        <f>IFERROR(VLOOKUP(F35,Tabellen!H:I,2),0)</f>
        <v/>
      </c>
      <c r="N35" s="258" t="n"/>
      <c r="O35" s="258" t="n"/>
      <c r="P35" s="78">
        <f>IF(E35&gt;0,COUNTIF($E$17:E35,"&gt;0"),0)</f>
        <v/>
      </c>
      <c r="Q35" s="262">
        <f>IF(OR(F35=47201,F35=47100,F35=47200,F35=47500),H35,0)</f>
        <v/>
      </c>
      <c r="R35" s="262">
        <f>IF(OR(F35=87201,F35=87100,F35=87200,F35=87500),H35,0)</f>
        <v/>
      </c>
    </row>
    <row r="36" ht="15" customHeight="1" s="402">
      <c r="A36" s="79">
        <f>IFERROR(VLOOKUP(E36,Tabellen!A:F,4),0)</f>
        <v/>
      </c>
      <c r="B36" s="79" t="n"/>
      <c r="C36" s="79">
        <f>IFERROR(VLOOKUP(E36,Tabellen!A:F,5),0)</f>
        <v/>
      </c>
      <c r="D36" s="79">
        <f>IFERROR(VLOOKUP(E36,Tabellen!A:F,6),0)</f>
        <v/>
      </c>
      <c r="E36" s="257" t="n"/>
      <c r="F36" s="258">
        <f>IFERROR(VLOOKUP(E36,Tabellen!A:H,8),0)</f>
        <v/>
      </c>
      <c r="G36" s="79">
        <f>IFERROR(VLOOKUP(E36,Tabellen!A:F,2),0)</f>
        <v/>
      </c>
      <c r="H36" s="259" t="n"/>
      <c r="I36" s="259" t="n"/>
      <c r="J36" s="259" t="n"/>
      <c r="K36" s="259" t="n"/>
      <c r="L36" s="260">
        <f>IF(E36&gt;0,$H$4,0)</f>
        <v/>
      </c>
      <c r="M36" s="263">
        <f>IFERROR(VLOOKUP(F36,Tabellen!H:I,2),0)</f>
        <v/>
      </c>
      <c r="N36" s="258" t="n"/>
      <c r="O36" s="258" t="n"/>
      <c r="P36" s="77">
        <f>IF(E36&gt;0,COUNTIF($E$17:E36,"&gt;0"),0)</f>
        <v/>
      </c>
      <c r="Q36" s="262">
        <f>IF(OR(F36=47201,F36=47100,F36=47200,F36=47500),H36,0)</f>
        <v/>
      </c>
      <c r="R36" s="262">
        <f>IF(OR(F36=87201,F36=87100,F36=87200,F36=87500),H36,0)</f>
        <v/>
      </c>
    </row>
    <row r="37" ht="15" customHeight="1" s="402">
      <c r="A37" s="80">
        <f>IFERROR(VLOOKUP(E37,Tabellen!A:F,4),0)</f>
        <v/>
      </c>
      <c r="B37" s="80" t="n"/>
      <c r="C37" s="80">
        <f>IFERROR(VLOOKUP(E37,Tabellen!A:F,5),0)</f>
        <v/>
      </c>
      <c r="D37" s="80">
        <f>IFERROR(VLOOKUP(E37,Tabellen!A:F,6),0)</f>
        <v/>
      </c>
      <c r="E37" s="257" t="n"/>
      <c r="F37" s="258">
        <f>IFERROR(VLOOKUP(E37,Tabellen!A:H,8),0)</f>
        <v/>
      </c>
      <c r="G37" s="80">
        <f>IFERROR(VLOOKUP(E37,Tabellen!A:F,2),0)</f>
        <v/>
      </c>
      <c r="H37" s="259" t="n"/>
      <c r="I37" s="259" t="n"/>
      <c r="J37" s="259" t="n"/>
      <c r="K37" s="259" t="n"/>
      <c r="L37" s="260">
        <f>IF(E37&gt;0,$H$4,0)</f>
        <v/>
      </c>
      <c r="M37" s="261">
        <f>IFERROR(VLOOKUP(F37,Tabellen!H:I,2),0)</f>
        <v/>
      </c>
      <c r="N37" s="258" t="n"/>
      <c r="O37" s="258" t="n"/>
      <c r="P37" s="78">
        <f>IF(E37&gt;0,COUNTIF($E$17:E37,"&gt;0"),0)</f>
        <v/>
      </c>
      <c r="Q37" s="262">
        <f>IF(OR(F37=47201,F37=47100,F37=47200,F37=47500),H37,0)</f>
        <v/>
      </c>
      <c r="R37" s="262">
        <f>IF(OR(F37=87201,F37=87100,F37=87200,F37=87500),H37,0)</f>
        <v/>
      </c>
    </row>
    <row r="38" ht="15" customHeight="1" s="402">
      <c r="A38" s="79">
        <f>IFERROR(VLOOKUP(E38,Tabellen!A:F,4),0)</f>
        <v/>
      </c>
      <c r="B38" s="79" t="n"/>
      <c r="C38" s="79">
        <f>IFERROR(VLOOKUP(E38,Tabellen!A:F,5),0)</f>
        <v/>
      </c>
      <c r="D38" s="79">
        <f>IFERROR(VLOOKUP(E38,Tabellen!A:F,6),0)</f>
        <v/>
      </c>
      <c r="E38" s="257" t="n"/>
      <c r="F38" s="258">
        <f>IFERROR(VLOOKUP(E38,Tabellen!A:H,8),0)</f>
        <v/>
      </c>
      <c r="G38" s="79">
        <f>IFERROR(VLOOKUP(E38,Tabellen!A:F,2),0)</f>
        <v/>
      </c>
      <c r="H38" s="259" t="n"/>
      <c r="I38" s="259" t="n"/>
      <c r="J38" s="259" t="n"/>
      <c r="K38" s="259" t="n"/>
      <c r="L38" s="260">
        <f>IF(E38&gt;0,$H$4,0)</f>
        <v/>
      </c>
      <c r="M38" s="263">
        <f>IFERROR(VLOOKUP(F38,Tabellen!H:I,2),0)</f>
        <v/>
      </c>
      <c r="N38" s="258" t="n"/>
      <c r="O38" s="258" t="n"/>
      <c r="P38" s="77">
        <f>IF(E38&gt;0,COUNTIF($E$17:E38,"&gt;0"),0)</f>
        <v/>
      </c>
      <c r="Q38" s="262">
        <f>IF(OR(F38=47201,F38=47100,F38=47200,F38=47500),H38,0)</f>
        <v/>
      </c>
      <c r="R38" s="262">
        <f>IF(OR(F38=87201,F38=87100,F38=87200,F38=87500),H38,0)</f>
        <v/>
      </c>
    </row>
    <row r="39" ht="15" customHeight="1" s="402">
      <c r="A39" s="80">
        <f>IFERROR(VLOOKUP(E39,Tabellen!A:F,4),0)</f>
        <v/>
      </c>
      <c r="B39" s="80" t="n"/>
      <c r="C39" s="80">
        <f>IFERROR(VLOOKUP(E39,Tabellen!A:F,5),0)</f>
        <v/>
      </c>
      <c r="D39" s="80">
        <f>IFERROR(VLOOKUP(E39,Tabellen!A:F,6),0)</f>
        <v/>
      </c>
      <c r="E39" s="257" t="n"/>
      <c r="F39" s="258">
        <f>IFERROR(VLOOKUP(E39,Tabellen!A:H,8),0)</f>
        <v/>
      </c>
      <c r="G39" s="80">
        <f>IFERROR(VLOOKUP(E39,Tabellen!A:F,2),0)</f>
        <v/>
      </c>
      <c r="H39" s="259" t="n"/>
      <c r="I39" s="259" t="n"/>
      <c r="J39" s="259" t="n"/>
      <c r="K39" s="259" t="n"/>
      <c r="L39" s="260">
        <f>IF(E39&gt;0,$H$4,0)</f>
        <v/>
      </c>
      <c r="M39" s="261">
        <f>IFERROR(VLOOKUP(F39,Tabellen!H:I,2),0)</f>
        <v/>
      </c>
      <c r="N39" s="258" t="n"/>
      <c r="O39" s="258" t="n"/>
      <c r="P39" s="78">
        <f>IF(E39&gt;0,COUNTIF($E$17:E39,"&gt;0"),0)</f>
        <v/>
      </c>
      <c r="Q39" s="262">
        <f>IF(OR(F39=47201,F39=47100,F39=47200,F39=47500),H39,0)</f>
        <v/>
      </c>
      <c r="R39" s="262">
        <f>IF(OR(F39=87201,F39=87100,F39=87200,F39=87500),H39,0)</f>
        <v/>
      </c>
    </row>
    <row r="40" ht="15" customHeight="1" s="402">
      <c r="A40" s="79">
        <f>IFERROR(VLOOKUP(E40,Tabellen!A:F,4),0)</f>
        <v/>
      </c>
      <c r="B40" s="79" t="n"/>
      <c r="C40" s="79">
        <f>IFERROR(VLOOKUP(E40,Tabellen!A:F,5),0)</f>
        <v/>
      </c>
      <c r="D40" s="79">
        <f>IFERROR(VLOOKUP(E40,Tabellen!A:F,6),0)</f>
        <v/>
      </c>
      <c r="E40" s="257" t="n"/>
      <c r="F40" s="258">
        <f>IFERROR(VLOOKUP(E40,Tabellen!A:H,8),0)</f>
        <v/>
      </c>
      <c r="G40" s="79">
        <f>IFERROR(VLOOKUP(E40,Tabellen!A:F,2),0)</f>
        <v/>
      </c>
      <c r="H40" s="259" t="n"/>
      <c r="I40" s="259" t="n"/>
      <c r="J40" s="259" t="n"/>
      <c r="K40" s="259" t="n"/>
      <c r="L40" s="260">
        <f>IF(E40&gt;0,$H$4,0)</f>
        <v/>
      </c>
      <c r="M40" s="263">
        <f>IFERROR(VLOOKUP(F40,Tabellen!H:I,2),0)</f>
        <v/>
      </c>
      <c r="N40" s="258" t="n"/>
      <c r="O40" s="258" t="n"/>
      <c r="P40" s="77">
        <f>IF(E40&gt;0,COUNTIF($E$17:E40,"&gt;0"),0)</f>
        <v/>
      </c>
      <c r="Q40" s="262">
        <f>IF(OR(F40=47201,F40=47100,F40=47200,F40=47500),H40,0)</f>
        <v/>
      </c>
      <c r="R40" s="262">
        <f>IF(OR(F40=87201,F40=87100,F40=87200,F40=87500),H40,0)</f>
        <v/>
      </c>
    </row>
    <row r="41" ht="15" customHeight="1" s="402">
      <c r="A41" s="80">
        <f>IFERROR(VLOOKUP(E41,Tabellen!A:F,4),0)</f>
        <v/>
      </c>
      <c r="B41" s="80" t="n"/>
      <c r="C41" s="80">
        <f>IFERROR(VLOOKUP(E41,Tabellen!A:F,5),0)</f>
        <v/>
      </c>
      <c r="D41" s="80">
        <f>IFERROR(VLOOKUP(E41,Tabellen!A:F,6),0)</f>
        <v/>
      </c>
      <c r="E41" s="257" t="n"/>
      <c r="F41" s="258">
        <f>IFERROR(VLOOKUP(E41,Tabellen!A:H,8),0)</f>
        <v/>
      </c>
      <c r="G41" s="80">
        <f>IFERROR(VLOOKUP(E41,Tabellen!A:F,2),0)</f>
        <v/>
      </c>
      <c r="H41" s="259" t="n"/>
      <c r="I41" s="259" t="n"/>
      <c r="J41" s="259" t="n"/>
      <c r="K41" s="259" t="n"/>
      <c r="L41" s="260">
        <f>IF(E41&gt;0,$H$4,0)</f>
        <v/>
      </c>
      <c r="M41" s="261">
        <f>IFERROR(VLOOKUP(F41,Tabellen!H:I,2),0)</f>
        <v/>
      </c>
      <c r="N41" s="258" t="n"/>
      <c r="O41" s="258" t="n"/>
      <c r="P41" s="78">
        <f>IF(E41&gt;0,COUNTIF($E$17:E41,"&gt;0"),0)</f>
        <v/>
      </c>
      <c r="Q41" s="262">
        <f>IF(OR(F41=47201,F41=47100,F41=47200,F41=47500),H41,0)</f>
        <v/>
      </c>
      <c r="R41" s="262">
        <f>IF(OR(F41=87201,F41=87100,F41=87200,F41=87500),H41,0)</f>
        <v/>
      </c>
    </row>
    <row r="42" ht="15" customHeight="1" s="402">
      <c r="A42" s="79">
        <f>IFERROR(VLOOKUP(E42,Tabellen!A:F,4),0)</f>
        <v/>
      </c>
      <c r="B42" s="79" t="n"/>
      <c r="C42" s="79">
        <f>IFERROR(VLOOKUP(E42,Tabellen!A:F,5),0)</f>
        <v/>
      </c>
      <c r="D42" s="79">
        <f>IFERROR(VLOOKUP(E42,Tabellen!A:F,6),0)</f>
        <v/>
      </c>
      <c r="E42" s="257" t="n"/>
      <c r="F42" s="258">
        <f>IFERROR(VLOOKUP(E42,Tabellen!A:H,8),0)</f>
        <v/>
      </c>
      <c r="G42" s="79">
        <f>IFERROR(VLOOKUP(E42,Tabellen!A:F,2),0)</f>
        <v/>
      </c>
      <c r="H42" s="259" t="n"/>
      <c r="I42" s="259" t="n"/>
      <c r="J42" s="259" t="n"/>
      <c r="K42" s="259" t="n"/>
      <c r="L42" s="260">
        <f>IF(E42&gt;0,$H$4,0)</f>
        <v/>
      </c>
      <c r="M42" s="263">
        <f>IFERROR(VLOOKUP(F42,Tabellen!H:I,2),0)</f>
        <v/>
      </c>
      <c r="N42" s="258" t="n"/>
      <c r="O42" s="258" t="n"/>
      <c r="P42" s="77">
        <f>IF(E42&gt;0,COUNTIF($E$17:E42,"&gt;0"),0)</f>
        <v/>
      </c>
      <c r="Q42" s="262">
        <f>IF(OR(F42=47201,F42=47100,F42=47200,F42=47500),H42,0)</f>
        <v/>
      </c>
      <c r="R42" s="262">
        <f>IF(OR(F42=87201,F42=87100,F42=87200,F42=87500),H42,0)</f>
        <v/>
      </c>
    </row>
    <row r="43" ht="15" customHeight="1" s="402">
      <c r="A43" s="80">
        <f>IFERROR(VLOOKUP(E43,Tabellen!A:F,4),0)</f>
        <v/>
      </c>
      <c r="B43" s="80" t="n"/>
      <c r="C43" s="80">
        <f>IFERROR(VLOOKUP(E43,Tabellen!A:F,5),0)</f>
        <v/>
      </c>
      <c r="D43" s="80">
        <f>IFERROR(VLOOKUP(E43,Tabellen!A:F,6),0)</f>
        <v/>
      </c>
      <c r="E43" s="257" t="n"/>
      <c r="F43" s="258">
        <f>IFERROR(VLOOKUP(E43,Tabellen!A:H,8),0)</f>
        <v/>
      </c>
      <c r="G43" s="80">
        <f>IFERROR(VLOOKUP(E43,Tabellen!A:F,2),0)</f>
        <v/>
      </c>
      <c r="H43" s="259" t="n"/>
      <c r="I43" s="259" t="n"/>
      <c r="J43" s="259" t="n"/>
      <c r="K43" s="259" t="n"/>
      <c r="L43" s="260">
        <f>IF(E43&gt;0,$H$4,0)</f>
        <v/>
      </c>
      <c r="M43" s="261">
        <f>IFERROR(VLOOKUP(F43,Tabellen!H:I,2),0)</f>
        <v/>
      </c>
      <c r="N43" s="258" t="n"/>
      <c r="O43" s="258" t="n"/>
      <c r="P43" s="78">
        <f>IF(E43&gt;0,COUNTIF($E$17:E43,"&gt;0"),0)</f>
        <v/>
      </c>
      <c r="Q43" s="262">
        <f>IF(OR(F43=47201,F43=47100,F43=47200,F43=47500),H43,0)</f>
        <v/>
      </c>
      <c r="R43" s="262">
        <f>IF(OR(F43=87201,F43=87100,F43=87200,F43=87500),H43,0)</f>
        <v/>
      </c>
    </row>
    <row r="44" ht="15" customHeight="1" s="402">
      <c r="A44" s="79">
        <f>IFERROR(VLOOKUP(E44,Tabellen!A:F,4),0)</f>
        <v/>
      </c>
      <c r="B44" s="79" t="n"/>
      <c r="C44" s="79">
        <f>IFERROR(VLOOKUP(E44,Tabellen!A:F,5),0)</f>
        <v/>
      </c>
      <c r="D44" s="79">
        <f>IFERROR(VLOOKUP(E44,Tabellen!A:F,6),0)</f>
        <v/>
      </c>
      <c r="E44" s="257" t="n"/>
      <c r="F44" s="258">
        <f>IFERROR(VLOOKUP(E44,Tabellen!A:H,8),0)</f>
        <v/>
      </c>
      <c r="G44" s="79">
        <f>IFERROR(VLOOKUP(E44,Tabellen!A:F,2),0)</f>
        <v/>
      </c>
      <c r="H44" s="259" t="n"/>
      <c r="I44" s="259" t="n"/>
      <c r="J44" s="259" t="n"/>
      <c r="K44" s="259" t="n"/>
      <c r="L44" s="260">
        <f>IF(E44&gt;0,$H$4,0)</f>
        <v/>
      </c>
      <c r="M44" s="263">
        <f>IFERROR(VLOOKUP(F44,Tabellen!H:I,2),0)</f>
        <v/>
      </c>
      <c r="N44" s="258" t="n"/>
      <c r="O44" s="258" t="n"/>
      <c r="P44" s="77">
        <f>IF(E44&gt;0,COUNTIF($E$17:E44,"&gt;0"),0)</f>
        <v/>
      </c>
      <c r="Q44" s="262">
        <f>IF(OR(F44=47201,F44=47100,F44=47200,F44=47500),H44,0)</f>
        <v/>
      </c>
      <c r="R44" s="262">
        <f>IF(OR(F44=87201,F44=87100,F44=87200,F44=87500),H44,0)</f>
        <v/>
      </c>
    </row>
    <row r="45" ht="15" customHeight="1" s="402">
      <c r="A45" s="80">
        <f>IFERROR(VLOOKUP(E45,Tabellen!A:F,4),0)</f>
        <v/>
      </c>
      <c r="B45" s="80" t="n"/>
      <c r="C45" s="80">
        <f>IFERROR(VLOOKUP(E45,Tabellen!A:F,5),0)</f>
        <v/>
      </c>
      <c r="D45" s="80">
        <f>IFERROR(VLOOKUP(E45,Tabellen!A:F,6),0)</f>
        <v/>
      </c>
      <c r="E45" s="257" t="n"/>
      <c r="F45" s="258">
        <f>IFERROR(VLOOKUP(E45,Tabellen!A:H,8),0)</f>
        <v/>
      </c>
      <c r="G45" s="80">
        <f>IFERROR(VLOOKUP(E45,Tabellen!A:F,2),0)</f>
        <v/>
      </c>
      <c r="H45" s="259" t="n"/>
      <c r="I45" s="259" t="n"/>
      <c r="J45" s="259" t="n"/>
      <c r="K45" s="259" t="n"/>
      <c r="L45" s="260">
        <f>IF(E45&gt;0,$H$4,0)</f>
        <v/>
      </c>
      <c r="M45" s="261">
        <f>IFERROR(VLOOKUP(F45,Tabellen!H:I,2),0)</f>
        <v/>
      </c>
      <c r="N45" s="258" t="n"/>
      <c r="O45" s="258" t="n"/>
      <c r="P45" s="78">
        <f>IF(E45&gt;0,COUNTIF($E$17:E45,"&gt;0"),0)</f>
        <v/>
      </c>
      <c r="Q45" s="262">
        <f>IF(OR(F45=47201,F45=47100,F45=47200,F45=47500),H45,0)</f>
        <v/>
      </c>
      <c r="R45" s="262">
        <f>IF(OR(F45=87201,F45=87100,F45=87200,F45=87500),H45,0)</f>
        <v/>
      </c>
    </row>
    <row r="46" ht="15" customHeight="1" s="402">
      <c r="A46" s="79">
        <f>IFERROR(VLOOKUP(E46,Tabellen!A:F,4),0)</f>
        <v/>
      </c>
      <c r="B46" s="79" t="n"/>
      <c r="C46" s="79">
        <f>IFERROR(VLOOKUP(E46,Tabellen!A:F,5),0)</f>
        <v/>
      </c>
      <c r="D46" s="79">
        <f>IFERROR(VLOOKUP(E46,Tabellen!A:F,6),0)</f>
        <v/>
      </c>
      <c r="E46" s="257" t="n"/>
      <c r="F46" s="258">
        <f>IFERROR(VLOOKUP(E46,Tabellen!A:H,8),0)</f>
        <v/>
      </c>
      <c r="G46" s="79">
        <f>IFERROR(VLOOKUP(E46,Tabellen!A:F,2),0)</f>
        <v/>
      </c>
      <c r="H46" s="259" t="n"/>
      <c r="I46" s="259" t="n"/>
      <c r="J46" s="259" t="n"/>
      <c r="K46" s="259" t="n"/>
      <c r="L46" s="260">
        <f>IF(E46&gt;0,$H$4,0)</f>
        <v/>
      </c>
      <c r="M46" s="263">
        <f>IFERROR(VLOOKUP(F46,Tabellen!H:I,2),0)</f>
        <v/>
      </c>
      <c r="N46" s="258" t="n"/>
      <c r="O46" s="258" t="n"/>
      <c r="P46" s="77">
        <f>IF(E46&gt;0,COUNTIF($E$17:E46,"&gt;0"),0)</f>
        <v/>
      </c>
      <c r="Q46" s="262">
        <f>IF(OR(F46=47201,F46=47100,F46=47200,F46=47500),H46,0)</f>
        <v/>
      </c>
      <c r="R46" s="262">
        <f>IF(OR(F46=87201,F46=87100,F46=87200,F46=87500),H46,0)</f>
        <v/>
      </c>
    </row>
    <row r="47" ht="15" customHeight="1" s="402">
      <c r="A47" s="80">
        <f>IFERROR(VLOOKUP(E47,Tabellen!A:F,4),0)</f>
        <v/>
      </c>
      <c r="B47" s="80" t="n"/>
      <c r="C47" s="80">
        <f>IFERROR(VLOOKUP(E47,Tabellen!A:F,5),0)</f>
        <v/>
      </c>
      <c r="D47" s="80">
        <f>IFERROR(VLOOKUP(E47,Tabellen!A:F,6),0)</f>
        <v/>
      </c>
      <c r="E47" s="257" t="n"/>
      <c r="F47" s="258">
        <f>IFERROR(VLOOKUP(E47,Tabellen!A:H,8),0)</f>
        <v/>
      </c>
      <c r="G47" s="80">
        <f>IFERROR(VLOOKUP(E47,Tabellen!A:F,2),0)</f>
        <v/>
      </c>
      <c r="H47" s="259" t="n"/>
      <c r="I47" s="259" t="n"/>
      <c r="J47" s="259" t="n"/>
      <c r="K47" s="259" t="n"/>
      <c r="L47" s="260">
        <f>IF(E47&gt;0,$H$4,0)</f>
        <v/>
      </c>
      <c r="M47" s="261">
        <f>IFERROR(VLOOKUP(F47,Tabellen!H:I,2),0)</f>
        <v/>
      </c>
      <c r="N47" s="258" t="n"/>
      <c r="O47" s="258" t="n"/>
      <c r="P47" s="78">
        <f>IF(E47&gt;0,COUNTIF($E$17:E47,"&gt;0"),0)</f>
        <v/>
      </c>
      <c r="Q47" s="262">
        <f>IF(OR(F47=47201,F47=47100,F47=47200,F47=47500),H47,0)</f>
        <v/>
      </c>
      <c r="R47" s="262">
        <f>IF(OR(F47=87201,F47=87100,F47=87200,F47=87500),H47,0)</f>
        <v/>
      </c>
    </row>
    <row r="48" ht="15" customHeight="1" s="402">
      <c r="A48" s="79">
        <f>IFERROR(VLOOKUP(E48,Tabellen!A:F,4),0)</f>
        <v/>
      </c>
      <c r="B48" s="79" t="n"/>
      <c r="C48" s="79">
        <f>IFERROR(VLOOKUP(E48,Tabellen!A:F,5),0)</f>
        <v/>
      </c>
      <c r="D48" s="79">
        <f>IFERROR(VLOOKUP(E48,Tabellen!A:F,6),0)</f>
        <v/>
      </c>
      <c r="E48" s="257" t="n"/>
      <c r="F48" s="258">
        <f>IFERROR(VLOOKUP(E48,Tabellen!A:H,8),0)</f>
        <v/>
      </c>
      <c r="G48" s="79">
        <f>IFERROR(VLOOKUP(E48,Tabellen!A:F,2),0)</f>
        <v/>
      </c>
      <c r="H48" s="259" t="n"/>
      <c r="I48" s="259" t="n"/>
      <c r="J48" s="259" t="n"/>
      <c r="K48" s="259" t="n"/>
      <c r="L48" s="260">
        <f>IF(E48&gt;0,$H$4,0)</f>
        <v/>
      </c>
      <c r="M48" s="263">
        <f>IFERROR(VLOOKUP(F48,Tabellen!H:I,2),0)</f>
        <v/>
      </c>
      <c r="N48" s="258" t="n"/>
      <c r="O48" s="258" t="n"/>
      <c r="P48" s="77">
        <f>IF(E48&gt;0,COUNTIF($E$17:E48,"&gt;0"),0)</f>
        <v/>
      </c>
      <c r="Q48" s="262">
        <f>IF(OR(F48=47201,F48=47100,F48=47200,F48=47500),H48,0)</f>
        <v/>
      </c>
      <c r="R48" s="262">
        <f>IF(OR(F48=87201,F48=87100,F48=87200,F48=87500),H48,0)</f>
        <v/>
      </c>
    </row>
    <row r="49" ht="15" customHeight="1" s="402">
      <c r="A49" s="80">
        <f>IFERROR(VLOOKUP(E49,Tabellen!A:F,4),0)</f>
        <v/>
      </c>
      <c r="B49" s="80" t="n"/>
      <c r="C49" s="80">
        <f>IFERROR(VLOOKUP(E49,Tabellen!A:F,5),0)</f>
        <v/>
      </c>
      <c r="D49" s="80">
        <f>IFERROR(VLOOKUP(E49,Tabellen!A:F,6),0)</f>
        <v/>
      </c>
      <c r="E49" s="257" t="n"/>
      <c r="F49" s="258">
        <f>IFERROR(VLOOKUP(E49,Tabellen!A:H,8),0)</f>
        <v/>
      </c>
      <c r="G49" s="80">
        <f>IFERROR(VLOOKUP(E49,Tabellen!A:F,2),0)</f>
        <v/>
      </c>
      <c r="H49" s="259" t="n"/>
      <c r="I49" s="259" t="n"/>
      <c r="J49" s="259" t="n"/>
      <c r="K49" s="259" t="n"/>
      <c r="L49" s="260">
        <f>IF(E49&gt;0,$H$4,0)</f>
        <v/>
      </c>
      <c r="M49" s="261">
        <f>IFERROR(VLOOKUP(F49,Tabellen!H:I,2),0)</f>
        <v/>
      </c>
      <c r="N49" s="258" t="n"/>
      <c r="O49" s="258" t="n"/>
      <c r="P49" s="78">
        <f>IF(E49&gt;0,COUNTIF($E$17:E49,"&gt;0"),0)</f>
        <v/>
      </c>
      <c r="Q49" s="262">
        <f>IF(OR(F49=47201,F49=47100,F49=47200,F49=47500),H49,0)</f>
        <v/>
      </c>
      <c r="R49" s="262">
        <f>IF(OR(F49=87201,F49=87100,F49=87200,F49=87500),H49,0)</f>
        <v/>
      </c>
    </row>
    <row r="50" ht="15" customHeight="1" s="402">
      <c r="A50" s="79">
        <f>IFERROR(VLOOKUP(E50,Tabellen!A:F,4),0)</f>
        <v/>
      </c>
      <c r="B50" s="79" t="n"/>
      <c r="C50" s="79">
        <f>IFERROR(VLOOKUP(E50,Tabellen!A:F,5),0)</f>
        <v/>
      </c>
      <c r="D50" s="79">
        <f>IFERROR(VLOOKUP(E50,Tabellen!A:F,6),0)</f>
        <v/>
      </c>
      <c r="E50" s="257" t="n"/>
      <c r="F50" s="258">
        <f>IFERROR(VLOOKUP(E50,Tabellen!A:H,8),0)</f>
        <v/>
      </c>
      <c r="G50" s="79">
        <f>IFERROR(VLOOKUP(E50,Tabellen!A:F,2),0)</f>
        <v/>
      </c>
      <c r="H50" s="259" t="n"/>
      <c r="I50" s="259" t="n"/>
      <c r="J50" s="259" t="n"/>
      <c r="K50" s="259" t="n"/>
      <c r="L50" s="260">
        <f>IF(E50&gt;0,$H$4,0)</f>
        <v/>
      </c>
      <c r="M50" s="263">
        <f>IFERROR(VLOOKUP(F50,Tabellen!H:I,2),0)</f>
        <v/>
      </c>
      <c r="N50" s="258" t="n"/>
      <c r="O50" s="258" t="n"/>
      <c r="P50" s="77">
        <f>IF(E50&gt;0,COUNTIF($E$17:E50,"&gt;0"),0)</f>
        <v/>
      </c>
      <c r="Q50" s="262">
        <f>IF(OR(F50=47201,F50=47100,F50=47200,F50=47500),H50,0)</f>
        <v/>
      </c>
      <c r="R50" s="262">
        <f>IF(OR(F50=87201,F50=87100,F50=87200,F50=87500),H50,0)</f>
        <v/>
      </c>
    </row>
    <row r="51" ht="15" customHeight="1" s="402">
      <c r="A51" s="80">
        <f>IFERROR(VLOOKUP(E51,Tabellen!A:F,4),0)</f>
        <v/>
      </c>
      <c r="B51" s="80" t="n"/>
      <c r="C51" s="80">
        <f>IFERROR(VLOOKUP(E51,Tabellen!A:F,5),0)</f>
        <v/>
      </c>
      <c r="D51" s="80">
        <f>IFERROR(VLOOKUP(E51,Tabellen!A:F,6),0)</f>
        <v/>
      </c>
      <c r="E51" s="257" t="n"/>
      <c r="F51" s="258">
        <f>IFERROR(VLOOKUP(E51,Tabellen!A:H,8),0)</f>
        <v/>
      </c>
      <c r="G51" s="80">
        <f>IFERROR(VLOOKUP(E51,Tabellen!A:F,2),0)</f>
        <v/>
      </c>
      <c r="H51" s="259" t="n"/>
      <c r="I51" s="259" t="n"/>
      <c r="J51" s="259" t="n"/>
      <c r="K51" s="259" t="n"/>
      <c r="L51" s="260">
        <f>IF(E51&gt;0,$H$4,0)</f>
        <v/>
      </c>
      <c r="M51" s="261">
        <f>IFERROR(VLOOKUP(F51,Tabellen!H:I,2),0)</f>
        <v/>
      </c>
      <c r="N51" s="258" t="n"/>
      <c r="O51" s="258" t="n"/>
      <c r="P51" s="78">
        <f>IF(E51&gt;0,COUNTIF($E$17:E51,"&gt;0"),0)</f>
        <v/>
      </c>
      <c r="Q51" s="262">
        <f>IF(OR(F51=47201,F51=47100,F51=47200,F51=47500),H51,0)</f>
        <v/>
      </c>
      <c r="R51" s="262">
        <f>IF(OR(F51=87201,F51=87100,F51=87200,F51=87500),H51,0)</f>
        <v/>
      </c>
    </row>
    <row r="52" ht="15" customHeight="1" s="402">
      <c r="A52" s="79">
        <f>IFERROR(VLOOKUP(E52,Tabellen!A:F,4),0)</f>
        <v/>
      </c>
      <c r="B52" s="79" t="n"/>
      <c r="C52" s="79">
        <f>IFERROR(VLOOKUP(E52,Tabellen!A:F,5),0)</f>
        <v/>
      </c>
      <c r="D52" s="79">
        <f>IFERROR(VLOOKUP(E52,Tabellen!A:F,6),0)</f>
        <v/>
      </c>
      <c r="E52" s="257" t="n"/>
      <c r="F52" s="258">
        <f>IFERROR(VLOOKUP(E52,Tabellen!A:H,8),0)</f>
        <v/>
      </c>
      <c r="G52" s="79">
        <f>IFERROR(VLOOKUP(E52,Tabellen!A:F,2),0)</f>
        <v/>
      </c>
      <c r="H52" s="259" t="n"/>
      <c r="I52" s="259" t="n"/>
      <c r="J52" s="259" t="n"/>
      <c r="K52" s="259" t="n"/>
      <c r="L52" s="260">
        <f>IF(E52&gt;0,$H$4,0)</f>
        <v/>
      </c>
      <c r="M52" s="263">
        <f>IFERROR(VLOOKUP(F52,Tabellen!H:I,2),0)</f>
        <v/>
      </c>
      <c r="N52" s="258" t="n"/>
      <c r="O52" s="258" t="n"/>
      <c r="P52" s="77">
        <f>IF(E52&gt;0,COUNTIF($E$17:E52,"&gt;0"),0)</f>
        <v/>
      </c>
      <c r="Q52" s="262">
        <f>IF(OR(F52=47201,F52=47100,F52=47200,F52=47500),H52,0)</f>
        <v/>
      </c>
      <c r="R52" s="262">
        <f>IF(OR(F52=87201,F52=87100,F52=87200,F52=87500),H52,0)</f>
        <v/>
      </c>
    </row>
    <row r="53" ht="15" customHeight="1" s="402">
      <c r="A53" s="80">
        <f>IFERROR(VLOOKUP(E53,Tabellen!A:F,4),0)</f>
        <v/>
      </c>
      <c r="B53" s="80" t="n"/>
      <c r="C53" s="80">
        <f>IFERROR(VLOOKUP(E53,Tabellen!A:F,5),0)</f>
        <v/>
      </c>
      <c r="D53" s="80">
        <f>IFERROR(VLOOKUP(E53,Tabellen!A:F,6),0)</f>
        <v/>
      </c>
      <c r="E53" s="257" t="n"/>
      <c r="F53" s="258">
        <f>IFERROR(VLOOKUP(E53,Tabellen!A:H,8),0)</f>
        <v/>
      </c>
      <c r="G53" s="80">
        <f>IFERROR(VLOOKUP(E53,Tabellen!A:F,2),0)</f>
        <v/>
      </c>
      <c r="H53" s="259" t="n"/>
      <c r="I53" s="259" t="n"/>
      <c r="J53" s="259" t="n"/>
      <c r="K53" s="259" t="n"/>
      <c r="L53" s="260">
        <f>IF(E53&gt;0,$H$4,0)</f>
        <v/>
      </c>
      <c r="M53" s="261">
        <f>IFERROR(VLOOKUP(F53,Tabellen!H:I,2),0)</f>
        <v/>
      </c>
      <c r="N53" s="258" t="n"/>
      <c r="O53" s="258" t="n"/>
      <c r="P53" s="78">
        <f>IF(E53&gt;0,COUNTIF($E$17:E53,"&gt;0"),0)</f>
        <v/>
      </c>
      <c r="Q53" s="262">
        <f>IF(OR(F53=47201,F53=47100,F53=47200,F53=47500),H53,0)</f>
        <v/>
      </c>
      <c r="R53" s="262">
        <f>IF(OR(F53=87201,F53=87100,F53=87200,F53=87500),H53,0)</f>
        <v/>
      </c>
    </row>
    <row r="54" ht="15" customHeight="1" s="402">
      <c r="A54" s="79">
        <f>IFERROR(VLOOKUP(E54,Tabellen!A:F,4),0)</f>
        <v/>
      </c>
      <c r="B54" s="79" t="n"/>
      <c r="C54" s="79">
        <f>IFERROR(VLOOKUP(E54,Tabellen!A:F,5),0)</f>
        <v/>
      </c>
      <c r="D54" s="79">
        <f>IFERROR(VLOOKUP(E54,Tabellen!A:F,6),0)</f>
        <v/>
      </c>
      <c r="E54" s="257" t="n"/>
      <c r="F54" s="258">
        <f>IFERROR(VLOOKUP(E54,Tabellen!A:H,8),0)</f>
        <v/>
      </c>
      <c r="G54" s="79">
        <f>IFERROR(VLOOKUP(E54,Tabellen!A:F,2),0)</f>
        <v/>
      </c>
      <c r="H54" s="259" t="n"/>
      <c r="I54" s="259" t="n"/>
      <c r="J54" s="259" t="n"/>
      <c r="K54" s="259" t="n"/>
      <c r="L54" s="260">
        <f>IF(E54&gt;0,$H$4,0)</f>
        <v/>
      </c>
      <c r="M54" s="263">
        <f>IFERROR(VLOOKUP(F54,Tabellen!H:I,2),0)</f>
        <v/>
      </c>
      <c r="N54" s="258" t="n"/>
      <c r="O54" s="258" t="n"/>
      <c r="P54" s="77">
        <f>IF(E54&gt;0,COUNTIF($E$17:E54,"&gt;0"),0)</f>
        <v/>
      </c>
      <c r="Q54" s="262">
        <f>IF(OR(F54=47201,F54=47100,F54=47200,F54=47500),H54,0)</f>
        <v/>
      </c>
      <c r="R54" s="262">
        <f>IF(OR(F54=87201,F54=87100,F54=87200,F54=87500),H54,0)</f>
        <v/>
      </c>
    </row>
    <row r="55" ht="15" customHeight="1" s="402">
      <c r="A55" s="80">
        <f>IFERROR(VLOOKUP(E55,Tabellen!A:F,4),0)</f>
        <v/>
      </c>
      <c r="B55" s="80" t="n"/>
      <c r="C55" s="80">
        <f>IFERROR(VLOOKUP(E55,Tabellen!A:F,5),0)</f>
        <v/>
      </c>
      <c r="D55" s="80">
        <f>IFERROR(VLOOKUP(E55,Tabellen!A:F,6),0)</f>
        <v/>
      </c>
      <c r="E55" s="257" t="n"/>
      <c r="F55" s="258">
        <f>IFERROR(VLOOKUP(E55,Tabellen!A:H,8),0)</f>
        <v/>
      </c>
      <c r="G55" s="80">
        <f>IFERROR(VLOOKUP(E55,Tabellen!A:F,2),0)</f>
        <v/>
      </c>
      <c r="H55" s="259" t="n"/>
      <c r="I55" s="259" t="n"/>
      <c r="J55" s="259" t="n"/>
      <c r="K55" s="259" t="n"/>
      <c r="L55" s="260">
        <f>IF(E55&gt;0,$H$4,0)</f>
        <v/>
      </c>
      <c r="M55" s="261">
        <f>IFERROR(VLOOKUP(F55,Tabellen!H:I,2),0)</f>
        <v/>
      </c>
      <c r="N55" s="258" t="n"/>
      <c r="O55" s="258" t="n"/>
      <c r="P55" s="78">
        <f>IF(E55&gt;0,COUNTIF($E$17:E55,"&gt;0"),0)</f>
        <v/>
      </c>
      <c r="Q55" s="262">
        <f>IF(OR(F55=47201,F55=47100,F55=47200,F55=47500),H55,0)</f>
        <v/>
      </c>
      <c r="R55" s="262">
        <f>IF(OR(F55=87201,F55=87100,F55=87200,F55=87500),H55,0)</f>
        <v/>
      </c>
    </row>
    <row r="56" ht="15" customHeight="1" s="402">
      <c r="A56" s="79">
        <f>IFERROR(VLOOKUP(E56,Tabellen!A:F,4),0)</f>
        <v/>
      </c>
      <c r="B56" s="79" t="n"/>
      <c r="C56" s="79">
        <f>IFERROR(VLOOKUP(E56,Tabellen!A:F,5),0)</f>
        <v/>
      </c>
      <c r="D56" s="79">
        <f>IFERROR(VLOOKUP(E56,Tabellen!A:F,6),0)</f>
        <v/>
      </c>
      <c r="E56" s="257" t="n"/>
      <c r="F56" s="258">
        <f>IFERROR(VLOOKUP(E56,Tabellen!A:H,8),0)</f>
        <v/>
      </c>
      <c r="G56" s="79">
        <f>IFERROR(VLOOKUP(E56,Tabellen!A:F,2),0)</f>
        <v/>
      </c>
      <c r="H56" s="259" t="n"/>
      <c r="I56" s="259" t="n"/>
      <c r="J56" s="259" t="n"/>
      <c r="K56" s="259" t="n"/>
      <c r="L56" s="260">
        <f>IF(E56&gt;0,$H$4,0)</f>
        <v/>
      </c>
      <c r="M56" s="263">
        <f>IFERROR(VLOOKUP(F56,Tabellen!H:I,2),0)</f>
        <v/>
      </c>
      <c r="N56" s="258" t="n"/>
      <c r="O56" s="258" t="n"/>
      <c r="P56" s="77">
        <f>IF(E56&gt;0,COUNTIF($E$17:E56,"&gt;0"),0)</f>
        <v/>
      </c>
      <c r="Q56" s="262">
        <f>IF(OR(F56=47201,F56=47100,F56=47200,F56=47500),H56,0)</f>
        <v/>
      </c>
      <c r="R56" s="262">
        <f>IF(OR(F56=87201,F56=87100,F56=87200,F56=87500),H56,0)</f>
        <v/>
      </c>
    </row>
    <row r="57" ht="15" customHeight="1" s="402">
      <c r="A57" s="80">
        <f>IFERROR(VLOOKUP(E57,Tabellen!A:F,4),0)</f>
        <v/>
      </c>
      <c r="B57" s="80" t="n"/>
      <c r="C57" s="80">
        <f>IFERROR(VLOOKUP(E57,Tabellen!A:F,5),0)</f>
        <v/>
      </c>
      <c r="D57" s="80">
        <f>IFERROR(VLOOKUP(E57,Tabellen!A:F,6),0)</f>
        <v/>
      </c>
      <c r="E57" s="257" t="n"/>
      <c r="F57" s="258">
        <f>IFERROR(VLOOKUP(E57,Tabellen!A:H,8),0)</f>
        <v/>
      </c>
      <c r="G57" s="80">
        <f>IFERROR(VLOOKUP(E57,Tabellen!A:F,2),0)</f>
        <v/>
      </c>
      <c r="H57" s="259" t="n"/>
      <c r="I57" s="259" t="n"/>
      <c r="J57" s="259" t="n"/>
      <c r="K57" s="259" t="n"/>
      <c r="L57" s="260">
        <f>IF(E57&gt;0,$H$4,0)</f>
        <v/>
      </c>
      <c r="M57" s="261">
        <f>IFERROR(VLOOKUP(F57,Tabellen!H:I,2),0)</f>
        <v/>
      </c>
      <c r="N57" s="258" t="n"/>
      <c r="O57" s="258" t="n"/>
      <c r="P57" s="78">
        <f>IF(E57&gt;0,COUNTIF($E$17:E57,"&gt;0"),0)</f>
        <v/>
      </c>
      <c r="Q57" s="262">
        <f>IF(OR(F57=47201,F57=47100,F57=47200,F57=47500),H57,0)</f>
        <v/>
      </c>
      <c r="R57" s="262">
        <f>IF(OR(F57=87201,F57=87100,F57=87200,F57=87500),H57,0)</f>
        <v/>
      </c>
    </row>
    <row r="58" ht="15" customHeight="1" s="402">
      <c r="A58" s="79">
        <f>IFERROR(VLOOKUP(E58,Tabellen!A:F,4),0)</f>
        <v/>
      </c>
      <c r="B58" s="79" t="n"/>
      <c r="C58" s="79">
        <f>IFERROR(VLOOKUP(E58,Tabellen!A:F,5),0)</f>
        <v/>
      </c>
      <c r="D58" s="79">
        <f>IFERROR(VLOOKUP(E58,Tabellen!A:F,6),0)</f>
        <v/>
      </c>
      <c r="E58" s="257" t="n"/>
      <c r="F58" s="258">
        <f>IFERROR(VLOOKUP(E58,Tabellen!A:H,8),0)</f>
        <v/>
      </c>
      <c r="G58" s="79">
        <f>IFERROR(VLOOKUP(E58,Tabellen!A:F,2),0)</f>
        <v/>
      </c>
      <c r="H58" s="259" t="n"/>
      <c r="I58" s="259" t="n"/>
      <c r="J58" s="259" t="n"/>
      <c r="K58" s="259" t="n"/>
      <c r="L58" s="260">
        <f>IF(E58&gt;0,$H$4,0)</f>
        <v/>
      </c>
      <c r="M58" s="263">
        <f>IFERROR(VLOOKUP(F58,Tabellen!H:I,2),0)</f>
        <v/>
      </c>
      <c r="N58" s="258" t="n"/>
      <c r="O58" s="258" t="n"/>
      <c r="P58" s="77">
        <f>IF(E58&gt;0,COUNTIF($E$17:E58,"&gt;0"),0)</f>
        <v/>
      </c>
      <c r="Q58" s="262">
        <f>IF(OR(F58=47201,F58=47100,F58=47200,F58=47500),H58,0)</f>
        <v/>
      </c>
      <c r="R58" s="262">
        <f>IF(OR(F58=87201,F58=87100,F58=87200,F58=87500),H58,0)</f>
        <v/>
      </c>
    </row>
    <row r="59" ht="15" customHeight="1" s="402">
      <c r="A59" s="80">
        <f>IFERROR(VLOOKUP(E59,Tabellen!A:F,4),0)</f>
        <v/>
      </c>
      <c r="B59" s="80" t="n"/>
      <c r="C59" s="80">
        <f>IFERROR(VLOOKUP(E59,Tabellen!A:F,5),0)</f>
        <v/>
      </c>
      <c r="D59" s="80">
        <f>IFERROR(VLOOKUP(E59,Tabellen!A:F,6),0)</f>
        <v/>
      </c>
      <c r="E59" s="257" t="n"/>
      <c r="F59" s="258">
        <f>IFERROR(VLOOKUP(E59,Tabellen!A:H,8),0)</f>
        <v/>
      </c>
      <c r="G59" s="80">
        <f>IFERROR(VLOOKUP(E59,Tabellen!A:F,2),0)</f>
        <v/>
      </c>
      <c r="H59" s="259" t="n"/>
      <c r="I59" s="259" t="n"/>
      <c r="J59" s="259" t="n"/>
      <c r="K59" s="259" t="n"/>
      <c r="L59" s="260">
        <f>IF(E59&gt;0,$H$4,0)</f>
        <v/>
      </c>
      <c r="M59" s="261">
        <f>IFERROR(VLOOKUP(F59,Tabellen!H:I,2),0)</f>
        <v/>
      </c>
      <c r="N59" s="258" t="n"/>
      <c r="O59" s="258" t="n"/>
      <c r="P59" s="78">
        <f>IF(E59&gt;0,COUNTIF($E$17:E59,"&gt;0"),0)</f>
        <v/>
      </c>
      <c r="Q59" s="262">
        <f>IF(OR(F59=47201,F59=47100,F59=47200,F59=47500),H59,0)</f>
        <v/>
      </c>
      <c r="R59" s="262">
        <f>IF(OR(F59=87201,F59=87100,F59=87200,F59=87500),H59,0)</f>
        <v/>
      </c>
    </row>
    <row r="60" ht="15" customHeight="1" s="402">
      <c r="A60" s="79">
        <f>IFERROR(VLOOKUP(E60,Tabellen!A:F,4),0)</f>
        <v/>
      </c>
      <c r="B60" s="79" t="n"/>
      <c r="C60" s="79">
        <f>IFERROR(VLOOKUP(E60,Tabellen!A:F,5),0)</f>
        <v/>
      </c>
      <c r="D60" s="79">
        <f>IFERROR(VLOOKUP(E60,Tabellen!A:F,6),0)</f>
        <v/>
      </c>
      <c r="E60" s="257" t="n"/>
      <c r="F60" s="258">
        <f>IFERROR(VLOOKUP(E60,Tabellen!A:H,8),0)</f>
        <v/>
      </c>
      <c r="G60" s="79">
        <f>IFERROR(VLOOKUP(E60,Tabellen!A:F,2),0)</f>
        <v/>
      </c>
      <c r="H60" s="259" t="n"/>
      <c r="I60" s="259" t="n"/>
      <c r="J60" s="259" t="n"/>
      <c r="K60" s="259" t="n"/>
      <c r="L60" s="260">
        <f>IF(E60&gt;0,$H$4,0)</f>
        <v/>
      </c>
      <c r="M60" s="263">
        <f>IFERROR(VLOOKUP(F60,Tabellen!H:I,2),0)</f>
        <v/>
      </c>
      <c r="N60" s="258" t="n"/>
      <c r="O60" s="258" t="n"/>
      <c r="P60" s="77">
        <f>IF(E60&gt;0,COUNTIF($E$17:E60,"&gt;0"),0)</f>
        <v/>
      </c>
      <c r="Q60" s="262">
        <f>IF(OR(F60=47201,F60=47100,F60=47200,F60=47500),H60,0)</f>
        <v/>
      </c>
      <c r="R60" s="262">
        <f>IF(OR(F60=87201,F60=87100,F60=87200,F60=87500),H60,0)</f>
        <v/>
      </c>
    </row>
    <row r="61" ht="15" customHeight="1" s="402">
      <c r="A61" s="80">
        <f>IFERROR(VLOOKUP(E61,Tabellen!A:F,4),0)</f>
        <v/>
      </c>
      <c r="B61" s="80" t="n"/>
      <c r="C61" s="80">
        <f>IFERROR(VLOOKUP(E61,Tabellen!A:F,5),0)</f>
        <v/>
      </c>
      <c r="D61" s="80">
        <f>IFERROR(VLOOKUP(E61,Tabellen!A:F,6),0)</f>
        <v/>
      </c>
      <c r="E61" s="257" t="n"/>
      <c r="F61" s="258">
        <f>IFERROR(VLOOKUP(E61,Tabellen!A:H,8),0)</f>
        <v/>
      </c>
      <c r="G61" s="80">
        <f>IFERROR(VLOOKUP(E61,Tabellen!A:F,2),0)</f>
        <v/>
      </c>
      <c r="H61" s="259" t="n"/>
      <c r="I61" s="259" t="n"/>
      <c r="J61" s="259" t="n"/>
      <c r="K61" s="259" t="n"/>
      <c r="L61" s="260">
        <f>IF(E61&gt;0,$H$4,0)</f>
        <v/>
      </c>
      <c r="M61" s="261">
        <f>IFERROR(VLOOKUP(F61,Tabellen!H:I,2),0)</f>
        <v/>
      </c>
      <c r="N61" s="258" t="n"/>
      <c r="O61" s="258" t="n"/>
      <c r="P61" s="78">
        <f>IF(E61&gt;0,COUNTIF($E$17:E61,"&gt;0"),0)</f>
        <v/>
      </c>
      <c r="Q61" s="262">
        <f>IF(OR(F61=47201,F61=47100,F61=47200,F61=47500),H61,0)</f>
        <v/>
      </c>
      <c r="R61" s="262">
        <f>IF(OR(F61=87201,F61=87100,F61=87200,F61=87500),H61,0)</f>
        <v/>
      </c>
    </row>
    <row r="62" ht="15" customHeight="1" s="402">
      <c r="A62" s="79">
        <f>IFERROR(VLOOKUP(E62,Tabellen!A:F,4),0)</f>
        <v/>
      </c>
      <c r="B62" s="79" t="n"/>
      <c r="C62" s="79">
        <f>IFERROR(VLOOKUP(E62,Tabellen!A:F,5),0)</f>
        <v/>
      </c>
      <c r="D62" s="79">
        <f>IFERROR(VLOOKUP(E62,Tabellen!A:F,6),0)</f>
        <v/>
      </c>
      <c r="E62" s="257" t="n"/>
      <c r="F62" s="258">
        <f>IFERROR(VLOOKUP(E62,Tabellen!A:H,8),0)</f>
        <v/>
      </c>
      <c r="G62" s="79">
        <f>IFERROR(VLOOKUP(E62,Tabellen!A:F,2),0)</f>
        <v/>
      </c>
      <c r="H62" s="259" t="n"/>
      <c r="I62" s="259" t="n"/>
      <c r="J62" s="259" t="n"/>
      <c r="K62" s="259" t="n"/>
      <c r="L62" s="260">
        <f>IF(E62&gt;0,$H$4,0)</f>
        <v/>
      </c>
      <c r="M62" s="263">
        <f>IFERROR(VLOOKUP(F62,Tabellen!H:I,2),0)</f>
        <v/>
      </c>
      <c r="N62" s="258" t="n"/>
      <c r="O62" s="258" t="n"/>
      <c r="P62" s="77">
        <f>IF(E62&gt;0,COUNTIF($E$17:E62,"&gt;0"),0)</f>
        <v/>
      </c>
      <c r="Q62" s="262">
        <f>IF(OR(F62=47201,F62=47100,F62=47200,F62=47500),H62,0)</f>
        <v/>
      </c>
      <c r="R62" s="262">
        <f>IF(OR(F62=87201,F62=87100,F62=87200,F62=87500),H62,0)</f>
        <v/>
      </c>
    </row>
    <row r="63" ht="15" customHeight="1" s="402">
      <c r="A63" s="80">
        <f>IFERROR(VLOOKUP(E63,Tabellen!A:F,4),0)</f>
        <v/>
      </c>
      <c r="B63" s="80" t="n"/>
      <c r="C63" s="80">
        <f>IFERROR(VLOOKUP(E63,Tabellen!A:F,5),0)</f>
        <v/>
      </c>
      <c r="D63" s="80">
        <f>IFERROR(VLOOKUP(E63,Tabellen!A:F,6),0)</f>
        <v/>
      </c>
      <c r="E63" s="257" t="n"/>
      <c r="F63" s="258">
        <f>IFERROR(VLOOKUP(E63,Tabellen!A:H,8),0)</f>
        <v/>
      </c>
      <c r="G63" s="80">
        <f>IFERROR(VLOOKUP(E63,Tabellen!A:F,2),0)</f>
        <v/>
      </c>
      <c r="H63" s="259" t="n"/>
      <c r="I63" s="259" t="n"/>
      <c r="J63" s="259" t="n"/>
      <c r="K63" s="259" t="n"/>
      <c r="L63" s="260">
        <f>IF(E63&gt;0,$H$4,0)</f>
        <v/>
      </c>
      <c r="M63" s="261">
        <f>IFERROR(VLOOKUP(F63,Tabellen!H:I,2),0)</f>
        <v/>
      </c>
      <c r="N63" s="258" t="n"/>
      <c r="O63" s="258" t="n"/>
      <c r="P63" s="78">
        <f>IF(E63&gt;0,COUNTIF($E$17:E63,"&gt;0"),0)</f>
        <v/>
      </c>
      <c r="Q63" s="262">
        <f>IF(OR(F63=47201,F63=47100,F63=47200,F63=47500),H63,0)</f>
        <v/>
      </c>
      <c r="R63" s="262">
        <f>IF(OR(F63=87201,F63=87100,F63=87200,F63=87500),H63,0)</f>
        <v/>
      </c>
    </row>
    <row r="64" ht="15" customHeight="1" s="402">
      <c r="A64" s="79">
        <f>IFERROR(VLOOKUP(E64,Tabellen!A:F,4),0)</f>
        <v/>
      </c>
      <c r="B64" s="79" t="n"/>
      <c r="C64" s="79">
        <f>IFERROR(VLOOKUP(E64,Tabellen!A:F,5),0)</f>
        <v/>
      </c>
      <c r="D64" s="79">
        <f>IFERROR(VLOOKUP(E64,Tabellen!A:F,6),0)</f>
        <v/>
      </c>
      <c r="E64" s="257" t="n"/>
      <c r="F64" s="258">
        <f>IFERROR(VLOOKUP(E64,Tabellen!A:H,8),0)</f>
        <v/>
      </c>
      <c r="G64" s="79">
        <f>IFERROR(VLOOKUP(E64,Tabellen!A:F,2),0)</f>
        <v/>
      </c>
      <c r="H64" s="259" t="n"/>
      <c r="I64" s="259" t="n"/>
      <c r="J64" s="259" t="n"/>
      <c r="K64" s="259" t="n"/>
      <c r="L64" s="260">
        <f>IF(E64&gt;0,$H$4,0)</f>
        <v/>
      </c>
      <c r="M64" s="263">
        <f>IFERROR(VLOOKUP(F64,Tabellen!H:I,2),0)</f>
        <v/>
      </c>
      <c r="N64" s="258" t="n"/>
      <c r="O64" s="258" t="n"/>
      <c r="P64" s="77">
        <f>IF(E64&gt;0,COUNTIF($E$17:E64,"&gt;0"),0)</f>
        <v/>
      </c>
      <c r="Q64" s="262">
        <f>IF(OR(F64=47201,F64=47100,F64=47200,F64=47500),H64,0)</f>
        <v/>
      </c>
      <c r="R64" s="262">
        <f>IF(OR(F64=87201,F64=87100,F64=87200,F64=87500),H64,0)</f>
        <v/>
      </c>
    </row>
    <row r="65" ht="15" customHeight="1" s="402">
      <c r="A65" s="80">
        <f>IFERROR(VLOOKUP(E65,Tabellen!A:F,4),0)</f>
        <v/>
      </c>
      <c r="B65" s="80" t="n"/>
      <c r="C65" s="80">
        <f>IFERROR(VLOOKUP(E65,Tabellen!A:F,5),0)</f>
        <v/>
      </c>
      <c r="D65" s="80">
        <f>IFERROR(VLOOKUP(E65,Tabellen!A:F,6),0)</f>
        <v/>
      </c>
      <c r="E65" s="257" t="n"/>
      <c r="F65" s="258">
        <f>IFERROR(VLOOKUP(E65,Tabellen!A:H,8),0)</f>
        <v/>
      </c>
      <c r="G65" s="80">
        <f>IFERROR(VLOOKUP(E65,Tabellen!A:F,2),0)</f>
        <v/>
      </c>
      <c r="H65" s="259" t="n"/>
      <c r="I65" s="259" t="n"/>
      <c r="J65" s="259" t="n"/>
      <c r="K65" s="259" t="n"/>
      <c r="L65" s="260">
        <f>IF(E65&gt;0,$H$4,0)</f>
        <v/>
      </c>
      <c r="M65" s="261">
        <f>IFERROR(VLOOKUP(F65,Tabellen!H:I,2),0)</f>
        <v/>
      </c>
      <c r="N65" s="258" t="n"/>
      <c r="O65" s="258" t="n"/>
      <c r="P65" s="78">
        <f>IF(E65&gt;0,COUNTIF($E$17:E65,"&gt;0"),0)</f>
        <v/>
      </c>
      <c r="Q65" s="262">
        <f>IF(OR(F65=47201,F65=47100,F65=47200,F65=47500),H65,0)</f>
        <v/>
      </c>
      <c r="R65" s="262">
        <f>IF(OR(F65=87201,F65=87100,F65=87200,F65=87500),H65,0)</f>
        <v/>
      </c>
      <c r="S65" s="124" t="n"/>
      <c r="T65" s="124" t="n"/>
    </row>
    <row r="66" ht="15" customHeight="1" s="402">
      <c r="A66" s="79">
        <f>IFERROR(VLOOKUP(E66,Tabellen!A:F,4),0)</f>
        <v/>
      </c>
      <c r="B66" s="79" t="n"/>
      <c r="C66" s="79">
        <f>IFERROR(VLOOKUP(E66,Tabellen!A:F,5),0)</f>
        <v/>
      </c>
      <c r="D66" s="79">
        <f>IFERROR(VLOOKUP(E66,Tabellen!A:F,6),0)</f>
        <v/>
      </c>
      <c r="E66" s="257" t="n"/>
      <c r="F66" s="258">
        <f>IFERROR(VLOOKUP(E66,Tabellen!A:H,8),0)</f>
        <v/>
      </c>
      <c r="G66" s="79">
        <f>IFERROR(VLOOKUP(E66,Tabellen!A:F,2),0)</f>
        <v/>
      </c>
      <c r="H66" s="259" t="n"/>
      <c r="I66" s="259" t="n"/>
      <c r="J66" s="259" t="n"/>
      <c r="K66" s="259" t="n"/>
      <c r="L66" s="260">
        <f>IF(E66&gt;0,$H$4,0)</f>
        <v/>
      </c>
      <c r="M66" s="263">
        <f>IFERROR(VLOOKUP(F66,Tabellen!H:I,2),0)</f>
        <v/>
      </c>
      <c r="N66" s="258" t="n"/>
      <c r="O66" s="258" t="n"/>
      <c r="P66" s="77">
        <f>IF(E66&gt;0,COUNTIF($E$17:E66,"&gt;0"),0)</f>
        <v/>
      </c>
      <c r="Q66" s="262">
        <f>IF(OR(F66=47201,F66=47100,F66=47200,F66=47500),H66,0)</f>
        <v/>
      </c>
      <c r="R66" s="262">
        <f>IF(OR(F66=87201,F66=87100,F66=87200,F66=87500),H66,0)</f>
        <v/>
      </c>
      <c r="S66" s="124" t="n"/>
      <c r="T66" s="124" t="n"/>
    </row>
    <row r="67" ht="15" customHeight="1" s="402">
      <c r="A67" s="80">
        <f>IFERROR(VLOOKUP(E67,Tabellen!A:F,4),0)</f>
        <v/>
      </c>
      <c r="B67" s="80" t="n"/>
      <c r="C67" s="80">
        <f>IFERROR(VLOOKUP(E67,Tabellen!A:F,5),0)</f>
        <v/>
      </c>
      <c r="D67" s="80">
        <f>IFERROR(VLOOKUP(E67,Tabellen!A:F,6),0)</f>
        <v/>
      </c>
      <c r="E67" s="257" t="n"/>
      <c r="F67" s="258">
        <f>IFERROR(VLOOKUP(E67,Tabellen!A:H,8),0)</f>
        <v/>
      </c>
      <c r="G67" s="80">
        <f>IFERROR(VLOOKUP(E67,Tabellen!A:F,2),0)</f>
        <v/>
      </c>
      <c r="H67" s="259" t="n"/>
      <c r="I67" s="259" t="n"/>
      <c r="J67" s="259" t="n"/>
      <c r="K67" s="259" t="n"/>
      <c r="L67" s="260">
        <f>IF(E67&gt;0,$H$4,0)</f>
        <v/>
      </c>
      <c r="M67" s="261">
        <f>IFERROR(VLOOKUP(F67,Tabellen!H:I,2),0)</f>
        <v/>
      </c>
      <c r="N67" s="258" t="n"/>
      <c r="O67" s="258" t="n"/>
      <c r="P67" s="78">
        <f>IF(E67&gt;0,COUNTIF($E$17:E67,"&gt;0"),0)</f>
        <v/>
      </c>
      <c r="Q67" s="262">
        <f>IF(OR(F67=47201,F67=47100,F67=47200,F67=47500),H67,0)</f>
        <v/>
      </c>
      <c r="R67" s="262">
        <f>IF(OR(F67=87201,F67=87100,F67=87200,F67=87500),H67,0)</f>
        <v/>
      </c>
      <c r="S67" s="124" t="n"/>
      <c r="T67" s="124" t="n"/>
    </row>
    <row r="68" ht="15" customHeight="1" s="402">
      <c r="A68" s="79">
        <f>IFERROR(VLOOKUP(E68,Tabellen!A:F,4),0)</f>
        <v/>
      </c>
      <c r="B68" s="79" t="n"/>
      <c r="C68" s="79">
        <f>IFERROR(VLOOKUP(E68,Tabellen!A:F,5),0)</f>
        <v/>
      </c>
      <c r="D68" s="79">
        <f>IFERROR(VLOOKUP(E68,Tabellen!A:F,6),0)</f>
        <v/>
      </c>
      <c r="E68" s="257" t="n"/>
      <c r="F68" s="258">
        <f>IFERROR(VLOOKUP(E68,Tabellen!A:H,8),0)</f>
        <v/>
      </c>
      <c r="G68" s="79">
        <f>IFERROR(VLOOKUP(E68,Tabellen!A:F,2),0)</f>
        <v/>
      </c>
      <c r="H68" s="259" t="n"/>
      <c r="I68" s="259" t="n"/>
      <c r="J68" s="259" t="n"/>
      <c r="K68" s="259" t="n"/>
      <c r="L68" s="260">
        <f>IF(E68&gt;0,$H$4,0)</f>
        <v/>
      </c>
      <c r="M68" s="263">
        <f>IFERROR(VLOOKUP(F68,Tabellen!H:I,2),0)</f>
        <v/>
      </c>
      <c r="N68" s="258" t="n"/>
      <c r="O68" s="258" t="n"/>
      <c r="P68" s="77">
        <f>IF(E68&gt;0,COUNTIF($E$17:E68,"&gt;0"),0)</f>
        <v/>
      </c>
      <c r="Q68" s="262">
        <f>IF(OR(F68=47201,F68=47100,F68=47200,F68=47500),H68,0)</f>
        <v/>
      </c>
      <c r="R68" s="262">
        <f>IF(OR(F68=87201,F68=87100,F68=87200,F68=87500),H68,0)</f>
        <v/>
      </c>
      <c r="S68" s="124" t="n"/>
      <c r="T68" s="124" t="n"/>
    </row>
    <row r="69" ht="15" customHeight="1" s="402">
      <c r="A69" s="80">
        <f>IFERROR(VLOOKUP(E69,Tabellen!A:F,4),0)</f>
        <v/>
      </c>
      <c r="B69" s="80" t="n"/>
      <c r="C69" s="80">
        <f>IFERROR(VLOOKUP(E69,Tabellen!A:F,5),0)</f>
        <v/>
      </c>
      <c r="D69" s="80">
        <f>IFERROR(VLOOKUP(E69,Tabellen!A:F,6),0)</f>
        <v/>
      </c>
      <c r="E69" s="257" t="n"/>
      <c r="F69" s="258">
        <f>IFERROR(VLOOKUP(E69,Tabellen!A:H,8),0)</f>
        <v/>
      </c>
      <c r="G69" s="80">
        <f>IFERROR(VLOOKUP(E69,Tabellen!A:F,2),0)</f>
        <v/>
      </c>
      <c r="H69" s="259" t="n"/>
      <c r="I69" s="259" t="n"/>
      <c r="J69" s="259" t="n"/>
      <c r="K69" s="259" t="n"/>
      <c r="L69" s="260">
        <f>IF(E69&gt;0,$H$4,0)</f>
        <v/>
      </c>
      <c r="M69" s="261">
        <f>IFERROR(VLOOKUP(F69,Tabellen!H:I,2),0)</f>
        <v/>
      </c>
      <c r="N69" s="258" t="n"/>
      <c r="O69" s="258" t="n"/>
      <c r="P69" s="78">
        <f>IF(E69&gt;0,COUNTIF($E$17:E69,"&gt;0"),0)</f>
        <v/>
      </c>
      <c r="Q69" s="262">
        <f>IF(OR(F69=47201,F69=47100,F69=47200,F69=47500),H69,0)</f>
        <v/>
      </c>
      <c r="R69" s="262">
        <f>IF(OR(F69=87201,F69=87100,F69=87200,F69=87500),H69,0)</f>
        <v/>
      </c>
      <c r="S69" s="124" t="n"/>
      <c r="T69" s="124" t="n"/>
    </row>
    <row r="70" ht="15" customHeight="1" s="402">
      <c r="A70" s="79">
        <f>IFERROR(VLOOKUP(E70,Tabellen!A:F,4),0)</f>
        <v/>
      </c>
      <c r="B70" s="79" t="n"/>
      <c r="C70" s="79">
        <f>IFERROR(VLOOKUP(E70,Tabellen!A:F,5),0)</f>
        <v/>
      </c>
      <c r="D70" s="79">
        <f>IFERROR(VLOOKUP(E70,Tabellen!A:F,6),0)</f>
        <v/>
      </c>
      <c r="E70" s="257" t="n"/>
      <c r="F70" s="258">
        <f>IFERROR(VLOOKUP(E70,Tabellen!A:H,8),0)</f>
        <v/>
      </c>
      <c r="G70" s="79">
        <f>IFERROR(VLOOKUP(E70,Tabellen!A:F,2),0)</f>
        <v/>
      </c>
      <c r="H70" s="259" t="n"/>
      <c r="I70" s="259" t="n"/>
      <c r="J70" s="259" t="n"/>
      <c r="K70" s="259" t="n"/>
      <c r="L70" s="260">
        <f>IF(E70&gt;0,$H$4,0)</f>
        <v/>
      </c>
      <c r="M70" s="263">
        <f>IFERROR(VLOOKUP(F70,Tabellen!H:I,2),0)</f>
        <v/>
      </c>
      <c r="N70" s="258" t="n"/>
      <c r="O70" s="258" t="n"/>
      <c r="P70" s="77">
        <f>IF(E70&gt;0,COUNTIF($E$17:E70,"&gt;0"),0)</f>
        <v/>
      </c>
      <c r="Q70" s="262">
        <f>IF(OR(F70=47201,F70=47100,F70=47200,F70=47500),H70,0)</f>
        <v/>
      </c>
      <c r="R70" s="262">
        <f>IF(OR(F70=87201,F70=87100,F70=87200,F70=87500),H70,0)</f>
        <v/>
      </c>
      <c r="S70" s="124" t="n"/>
      <c r="T70" s="124" t="n"/>
    </row>
    <row r="71" ht="15" customHeight="1" s="402">
      <c r="A71" s="80">
        <f>IFERROR(VLOOKUP(E71,Tabellen!A:F,4),0)</f>
        <v/>
      </c>
      <c r="B71" s="80" t="n"/>
      <c r="C71" s="80">
        <f>IFERROR(VLOOKUP(E71,Tabellen!A:F,5),0)</f>
        <v/>
      </c>
      <c r="D71" s="80">
        <f>IFERROR(VLOOKUP(E71,Tabellen!A:F,6),0)</f>
        <v/>
      </c>
      <c r="E71" s="257" t="n"/>
      <c r="F71" s="258">
        <f>IFERROR(VLOOKUP(E71,Tabellen!A:H,8),0)</f>
        <v/>
      </c>
      <c r="G71" s="80">
        <f>IFERROR(VLOOKUP(E71,Tabellen!A:F,2),0)</f>
        <v/>
      </c>
      <c r="H71" s="259" t="n"/>
      <c r="I71" s="259" t="n"/>
      <c r="J71" s="259" t="n"/>
      <c r="K71" s="259" t="n"/>
      <c r="L71" s="260">
        <f>IF(E71&gt;0,$H$4,0)</f>
        <v/>
      </c>
      <c r="M71" s="261">
        <f>IFERROR(VLOOKUP(F71,Tabellen!H:I,2),0)</f>
        <v/>
      </c>
      <c r="N71" s="258" t="n"/>
      <c r="O71" s="258" t="n"/>
      <c r="P71" s="78">
        <f>IF(E71&gt;0,COUNTIF($E$17:E71,"&gt;0"),0)</f>
        <v/>
      </c>
      <c r="Q71" s="262">
        <f>IF(OR(F71=47201,F71=47100,F71=47200,F71=47500),H71,0)</f>
        <v/>
      </c>
      <c r="R71" s="262">
        <f>IF(OR(F71=87201,F71=87100,F71=87200,F71=87500),H71,0)</f>
        <v/>
      </c>
      <c r="S71" s="124" t="n"/>
      <c r="T71" s="124" t="n"/>
    </row>
    <row r="72" ht="15" customHeight="1" s="402">
      <c r="A72" s="79">
        <f>IFERROR(VLOOKUP(E72,Tabellen!A:F,4),0)</f>
        <v/>
      </c>
      <c r="B72" s="79" t="n"/>
      <c r="C72" s="79">
        <f>IFERROR(VLOOKUP(E72,Tabellen!A:F,5),0)</f>
        <v/>
      </c>
      <c r="D72" s="79">
        <f>IFERROR(VLOOKUP(E72,Tabellen!A:F,6),0)</f>
        <v/>
      </c>
      <c r="E72" s="257" t="n"/>
      <c r="F72" s="258">
        <f>IFERROR(VLOOKUP(E72,Tabellen!A:H,8),0)</f>
        <v/>
      </c>
      <c r="G72" s="79">
        <f>IFERROR(VLOOKUP(E72,Tabellen!A:F,2),0)</f>
        <v/>
      </c>
      <c r="H72" s="259" t="n"/>
      <c r="I72" s="259" t="n"/>
      <c r="J72" s="259" t="n"/>
      <c r="K72" s="259" t="n"/>
      <c r="L72" s="260">
        <f>IF(E72&gt;0,$H$4,0)</f>
        <v/>
      </c>
      <c r="M72" s="263">
        <f>IFERROR(VLOOKUP(F72,Tabellen!H:I,2),0)</f>
        <v/>
      </c>
      <c r="N72" s="258" t="n"/>
      <c r="O72" s="258" t="n"/>
      <c r="P72" s="77">
        <f>IF(E72&gt;0,COUNTIF($E$17:E72,"&gt;0"),0)</f>
        <v/>
      </c>
      <c r="Q72" s="262">
        <f>IF(OR(F72=47201,F72=47100,F72=47200,F72=47500),H72,0)</f>
        <v/>
      </c>
      <c r="R72" s="262">
        <f>IF(OR(F72=87201,F72=87100,F72=87200,F72=87500),H72,0)</f>
        <v/>
      </c>
      <c r="S72" s="124" t="n"/>
      <c r="T72" s="124" t="n"/>
    </row>
    <row r="73" ht="15" customHeight="1" s="402">
      <c r="A73" s="80">
        <f>IFERROR(VLOOKUP(E73,Tabellen!A:F,4),0)</f>
        <v/>
      </c>
      <c r="B73" s="80" t="n"/>
      <c r="C73" s="80">
        <f>IFERROR(VLOOKUP(E73,Tabellen!A:F,5),0)</f>
        <v/>
      </c>
      <c r="D73" s="80">
        <f>IFERROR(VLOOKUP(E73,Tabellen!A:F,6),0)</f>
        <v/>
      </c>
      <c r="E73" s="257" t="n"/>
      <c r="F73" s="258">
        <f>IFERROR(VLOOKUP(E73,Tabellen!A:H,8),0)</f>
        <v/>
      </c>
      <c r="G73" s="80">
        <f>IFERROR(VLOOKUP(E73,Tabellen!A:F,2),0)</f>
        <v/>
      </c>
      <c r="H73" s="259" t="n"/>
      <c r="I73" s="259" t="n"/>
      <c r="J73" s="259" t="n"/>
      <c r="K73" s="259" t="n"/>
      <c r="L73" s="260">
        <f>IF(E73&gt;0,$H$4,0)</f>
        <v/>
      </c>
      <c r="M73" s="261">
        <f>IFERROR(VLOOKUP(F73,Tabellen!H:I,2),0)</f>
        <v/>
      </c>
      <c r="N73" s="258" t="n"/>
      <c r="O73" s="258" t="n"/>
      <c r="P73" s="78">
        <f>IF(E73&gt;0,COUNTIF($E$17:E73,"&gt;0"),0)</f>
        <v/>
      </c>
      <c r="Q73" s="262">
        <f>IF(OR(F73=47201,F73=47100,F73=47200,F73=47500),H73,0)</f>
        <v/>
      </c>
      <c r="R73" s="262">
        <f>IF(OR(F73=87201,F73=87100,F73=87200,F73=87500),H73,0)</f>
        <v/>
      </c>
      <c r="S73" s="124" t="n"/>
      <c r="T73" s="124" t="n"/>
    </row>
    <row r="74" ht="15" customHeight="1" s="402">
      <c r="A74" s="79">
        <f>IFERROR(VLOOKUP(E74,Tabellen!A:F,4),0)</f>
        <v/>
      </c>
      <c r="B74" s="79" t="n"/>
      <c r="C74" s="79">
        <f>IFERROR(VLOOKUP(E74,Tabellen!A:F,5),0)</f>
        <v/>
      </c>
      <c r="D74" s="79">
        <f>IFERROR(VLOOKUP(E74,Tabellen!A:F,6),0)</f>
        <v/>
      </c>
      <c r="E74" s="257" t="n"/>
      <c r="F74" s="258">
        <f>IFERROR(VLOOKUP(E74,Tabellen!A:H,8),0)</f>
        <v/>
      </c>
      <c r="G74" s="79">
        <f>IFERROR(VLOOKUP(E74,Tabellen!A:F,2),0)</f>
        <v/>
      </c>
      <c r="H74" s="264" t="n"/>
      <c r="I74" s="264" t="n"/>
      <c r="J74" s="264" t="n"/>
      <c r="K74" s="264" t="n"/>
      <c r="L74" s="260">
        <f>IF(E74&gt;0,$H$4,0)</f>
        <v/>
      </c>
      <c r="M74" s="263">
        <f>IFERROR(VLOOKUP(F74,Tabellen!H:I,2),0)</f>
        <v/>
      </c>
      <c r="N74" s="258" t="n"/>
      <c r="O74" s="258" t="n"/>
      <c r="P74" s="77">
        <f>IF(E74&gt;0,COUNTIF($E$17:E74,"&gt;0"),0)</f>
        <v/>
      </c>
      <c r="Q74" s="262">
        <f>IF(OR(F74=47201,F74=47100,F74=47200,F74=47500),H74,0)</f>
        <v/>
      </c>
      <c r="R74" s="262">
        <f>IF(OR(F74=87201,F74=87100,F74=87200,F74=87500),H74,0)</f>
        <v/>
      </c>
      <c r="S74" s="124" t="n"/>
      <c r="T74" s="124" t="n"/>
    </row>
    <row r="75" ht="16.15" customFormat="1" customHeight="1" s="22">
      <c r="A75" s="265" t="inlineStr">
        <is>
          <t>Saldo inkomsten en uitgaven</t>
        </is>
      </c>
      <c r="B75" s="265" t="n"/>
      <c r="C75" s="265" t="n"/>
      <c r="D75" s="265" t="n"/>
      <c r="E75" s="265" t="n"/>
      <c r="F75" s="266" t="n"/>
      <c r="G75" s="267" t="n"/>
      <c r="H75" s="268">
        <f>SUM(H17:H74)</f>
        <v/>
      </c>
      <c r="I75" s="268">
        <f>SUM(I17:I74)</f>
        <v/>
      </c>
      <c r="J75" s="268">
        <f>SUM(J17:J74)</f>
        <v/>
      </c>
      <c r="K75" s="268">
        <f>SUM(K17:K74)</f>
        <v/>
      </c>
      <c r="L75" s="269" t="n"/>
      <c r="M75" s="270" t="n"/>
      <c r="N75" s="271" t="n"/>
      <c r="O75" s="271" t="n"/>
      <c r="P75" s="81">
        <f>IF(E75&gt;0,COUNTIF($E$17:E75,"&gt;0"),0)</f>
        <v/>
      </c>
      <c r="Q75" s="82">
        <f>IF(OR(F75=47201,F75=47100,F75=47200,F75=47500),H75,0)</f>
        <v/>
      </c>
      <c r="R75" s="82">
        <f>IF(OR(F75=87201,F75=87100,F75=87200,F75=87500),H75,0)</f>
        <v/>
      </c>
      <c r="S75" s="82" t="n"/>
      <c r="T75" s="82" t="n"/>
    </row>
    <row r="76" ht="6" customHeight="1" s="402">
      <c r="A76" s="272" t="n"/>
      <c r="B76" s="9" t="n"/>
      <c r="C76" s="9" t="n"/>
      <c r="D76" s="272" t="n"/>
      <c r="E76" s="9" t="n"/>
      <c r="F76" s="273" t="n"/>
      <c r="G76" s="274" t="n"/>
      <c r="H76" s="11" t="n"/>
      <c r="I76" s="11" t="n"/>
      <c r="J76" s="11" t="n"/>
      <c r="K76" s="11" t="n"/>
      <c r="L76" s="275" t="n"/>
      <c r="M76" s="276" t="n"/>
      <c r="N76" s="277" t="n"/>
      <c r="O76" s="278" t="n"/>
      <c r="P76" s="83" t="n"/>
      <c r="Q76" s="262" t="n"/>
      <c r="R76" s="262" t="n"/>
      <c r="S76" s="124" t="n"/>
      <c r="T76" s="124" t="n"/>
    </row>
    <row r="77" ht="18" customHeight="1" s="402">
      <c r="A77" s="279" t="n"/>
      <c r="B77" s="279" t="n"/>
      <c r="C77" s="279" t="n"/>
      <c r="D77" s="279" t="n"/>
      <c r="E77" s="279" t="n"/>
      <c r="F77" s="279" t="n"/>
      <c r="G77" s="279" t="n"/>
      <c r="H77" s="279" t="n"/>
      <c r="I77" s="279" t="n"/>
      <c r="J77" s="279" t="n"/>
      <c r="K77" s="279" t="n"/>
      <c r="L77" s="280" t="n"/>
      <c r="M77" s="281" t="n"/>
      <c r="N77" s="279" t="n"/>
      <c r="O77" s="279" t="n"/>
      <c r="P77" s="282" t="n"/>
      <c r="Q77" s="282" t="n"/>
      <c r="R77" s="282" t="n"/>
      <c r="S77" s="283" t="n"/>
      <c r="T77" s="283" t="n"/>
    </row>
    <row r="78" ht="15" customHeight="1" s="402">
      <c r="A78" s="79" t="n"/>
      <c r="B78" s="284" t="n"/>
      <c r="C78" s="79" t="n"/>
      <c r="D78" s="79" t="n"/>
      <c r="E78" s="257" t="n"/>
      <c r="F78" s="258" t="n"/>
      <c r="G78" s="128" t="n"/>
      <c r="H78" s="259" t="n"/>
      <c r="I78" s="259" t="n"/>
      <c r="J78" s="259" t="n"/>
      <c r="K78" s="259" t="n"/>
      <c r="L78" s="285" t="n"/>
      <c r="M78" s="263" t="n"/>
      <c r="N78" s="258" t="n"/>
      <c r="O78" s="258" t="n"/>
      <c r="P78" s="77" t="n"/>
      <c r="Q78" s="262" t="n"/>
      <c r="R78" s="262" t="n"/>
      <c r="S78" s="124" t="n"/>
      <c r="T78" s="124" t="n"/>
    </row>
    <row r="79" ht="15" customHeight="1" s="402">
      <c r="A79" s="80" t="n"/>
      <c r="B79" s="286" t="n"/>
      <c r="C79" s="80" t="n"/>
      <c r="D79" s="80" t="n"/>
      <c r="E79" s="257" t="n"/>
      <c r="F79" s="258" t="n"/>
      <c r="G79" s="130" t="n"/>
      <c r="H79" s="259" t="n"/>
      <c r="I79" s="259" t="n"/>
      <c r="J79" s="259" t="n"/>
      <c r="K79" s="259" t="n"/>
      <c r="L79" s="285" t="n"/>
      <c r="M79" s="261" t="n"/>
      <c r="N79" s="258" t="n"/>
      <c r="O79" s="258" t="n"/>
      <c r="P79" s="78" t="n"/>
      <c r="Q79" s="262" t="n"/>
      <c r="R79" s="262" t="n"/>
      <c r="S79" s="124" t="n"/>
      <c r="T79" s="124" t="n"/>
    </row>
    <row r="80" ht="15" customHeight="1" s="402">
      <c r="A80" s="79" t="n"/>
      <c r="B80" s="284" t="n"/>
      <c r="C80" s="79" t="n"/>
      <c r="D80" s="79" t="n"/>
      <c r="E80" s="257" t="n"/>
      <c r="F80" s="258" t="n"/>
      <c r="G80" s="128" t="n"/>
      <c r="H80" s="259" t="n"/>
      <c r="I80" s="259" t="n"/>
      <c r="J80" s="259" t="n"/>
      <c r="K80" s="259" t="n"/>
      <c r="L80" s="285" t="n"/>
      <c r="M80" s="263" t="n"/>
      <c r="N80" s="258" t="n"/>
      <c r="O80" s="258" t="n"/>
      <c r="P80" s="77" t="n"/>
      <c r="Q80" s="262" t="n"/>
      <c r="R80" s="262" t="n"/>
      <c r="S80" s="124" t="n"/>
      <c r="T80" s="124" t="n"/>
    </row>
    <row r="81" ht="15" customHeight="1" s="402">
      <c r="A81" s="80" t="n"/>
      <c r="B81" s="286" t="n"/>
      <c r="C81" s="80" t="n"/>
      <c r="D81" s="80" t="n"/>
      <c r="E81" s="257" t="n"/>
      <c r="F81" s="258" t="n"/>
      <c r="G81" s="130" t="n"/>
      <c r="H81" s="259" t="n"/>
      <c r="I81" s="259" t="n"/>
      <c r="J81" s="259" t="n"/>
      <c r="K81" s="259" t="n"/>
      <c r="L81" s="285" t="n"/>
      <c r="M81" s="261" t="n"/>
      <c r="N81" s="258" t="n"/>
      <c r="O81" s="258" t="n"/>
      <c r="P81" s="78" t="n"/>
      <c r="Q81" s="262" t="n"/>
      <c r="R81" s="262" t="n"/>
    </row>
    <row r="82" ht="15" customHeight="1" s="402">
      <c r="A82" s="79" t="n"/>
      <c r="B82" s="284" t="n"/>
      <c r="C82" s="79" t="n"/>
      <c r="D82" s="79" t="n"/>
      <c r="E82" s="257" t="n"/>
      <c r="F82" s="258" t="n"/>
      <c r="G82" s="128" t="n"/>
      <c r="H82" s="259" t="n"/>
      <c r="I82" s="259" t="n"/>
      <c r="J82" s="259" t="n"/>
      <c r="K82" s="259" t="n"/>
      <c r="L82" s="285" t="n"/>
      <c r="M82" s="263" t="n"/>
      <c r="N82" s="258" t="n"/>
      <c r="O82" s="258" t="n"/>
      <c r="P82" s="77" t="n"/>
      <c r="Q82" s="262" t="n"/>
      <c r="R82" s="262" t="n"/>
    </row>
    <row r="83" ht="15" customHeight="1" s="402">
      <c r="A83" s="80" t="n"/>
      <c r="B83" s="80" t="n"/>
      <c r="C83" s="80" t="n"/>
      <c r="D83" s="80" t="n"/>
      <c r="E83" s="257" t="n"/>
      <c r="F83" s="258" t="n"/>
      <c r="G83" s="130" t="n"/>
      <c r="H83" s="259" t="n"/>
      <c r="I83" s="259" t="n"/>
      <c r="J83" s="259" t="n"/>
      <c r="K83" s="259" t="n"/>
      <c r="L83" s="285" t="n"/>
      <c r="M83" s="261" t="n"/>
      <c r="N83" s="258" t="n"/>
      <c r="O83" s="258" t="n"/>
      <c r="P83" s="78" t="n"/>
      <c r="Q83" s="262" t="n"/>
      <c r="R83" s="262" t="n"/>
    </row>
    <row r="84" ht="15" customHeight="1" s="402">
      <c r="A84" s="79" t="n"/>
      <c r="B84" s="284" t="n"/>
      <c r="C84" s="79" t="n"/>
      <c r="D84" s="79" t="n"/>
      <c r="E84" s="257" t="n"/>
      <c r="F84" s="258" t="n"/>
      <c r="G84" s="128" t="n"/>
      <c r="H84" s="259" t="n"/>
      <c r="I84" s="259" t="n"/>
      <c r="J84" s="259" t="n"/>
      <c r="K84" s="259" t="n"/>
      <c r="L84" s="285" t="n"/>
      <c r="M84" s="263" t="n"/>
      <c r="N84" s="258" t="n"/>
      <c r="O84" s="258" t="n"/>
      <c r="P84" s="77" t="n"/>
      <c r="Q84" s="262" t="n"/>
      <c r="R84" s="262" t="n"/>
    </row>
    <row r="85" ht="15" customHeight="1" s="402">
      <c r="A85" s="80" t="n"/>
      <c r="B85" s="80" t="n"/>
      <c r="C85" s="80" t="n"/>
      <c r="D85" s="80" t="n"/>
      <c r="E85" s="257" t="n"/>
      <c r="F85" s="258" t="n"/>
      <c r="G85" s="130" t="n"/>
      <c r="H85" s="259" t="n"/>
      <c r="I85" s="259" t="n"/>
      <c r="J85" s="259" t="n"/>
      <c r="K85" s="259" t="n"/>
      <c r="L85" s="285" t="n"/>
      <c r="M85" s="261" t="n"/>
      <c r="N85" s="258" t="n"/>
      <c r="O85" s="258" t="n"/>
      <c r="P85" s="78" t="n"/>
      <c r="Q85" s="262" t="n"/>
      <c r="R85" s="262" t="n"/>
    </row>
    <row r="86" ht="15" customHeight="1" s="402">
      <c r="A86" s="79" t="n"/>
      <c r="B86" s="79" t="n"/>
      <c r="C86" s="79" t="n"/>
      <c r="D86" s="79" t="n"/>
      <c r="E86" s="257" t="n"/>
      <c r="F86" s="258" t="n"/>
      <c r="G86" s="128" t="n"/>
      <c r="H86" s="259" t="n"/>
      <c r="I86" s="259" t="n"/>
      <c r="J86" s="259" t="n"/>
      <c r="K86" s="259" t="n"/>
      <c r="L86" s="285" t="n"/>
      <c r="M86" s="263" t="n"/>
      <c r="N86" s="258" t="n"/>
      <c r="O86" s="258" t="n"/>
      <c r="P86" s="77" t="n"/>
      <c r="Q86" s="262" t="n"/>
      <c r="R86" s="262" t="n"/>
    </row>
    <row r="87" ht="15" customHeight="1" s="402">
      <c r="A87" s="80" t="n"/>
      <c r="B87" s="80" t="n"/>
      <c r="C87" s="80" t="n"/>
      <c r="D87" s="80" t="n"/>
      <c r="E87" s="257" t="n"/>
      <c r="F87" s="258" t="n"/>
      <c r="G87" s="130" t="n"/>
      <c r="H87" s="259" t="n"/>
      <c r="I87" s="259" t="n"/>
      <c r="J87" s="259" t="n"/>
      <c r="K87" s="259" t="n"/>
      <c r="L87" s="285" t="n"/>
      <c r="M87" s="261" t="n"/>
      <c r="N87" s="258" t="n"/>
      <c r="O87" s="258" t="n"/>
      <c r="P87" s="78" t="n"/>
      <c r="Q87" s="262" t="n"/>
      <c r="R87" s="262" t="n"/>
    </row>
    <row r="88" ht="15" customHeight="1" s="402">
      <c r="A88" s="79" t="n"/>
      <c r="B88" s="79" t="n"/>
      <c r="C88" s="79" t="n"/>
      <c r="D88" s="79" t="n"/>
      <c r="E88" s="257" t="n"/>
      <c r="F88" s="258" t="n"/>
      <c r="G88" s="128" t="n"/>
      <c r="H88" s="259" t="n"/>
      <c r="I88" s="259" t="n"/>
      <c r="J88" s="259" t="n"/>
      <c r="K88" s="259" t="n"/>
      <c r="L88" s="285" t="n"/>
      <c r="M88" s="263" t="n"/>
      <c r="N88" s="258" t="n"/>
      <c r="O88" s="258" t="n"/>
      <c r="P88" s="77" t="n"/>
      <c r="Q88" s="262" t="n"/>
      <c r="R88" s="262" t="n"/>
    </row>
    <row r="89" ht="15" customHeight="1" s="402">
      <c r="A89" s="80" t="n"/>
      <c r="B89" s="80" t="n"/>
      <c r="C89" s="80" t="n"/>
      <c r="D89" s="80" t="n"/>
      <c r="E89" s="257" t="n"/>
      <c r="F89" s="258" t="n"/>
      <c r="G89" s="130" t="n"/>
      <c r="H89" s="259" t="n"/>
      <c r="I89" s="259" t="n"/>
      <c r="J89" s="259" t="n"/>
      <c r="K89" s="259" t="n"/>
      <c r="L89" s="285" t="n"/>
      <c r="M89" s="261" t="n"/>
      <c r="N89" s="258" t="n"/>
      <c r="O89" s="258" t="n"/>
      <c r="P89" s="78" t="n"/>
      <c r="Q89" s="262" t="n"/>
      <c r="R89" s="262" t="n"/>
    </row>
    <row r="90" ht="15" customHeight="1" s="402">
      <c r="A90" s="79" t="n"/>
      <c r="B90" s="79" t="n"/>
      <c r="C90" s="79" t="n"/>
      <c r="D90" s="79" t="n"/>
      <c r="E90" s="257" t="n"/>
      <c r="F90" s="258" t="n"/>
      <c r="G90" s="128" t="n"/>
      <c r="H90" s="259" t="n"/>
      <c r="I90" s="259" t="n"/>
      <c r="J90" s="259" t="n"/>
      <c r="K90" s="259" t="n"/>
      <c r="L90" s="285" t="n"/>
      <c r="M90" s="263" t="n"/>
      <c r="N90" s="258" t="n"/>
      <c r="O90" s="258" t="n"/>
      <c r="P90" s="77" t="n"/>
      <c r="Q90" s="262" t="n"/>
      <c r="R90" s="262" t="n"/>
    </row>
    <row r="91" ht="15" customHeight="1" s="402">
      <c r="A91" s="80" t="n"/>
      <c r="B91" s="80" t="n"/>
      <c r="C91" s="80" t="n"/>
      <c r="D91" s="80" t="n"/>
      <c r="E91" s="257" t="n"/>
      <c r="F91" s="258" t="n"/>
      <c r="G91" s="130" t="n"/>
      <c r="H91" s="259" t="n"/>
      <c r="I91" s="259" t="n"/>
      <c r="J91" s="259" t="n"/>
      <c r="K91" s="259" t="n"/>
      <c r="L91" s="285" t="n"/>
      <c r="M91" s="261" t="n"/>
      <c r="N91" s="258" t="n"/>
      <c r="O91" s="258" t="n"/>
      <c r="P91" s="78" t="n"/>
      <c r="Q91" s="262" t="n"/>
      <c r="R91" s="262" t="n"/>
    </row>
    <row r="92" ht="15" customHeight="1" s="402">
      <c r="A92" s="79" t="n"/>
      <c r="B92" s="79" t="n"/>
      <c r="C92" s="79" t="n"/>
      <c r="D92" s="79" t="n"/>
      <c r="E92" s="257" t="n"/>
      <c r="F92" s="258" t="n"/>
      <c r="G92" s="128" t="n"/>
      <c r="H92" s="259" t="n"/>
      <c r="I92" s="259" t="n"/>
      <c r="J92" s="259" t="n"/>
      <c r="K92" s="259" t="n"/>
      <c r="L92" s="285" t="n"/>
      <c r="M92" s="263" t="n"/>
      <c r="N92" s="258" t="n"/>
      <c r="O92" s="258" t="n"/>
      <c r="P92" s="77" t="n"/>
      <c r="Q92" s="262" t="n"/>
      <c r="R92" s="262" t="n"/>
    </row>
    <row r="93" ht="15" customHeight="1" s="402">
      <c r="A93" s="80" t="n"/>
      <c r="B93" s="80" t="n"/>
      <c r="C93" s="80" t="n"/>
      <c r="D93" s="80" t="n"/>
      <c r="E93" s="257" t="n"/>
      <c r="F93" s="258" t="n"/>
      <c r="G93" s="130" t="n"/>
      <c r="H93" s="259" t="n"/>
      <c r="I93" s="259" t="n"/>
      <c r="J93" s="259" t="n"/>
      <c r="K93" s="259" t="n"/>
      <c r="L93" s="285" t="n"/>
      <c r="M93" s="261" t="n"/>
      <c r="N93" s="258" t="n"/>
      <c r="O93" s="258" t="n"/>
      <c r="P93" s="78" t="n"/>
      <c r="Q93" s="262" t="n"/>
      <c r="R93" s="262" t="n"/>
    </row>
    <row r="94" ht="15" customHeight="1" s="402">
      <c r="A94" s="79" t="n"/>
      <c r="B94" s="79" t="n"/>
      <c r="C94" s="79" t="n"/>
      <c r="D94" s="79" t="n"/>
      <c r="E94" s="257" t="n"/>
      <c r="F94" s="258" t="n"/>
      <c r="G94" s="128" t="n"/>
      <c r="H94" s="259" t="n"/>
      <c r="I94" s="259" t="n"/>
      <c r="J94" s="259" t="n"/>
      <c r="K94" s="259" t="n"/>
      <c r="L94" s="285" t="n"/>
      <c r="M94" s="263" t="n"/>
      <c r="N94" s="258" t="n"/>
      <c r="O94" s="258" t="n"/>
      <c r="P94" s="77" t="n"/>
      <c r="Q94" s="262" t="n"/>
      <c r="R94" s="262" t="n"/>
    </row>
    <row r="95" ht="15" customHeight="1" s="402">
      <c r="A95" s="80" t="n"/>
      <c r="B95" s="80" t="n"/>
      <c r="C95" s="80" t="n"/>
      <c r="D95" s="80" t="n"/>
      <c r="E95" s="257" t="n"/>
      <c r="F95" s="258" t="n"/>
      <c r="G95" s="130" t="n"/>
      <c r="H95" s="259" t="n"/>
      <c r="I95" s="259" t="n"/>
      <c r="J95" s="259" t="n"/>
      <c r="K95" s="259" t="n"/>
      <c r="L95" s="285" t="n"/>
      <c r="M95" s="261" t="n"/>
      <c r="N95" s="258" t="n"/>
      <c r="O95" s="258" t="n"/>
      <c r="P95" s="78" t="n"/>
      <c r="Q95" s="262" t="n"/>
      <c r="R95" s="262" t="n"/>
    </row>
    <row r="96" ht="15" customHeight="1" s="402">
      <c r="A96" s="79" t="n"/>
      <c r="B96" s="79" t="n"/>
      <c r="C96" s="79" t="n"/>
      <c r="D96" s="79" t="n"/>
      <c r="E96" s="257" t="n"/>
      <c r="F96" s="258" t="n"/>
      <c r="G96" s="128" t="n"/>
      <c r="H96" s="259" t="n"/>
      <c r="I96" s="259" t="n"/>
      <c r="J96" s="259" t="n"/>
      <c r="K96" s="259" t="n"/>
      <c r="L96" s="285" t="n"/>
      <c r="M96" s="263" t="n"/>
      <c r="N96" s="258" t="n"/>
      <c r="O96" s="258" t="n"/>
      <c r="P96" s="77" t="n"/>
      <c r="Q96" s="262" t="n"/>
      <c r="R96" s="262" t="n"/>
    </row>
    <row r="97" ht="15" customHeight="1" s="402">
      <c r="A97" s="80" t="n"/>
      <c r="B97" s="80" t="n"/>
      <c r="C97" s="80" t="n"/>
      <c r="D97" s="80" t="n"/>
      <c r="E97" s="257" t="n"/>
      <c r="F97" s="258" t="n"/>
      <c r="G97" s="130" t="n"/>
      <c r="H97" s="259" t="n"/>
      <c r="I97" s="259" t="n"/>
      <c r="J97" s="259" t="n"/>
      <c r="K97" s="259" t="n"/>
      <c r="L97" s="285" t="n"/>
      <c r="M97" s="261" t="n"/>
      <c r="N97" s="258" t="n"/>
      <c r="O97" s="258" t="n"/>
      <c r="P97" s="78" t="n"/>
      <c r="Q97" s="262" t="n"/>
      <c r="R97" s="262" t="n"/>
    </row>
    <row r="98" ht="15" customHeight="1" s="402">
      <c r="A98" s="79" t="n"/>
      <c r="B98" s="79" t="n"/>
      <c r="C98" s="79" t="n"/>
      <c r="D98" s="79" t="n"/>
      <c r="E98" s="257" t="n"/>
      <c r="F98" s="258" t="n"/>
      <c r="G98" s="128" t="n"/>
      <c r="H98" s="259" t="n"/>
      <c r="I98" s="259" t="n"/>
      <c r="J98" s="259" t="n"/>
      <c r="K98" s="259" t="n"/>
      <c r="L98" s="285" t="n"/>
      <c r="M98" s="263" t="n"/>
      <c r="N98" s="258" t="n"/>
      <c r="O98" s="258" t="n"/>
      <c r="P98" s="77" t="n"/>
      <c r="Q98" s="262" t="n"/>
      <c r="R98" s="262" t="n"/>
    </row>
    <row r="99" ht="15" customHeight="1" s="402">
      <c r="A99" s="80" t="n"/>
      <c r="B99" s="80" t="n"/>
      <c r="C99" s="80" t="n"/>
      <c r="D99" s="80" t="n"/>
      <c r="E99" s="257" t="n"/>
      <c r="F99" s="258" t="n"/>
      <c r="G99" s="130" t="n"/>
      <c r="H99" s="259" t="n"/>
      <c r="I99" s="259" t="n"/>
      <c r="J99" s="259" t="n"/>
      <c r="K99" s="259" t="n"/>
      <c r="L99" s="285" t="n"/>
      <c r="M99" s="261" t="n"/>
      <c r="N99" s="258" t="n"/>
      <c r="O99" s="258" t="n"/>
      <c r="P99" s="78" t="n"/>
      <c r="Q99" s="262" t="n"/>
      <c r="R99" s="262" t="n"/>
    </row>
    <row r="100" ht="15" customHeight="1" s="402">
      <c r="A100" s="79" t="n"/>
      <c r="B100" s="79" t="n"/>
      <c r="C100" s="79" t="n"/>
      <c r="D100" s="79" t="n"/>
      <c r="E100" s="257" t="n"/>
      <c r="F100" s="258" t="n"/>
      <c r="G100" s="128" t="n"/>
      <c r="H100" s="259" t="n"/>
      <c r="I100" s="259" t="n"/>
      <c r="J100" s="259" t="n"/>
      <c r="K100" s="259" t="n"/>
      <c r="L100" s="285" t="n"/>
      <c r="M100" s="263" t="n"/>
      <c r="N100" s="258" t="n"/>
      <c r="O100" s="258" t="n"/>
      <c r="P100" s="77" t="n"/>
      <c r="Q100" s="262" t="n"/>
      <c r="R100" s="262" t="n"/>
    </row>
    <row r="101" ht="15" customHeight="1" s="402">
      <c r="A101" s="80" t="n"/>
      <c r="B101" s="80" t="n"/>
      <c r="C101" s="80" t="n"/>
      <c r="D101" s="80" t="n"/>
      <c r="E101" s="257" t="n"/>
      <c r="F101" s="258" t="n"/>
      <c r="G101" s="130" t="n"/>
      <c r="H101" s="259" t="n"/>
      <c r="I101" s="259" t="n"/>
      <c r="J101" s="259" t="n"/>
      <c r="K101" s="259" t="n"/>
      <c r="L101" s="285" t="n"/>
      <c r="M101" s="261" t="n"/>
      <c r="N101" s="258" t="n"/>
      <c r="O101" s="258" t="n"/>
      <c r="P101" s="78" t="n"/>
      <c r="Q101" s="262" t="n"/>
      <c r="R101" s="262" t="n"/>
    </row>
    <row r="102" ht="15" customHeight="1" s="402">
      <c r="A102" s="79" t="n"/>
      <c r="B102" s="79" t="n"/>
      <c r="C102" s="79" t="n"/>
      <c r="D102" s="79" t="n"/>
      <c r="E102" s="257" t="n"/>
      <c r="F102" s="258" t="n"/>
      <c r="G102" s="128" t="n"/>
      <c r="H102" s="259" t="n"/>
      <c r="I102" s="259" t="n"/>
      <c r="J102" s="259" t="n"/>
      <c r="K102" s="259" t="n"/>
      <c r="L102" s="285" t="n"/>
      <c r="M102" s="263" t="n"/>
      <c r="N102" s="258" t="n"/>
      <c r="O102" s="258" t="n"/>
      <c r="P102" s="77" t="n"/>
      <c r="Q102" s="262" t="n"/>
      <c r="R102" s="262" t="n"/>
    </row>
    <row r="103" ht="15" customHeight="1" s="402">
      <c r="A103" s="80" t="n"/>
      <c r="B103" s="80" t="n"/>
      <c r="C103" s="80" t="n"/>
      <c r="D103" s="80" t="n"/>
      <c r="E103" s="257" t="n"/>
      <c r="F103" s="258" t="n"/>
      <c r="G103" s="130" t="n"/>
      <c r="H103" s="259" t="n"/>
      <c r="I103" s="259" t="n"/>
      <c r="J103" s="259" t="n"/>
      <c r="K103" s="259" t="n"/>
      <c r="L103" s="285" t="n"/>
      <c r="M103" s="261" t="n"/>
      <c r="N103" s="258" t="n"/>
      <c r="O103" s="258" t="n"/>
      <c r="P103" s="78" t="n"/>
      <c r="Q103" s="262" t="n"/>
      <c r="R103" s="262" t="n"/>
    </row>
    <row r="104" ht="15" customHeight="1" s="402">
      <c r="A104" s="79" t="n"/>
      <c r="B104" s="79" t="n"/>
      <c r="C104" s="79" t="n"/>
      <c r="D104" s="79" t="n"/>
      <c r="E104" s="257" t="n"/>
      <c r="F104" s="258" t="n"/>
      <c r="G104" s="128" t="n"/>
      <c r="H104" s="259" t="n"/>
      <c r="I104" s="259" t="n"/>
      <c r="J104" s="259" t="n"/>
      <c r="K104" s="259" t="n"/>
      <c r="L104" s="285" t="n"/>
      <c r="M104" s="263" t="n"/>
      <c r="N104" s="258" t="n"/>
      <c r="O104" s="258" t="n"/>
      <c r="P104" s="77" t="n"/>
      <c r="Q104" s="262" t="n"/>
      <c r="R104" s="262" t="n"/>
    </row>
    <row r="105" ht="15" customHeight="1" s="402">
      <c r="A105" s="80" t="n"/>
      <c r="B105" s="80" t="n"/>
      <c r="C105" s="80" t="n"/>
      <c r="D105" s="80" t="n"/>
      <c r="E105" s="257" t="n"/>
      <c r="F105" s="258" t="n"/>
      <c r="G105" s="130" t="n"/>
      <c r="H105" s="259" t="n"/>
      <c r="I105" s="259" t="n"/>
      <c r="J105" s="259" t="n"/>
      <c r="K105" s="259" t="n"/>
      <c r="L105" s="285" t="n"/>
      <c r="M105" s="261" t="n"/>
      <c r="N105" s="258" t="n"/>
      <c r="O105" s="258" t="n"/>
      <c r="P105" s="78" t="n"/>
      <c r="Q105" s="262" t="n"/>
      <c r="R105" s="262" t="n"/>
    </row>
    <row r="106" ht="15" customHeight="1" s="402">
      <c r="A106" s="79" t="n"/>
      <c r="B106" s="79" t="n"/>
      <c r="C106" s="79" t="n"/>
      <c r="D106" s="79" t="n"/>
      <c r="E106" s="257" t="n"/>
      <c r="F106" s="258" t="n"/>
      <c r="G106" s="128" t="n"/>
      <c r="H106" s="259" t="n"/>
      <c r="I106" s="259" t="n"/>
      <c r="J106" s="259" t="n"/>
      <c r="K106" s="259" t="n"/>
      <c r="L106" s="285" t="n"/>
      <c r="M106" s="263" t="n"/>
      <c r="N106" s="258" t="n"/>
      <c r="O106" s="258" t="n"/>
      <c r="P106" s="77" t="n"/>
      <c r="Q106" s="262" t="n"/>
      <c r="R106" s="262" t="n"/>
    </row>
    <row r="107" ht="15" customHeight="1" s="402">
      <c r="A107" s="80" t="n"/>
      <c r="B107" s="80" t="n"/>
      <c r="C107" s="80" t="n"/>
      <c r="D107" s="80" t="n"/>
      <c r="E107" s="257" t="n"/>
      <c r="F107" s="258" t="n"/>
      <c r="G107" s="130" t="n"/>
      <c r="H107" s="259" t="n"/>
      <c r="I107" s="259" t="n"/>
      <c r="J107" s="259" t="n"/>
      <c r="K107" s="259" t="n"/>
      <c r="L107" s="285" t="n"/>
      <c r="M107" s="261" t="n"/>
      <c r="N107" s="258" t="n"/>
      <c r="O107" s="258" t="n"/>
      <c r="P107" s="78" t="n"/>
      <c r="Q107" s="262" t="n"/>
      <c r="R107" s="262" t="n"/>
    </row>
    <row r="108" ht="15" customHeight="1" s="402">
      <c r="A108" s="79" t="n"/>
      <c r="B108" s="79" t="n"/>
      <c r="C108" s="79" t="n"/>
      <c r="D108" s="79" t="n"/>
      <c r="E108" s="257" t="n"/>
      <c r="F108" s="258" t="n"/>
      <c r="G108" s="128" t="n"/>
      <c r="H108" s="259" t="n"/>
      <c r="I108" s="259" t="n"/>
      <c r="J108" s="259" t="n"/>
      <c r="K108" s="259" t="n"/>
      <c r="L108" s="285" t="n"/>
      <c r="M108" s="263" t="n"/>
      <c r="N108" s="258" t="n"/>
      <c r="O108" s="258" t="n"/>
      <c r="P108" s="77" t="n"/>
      <c r="Q108" s="262" t="n"/>
      <c r="R108" s="262" t="n"/>
    </row>
    <row r="109" ht="15" customHeight="1" s="402">
      <c r="A109" s="80" t="n"/>
      <c r="B109" s="80" t="n"/>
      <c r="C109" s="80" t="n"/>
      <c r="D109" s="80" t="n"/>
      <c r="E109" s="257" t="n"/>
      <c r="F109" s="258" t="n"/>
      <c r="G109" s="130" t="n"/>
      <c r="H109" s="264" t="n"/>
      <c r="I109" s="264" t="n"/>
      <c r="J109" s="264" t="n"/>
      <c r="K109" s="264" t="n"/>
      <c r="L109" s="260" t="n"/>
      <c r="M109" s="261" t="n"/>
      <c r="N109" s="258" t="n"/>
      <c r="O109" s="258" t="n"/>
      <c r="P109" s="78" t="n"/>
      <c r="Q109" s="262" t="n"/>
      <c r="R109" s="262" t="n"/>
    </row>
    <row r="110" ht="16.15" customFormat="1" customHeight="1" s="22">
      <c r="A110" s="265" t="n"/>
      <c r="B110" s="265" t="n"/>
      <c r="C110" s="265" t="n"/>
      <c r="D110" s="265" t="n"/>
      <c r="E110" s="265" t="n"/>
      <c r="F110" s="266" t="n"/>
      <c r="G110" s="267" t="n"/>
      <c r="H110" s="268" t="n"/>
      <c r="I110" s="268" t="n"/>
      <c r="J110" s="268" t="n"/>
      <c r="K110" s="268" t="n"/>
      <c r="L110" s="269" t="n"/>
      <c r="M110" s="270" t="n"/>
      <c r="N110" s="271" t="n"/>
      <c r="O110" s="271" t="n"/>
      <c r="P110" s="81" t="n"/>
      <c r="Q110" s="262" t="n"/>
      <c r="R110" s="262" t="n"/>
    </row>
    <row r="111" ht="15" customHeight="1" s="402">
      <c r="A111" s="272" t="n"/>
      <c r="B111" s="9" t="n"/>
      <c r="C111" s="9" t="n"/>
      <c r="D111" s="272" t="n"/>
      <c r="E111" s="9" t="n"/>
      <c r="F111" s="273" t="n"/>
      <c r="G111" s="274" t="n"/>
      <c r="H111" s="11" t="n"/>
      <c r="I111" s="11" t="n"/>
      <c r="J111" s="11" t="n"/>
      <c r="K111" s="11" t="n"/>
      <c r="L111" s="275" t="n"/>
      <c r="M111" s="276" t="n"/>
      <c r="N111" s="277" t="n"/>
      <c r="O111" s="278" t="n"/>
      <c r="P111" s="83" t="n"/>
      <c r="Q111" s="262" t="n"/>
      <c r="R111" s="262" t="n"/>
    </row>
    <row r="112" ht="18" customFormat="1" customHeight="1" s="292">
      <c r="A112" s="287" t="inlineStr">
        <is>
          <t>Controle mutatie inkomsten en uitgaven (exploitatiemutaties -/- dekking = leeg)</t>
        </is>
      </c>
      <c r="B112" s="287" t="n"/>
      <c r="C112" s="287" t="n"/>
      <c r="D112" s="287" t="n"/>
      <c r="E112" s="287" t="n"/>
      <c r="F112" s="287" t="n"/>
      <c r="G112" s="287" t="n"/>
      <c r="H112" s="288">
        <f>IF(H75=0,"✓  Saldo = 0",TEXT(H75,"#.##0"))</f>
        <v/>
      </c>
      <c r="I112" s="288">
        <f>IF(I75=0,"✓  Saldo = 0",TEXT(I75,"#.##0"))</f>
        <v/>
      </c>
      <c r="J112" s="288">
        <f>IF(J75=0,"✓  Saldo = 0",TEXT(J75,"#.##0"))</f>
        <v/>
      </c>
      <c r="K112" s="288">
        <f>IF(K75=0,"✓  Saldo = 0",TEXT(K75,"#.##0"))</f>
        <v/>
      </c>
      <c r="L112" s="289" t="n"/>
      <c r="M112" s="290" t="n"/>
      <c r="N112" s="287" t="n"/>
      <c r="O112" s="287" t="n"/>
      <c r="P112" s="291">
        <f>IF(E112&gt;0,COUNTIF($E$17:E112,"&gt;0"),0)</f>
        <v/>
      </c>
      <c r="Q112" s="262">
        <f>IF(OR(L112=47201,L112=47100,L112=47200,L112=47500),H112,0)</f>
        <v/>
      </c>
      <c r="R112" s="262">
        <f>IF(OR(L112=87201,L112=87100,L112=87200,L112=87500),H112,0)</f>
        <v/>
      </c>
    </row>
    <row r="113" ht="15" customHeight="1" s="402">
      <c r="A113" s="293" t="n"/>
      <c r="B113" s="145" t="n"/>
      <c r="C113" s="145" t="n"/>
      <c r="D113" s="293" t="n"/>
      <c r="E113" s="144" t="n"/>
      <c r="F113" s="145" t="n"/>
      <c r="G113" s="293" t="n"/>
      <c r="H113" s="143" t="n"/>
      <c r="I113" s="143" t="n"/>
      <c r="J113" s="143" t="n"/>
      <c r="K113" s="143" t="n"/>
      <c r="L113" s="294" t="n"/>
      <c r="M113" s="295" t="n"/>
      <c r="N113" s="296" t="n"/>
      <c r="O113" s="297" t="n"/>
      <c r="P113" s="83">
        <f>IF(E113&gt;0,COUNTIF($E$17:E113,"&gt;0"),0)</f>
        <v/>
      </c>
      <c r="Q113" s="262">
        <f>IF(OR(L113=47201,L113=47100,L113=47200,L113=47500),H113,0)</f>
        <v/>
      </c>
      <c r="R113" s="262">
        <f>IF(OR(L113=87201,L113=87100,L113=87200,L113=87500),H113,0)</f>
        <v/>
      </c>
      <c r="S113" s="124" t="n"/>
    </row>
    <row r="114" ht="15" customHeight="1" s="402">
      <c r="A114" s="293" t="n"/>
      <c r="B114" s="145" t="n"/>
      <c r="C114" s="145" t="n"/>
      <c r="D114" s="293" t="n"/>
      <c r="E114" s="144" t="n"/>
      <c r="F114" s="145" t="n"/>
      <c r="G114" s="293" t="n"/>
      <c r="H114" s="143" t="n"/>
      <c r="I114" s="143" t="n"/>
      <c r="J114" s="143" t="n"/>
      <c r="K114" s="143" t="n"/>
      <c r="L114" s="294" t="n"/>
      <c r="M114" s="295" t="n"/>
      <c r="N114" s="296" t="n"/>
      <c r="O114" s="297" t="n"/>
      <c r="P114" s="83">
        <f>IF(E114&gt;0,COUNTIF($E$17:E114,"&gt;0"),0)</f>
        <v/>
      </c>
      <c r="Q114" s="262">
        <f>IF(OR(L114=47201,L114=47100,L114=47200,L114=47500),H114,0)</f>
        <v/>
      </c>
      <c r="R114" s="262">
        <f>IF(OR(L114=87201,L114=87100,L114=87200,L114=87500),H114,0)</f>
        <v/>
      </c>
      <c r="S114" s="124" t="n"/>
    </row>
    <row r="115" ht="15" customHeight="1" s="402">
      <c r="A115" s="298" t="inlineStr">
        <is>
          <t>Mutaties in de balans (investerings- en financieringsstaat)</t>
        </is>
      </c>
      <c r="B115" s="299" t="n"/>
      <c r="C115" s="299" t="n"/>
      <c r="D115" s="298" t="n"/>
      <c r="E115" s="299" t="n"/>
      <c r="F115" s="299" t="n"/>
      <c r="G115" s="298" t="n"/>
      <c r="H115" s="299" t="n"/>
      <c r="I115" s="299" t="n"/>
      <c r="J115" s="299" t="n"/>
      <c r="K115" s="299" t="n"/>
      <c r="L115" s="300" t="n"/>
      <c r="M115" s="301" t="n"/>
      <c r="N115" s="299" t="n"/>
      <c r="O115" s="298" t="n"/>
      <c r="P115" s="302">
        <f>IF(E115&gt;0,COUNTIF($E$17:E115,"&gt;0"),0)</f>
        <v/>
      </c>
      <c r="Q115" s="303">
        <f>IF(OR(L115=47201,L115=47100,L115=47200,L115=47500),H115,0)</f>
        <v/>
      </c>
      <c r="R115" s="303">
        <f>IF(OR(L115=87201,L115=87100,L115=87200,L115=87500),H115,0)</f>
        <v/>
      </c>
      <c r="S115" s="124" t="n"/>
    </row>
    <row r="116" ht="15" customHeight="1" s="402">
      <c r="A116" s="304" t="n"/>
      <c r="B116" s="119" t="n"/>
      <c r="C116" s="119" t="n"/>
      <c r="D116" s="304" t="n"/>
      <c r="E116" s="117" t="n"/>
      <c r="F116" s="119" t="n"/>
      <c r="G116" s="304" t="n"/>
      <c r="H116" s="112" t="n"/>
      <c r="I116" s="112" t="n"/>
      <c r="J116" s="112" t="n"/>
      <c r="K116" s="115" t="n"/>
      <c r="L116" s="305" t="n"/>
      <c r="M116" s="306" t="n"/>
      <c r="N116" s="307" t="n"/>
      <c r="O116" s="308" t="n"/>
      <c r="P116" s="84">
        <f>IF(E116&gt;0,COUNTIF($E$17:E116,"&gt;0"),0)</f>
        <v/>
      </c>
      <c r="Q116" s="303">
        <f>IF(OR(L116=47201,L116=47100,L116=47200,L116=47500),H116,0)</f>
        <v/>
      </c>
      <c r="R116" s="303">
        <f>IF(OR(L116=87201,L116=87100,L116=87200,L116=87500),H116,0)</f>
        <v/>
      </c>
      <c r="S116" s="124" t="n"/>
    </row>
    <row r="117" ht="15" customFormat="1" customHeight="1" s="243">
      <c r="A117" s="309" t="inlineStr">
        <is>
          <t>Omschrijving balanspost</t>
        </is>
      </c>
      <c r="B117" s="310" t="inlineStr">
        <is>
          <t>nvt</t>
        </is>
      </c>
      <c r="C117" s="310" t="inlineStr">
        <is>
          <t>nvt</t>
        </is>
      </c>
      <c r="D117" s="311" t="inlineStr">
        <is>
          <t>nvt</t>
        </is>
      </c>
      <c r="E117" s="312" t="n"/>
      <c r="F117" s="313" t="n"/>
      <c r="G117" s="314" t="inlineStr">
        <is>
          <t>Omschrijving boeking</t>
        </is>
      </c>
      <c r="H117" s="310" t="inlineStr">
        <is>
          <t>Bgr.jaar</t>
        </is>
      </c>
      <c r="I117" s="310" t="inlineStr">
        <is>
          <t>MJR</t>
        </is>
      </c>
      <c r="J117" s="310" t="inlineStr">
        <is>
          <t>MJR</t>
        </is>
      </c>
      <c r="K117" s="310" t="inlineStr">
        <is>
          <t>MJR</t>
        </is>
      </c>
      <c r="L117" s="315" t="inlineStr">
        <is>
          <t>Kosten</t>
        </is>
      </c>
      <c r="M117" s="316" t="inlineStr">
        <is>
          <t>Omschrijving kostencategorie</t>
        </is>
      </c>
      <c r="N117" s="310" t="inlineStr">
        <is>
          <t>Nr ver-</t>
        </is>
      </c>
      <c r="O117" s="311" t="inlineStr">
        <is>
          <t xml:space="preserve">Omschrijving </t>
        </is>
      </c>
      <c r="P117" s="317">
        <f>IF(E117&gt;0,COUNTIF($E$17:E117,"&gt;0"),0)</f>
        <v/>
      </c>
      <c r="Q117" s="303">
        <f>IF(OR(L117=47201,L117=47100,L117=47200,L117=47500),H117,0)</f>
        <v/>
      </c>
      <c r="R117" s="303">
        <f>IF(OR(L117=87201,L117=87100,L117=87200,L117=87500),H117,0)</f>
        <v/>
      </c>
      <c r="S117" s="242" t="n"/>
    </row>
    <row r="118" ht="15" customFormat="1" customHeight="1" s="243">
      <c r="A118" s="309" t="n"/>
      <c r="B118" s="310" t="n"/>
      <c r="C118" s="310" t="n"/>
      <c r="D118" s="311" t="n"/>
      <c r="E118" s="312" t="n"/>
      <c r="F118" s="313" t="n"/>
      <c r="G118" s="314" t="n"/>
      <c r="H118" s="310" t="n">
        <v>2026</v>
      </c>
      <c r="I118" s="310" t="n">
        <v>2027</v>
      </c>
      <c r="J118" s="310" t="n">
        <v>2028</v>
      </c>
      <c r="K118" s="310" t="n">
        <v>2029</v>
      </c>
      <c r="L118" s="315" t="inlineStr">
        <is>
          <t>Cat</t>
        </is>
      </c>
      <c r="M118" s="316" t="n"/>
      <c r="N118" s="318" t="inlineStr">
        <is>
          <t>bijzondering</t>
        </is>
      </c>
      <c r="O118" s="319" t="inlineStr">
        <is>
          <t>verbijzondering</t>
        </is>
      </c>
      <c r="P118" s="317">
        <f>IF(E118&gt;0,COUNTIF($E$17:E118,"&gt;0"),0)</f>
        <v/>
      </c>
      <c r="Q118" s="303">
        <f>IF(OR(L118=47201,L118=47100,L118=47200,L118=47500),H118,0)</f>
        <v/>
      </c>
      <c r="R118" s="303">
        <f>IF(OR(L118=87201,L118=87100,L118=87200,L118=87500),H118,0)</f>
        <v/>
      </c>
      <c r="S118" s="242" t="n"/>
    </row>
    <row r="119" ht="15" customHeight="1" s="402">
      <c r="A119" s="309" t="n"/>
      <c r="B119" s="310" t="n"/>
      <c r="C119" s="310" t="n"/>
      <c r="D119" s="311" t="n"/>
      <c r="E119" s="310" t="n"/>
      <c r="F119" s="313" t="n"/>
      <c r="G119" s="314" t="n"/>
      <c r="H119" s="310" t="n"/>
      <c r="I119" s="310" t="n"/>
      <c r="J119" s="310" t="n"/>
      <c r="K119" s="310" t="n"/>
      <c r="L119" s="320" t="n"/>
      <c r="M119" s="321" t="n"/>
      <c r="N119" s="322" t="n"/>
      <c r="O119" s="323" t="n"/>
      <c r="P119" s="317">
        <f>IF(E119&gt;0,COUNTIF($E$17:E119,"&gt;0"),0)</f>
        <v/>
      </c>
      <c r="Q119" s="303">
        <f>IF(OR(L119=47201,L119=47100,L119=47200,L119=47500),H119,0)</f>
        <v/>
      </c>
      <c r="R119" s="303">
        <f>IF(OR(L119=87201,L119=87100,L119=87200,L119=87500),H119,0)</f>
        <v/>
      </c>
      <c r="S119" s="124" t="n"/>
    </row>
    <row r="120" ht="18" customHeight="1" s="402">
      <c r="A120" s="324" t="inlineStr">
        <is>
          <t>B. Investeringen</t>
        </is>
      </c>
      <c r="B120" s="324" t="n"/>
      <c r="C120" s="324" t="n"/>
      <c r="D120" s="324" t="n"/>
      <c r="E120" s="324" t="n"/>
      <c r="F120" s="325" t="n"/>
      <c r="G120" s="326" t="n"/>
      <c r="H120" s="324" t="n"/>
      <c r="I120" s="324" t="n"/>
      <c r="J120" s="324" t="n"/>
      <c r="K120" s="324" t="n"/>
      <c r="L120" s="327" t="n"/>
      <c r="M120" s="328" t="n"/>
      <c r="N120" s="325" t="n"/>
      <c r="O120" s="325" t="n"/>
      <c r="P120" s="329">
        <f>IF(E120&gt;0,COUNTIF($E$17:E120,"&gt;0"),0)</f>
        <v/>
      </c>
      <c r="Q120" s="147">
        <f>IF(OR(L120=47201,L120=47100,L120=47200,L120=47500),H120,0)</f>
        <v/>
      </c>
      <c r="R120" s="147">
        <f>IF(OR(L120=87201,L120=87100,L120=87200,L120=87500),H120,0)</f>
        <v/>
      </c>
      <c r="S120" s="124" t="n"/>
    </row>
    <row r="121" ht="15" customHeight="1" s="402">
      <c r="A121" s="80" t="n"/>
      <c r="B121" s="80" t="n"/>
      <c r="C121" s="80" t="n"/>
      <c r="D121" s="80" t="n"/>
      <c r="E121" s="257" t="n"/>
      <c r="F121" s="258" t="n"/>
      <c r="G121" s="130" t="n"/>
      <c r="H121" s="259" t="n"/>
      <c r="I121" s="259" t="n"/>
      <c r="J121" s="259" t="n"/>
      <c r="K121" s="259" t="n"/>
      <c r="L121" s="260" t="n"/>
      <c r="M121" s="261" t="n"/>
      <c r="N121" s="258" t="n"/>
      <c r="O121" s="258" t="n"/>
      <c r="P121" s="83">
        <f>IF(E121&gt;0,COUNTIF($E$17:E121,"&gt;0"),0)</f>
        <v/>
      </c>
      <c r="Q121" s="262">
        <f>IF(OR(F121=47201,F121=47100,F121=47200,F121=47500),H121,0)</f>
        <v/>
      </c>
      <c r="R121" s="262">
        <f>IF(OR(F121=87201,F121=87100,F121=87200,F121=87500),H121,0)</f>
        <v/>
      </c>
      <c r="S121" s="83">
        <f>IF(E121&gt;0,COUNTIF($E$121:E121,"&gt;0"),0)</f>
        <v/>
      </c>
    </row>
    <row r="122" ht="15" customHeight="1" s="402">
      <c r="A122" s="79" t="inlineStr">
        <is>
          <t>Activa</t>
        </is>
      </c>
      <c r="B122" s="79" t="n"/>
      <c r="C122" s="79" t="n"/>
      <c r="D122" s="79" t="n"/>
      <c r="E122" s="257" t="n"/>
      <c r="F122" s="258" t="n"/>
      <c r="G122" s="128" t="n"/>
      <c r="H122" s="259" t="n"/>
      <c r="I122" s="259" t="n"/>
      <c r="J122" s="259" t="n"/>
      <c r="K122" s="259" t="n"/>
      <c r="L122" s="260">
        <f>IF(E122&gt;0,$H$4,0)</f>
        <v/>
      </c>
      <c r="M122" s="263">
        <f>IFERROR(VLOOKUP(F122,Tabellen!H:I,2),0)</f>
        <v/>
      </c>
      <c r="N122" s="258" t="n"/>
      <c r="O122" s="258" t="n"/>
      <c r="P122" s="83">
        <f>IF(E122&gt;0,COUNTIF($E$17:E122,"&gt;0"),0)</f>
        <v/>
      </c>
      <c r="Q122" s="262">
        <f>IF(OR(F122=47201,F122=47100,F122=47200,F122=47500),H122,0)</f>
        <v/>
      </c>
      <c r="R122" s="262">
        <f>IF(OR(F122=87201,F122=87100,F122=87200,F122=87500),H122,0)</f>
        <v/>
      </c>
      <c r="S122" s="83">
        <f>IF(E122&gt;0,COUNTIF($E$121:E122,"&gt;0"),0)</f>
        <v/>
      </c>
    </row>
    <row r="123" ht="15" customHeight="1" s="402">
      <c r="A123" s="80" t="n"/>
      <c r="B123" s="80" t="n"/>
      <c r="C123" s="80" t="n"/>
      <c r="D123" s="80" t="n"/>
      <c r="E123" s="257" t="n"/>
      <c r="F123" s="258" t="n"/>
      <c r="G123" s="130" t="n"/>
      <c r="H123" s="259" t="n"/>
      <c r="I123" s="259" t="n"/>
      <c r="J123" s="259" t="n"/>
      <c r="K123" s="259" t="n"/>
      <c r="L123" s="260">
        <f>IF(E123&gt;0,$H$4,0)</f>
        <v/>
      </c>
      <c r="M123" s="261">
        <f>IFERROR(VLOOKUP(F123,Tabellen!H:I,2),0)</f>
        <v/>
      </c>
      <c r="N123" s="258" t="n"/>
      <c r="O123" s="258" t="n"/>
      <c r="P123" s="83">
        <f>IF(E123&gt;0,COUNTIF($E$17:E123,"&gt;0"),0)</f>
        <v/>
      </c>
      <c r="Q123" s="262">
        <f>IF(OR(F123=47201,F123=47100,F123=47200,F123=47500),H123,0)</f>
        <v/>
      </c>
      <c r="R123" s="262">
        <f>IF(OR(F123=87201,F123=87100,F123=87200,F123=87500),H123,0)</f>
        <v/>
      </c>
      <c r="S123" s="83">
        <f>IF(E123&gt;0,COUNTIF($E$121:E123,"&gt;0"),0)</f>
        <v/>
      </c>
    </row>
    <row r="124" ht="15" customHeight="1" s="402">
      <c r="A124" s="79" t="n"/>
      <c r="B124" s="79" t="n"/>
      <c r="C124" s="79" t="n"/>
      <c r="D124" s="79" t="n"/>
      <c r="E124" s="257" t="n"/>
      <c r="F124" s="258" t="n"/>
      <c r="G124" s="128" t="n"/>
      <c r="H124" s="259" t="n"/>
      <c r="I124" s="259" t="n"/>
      <c r="J124" s="259" t="n"/>
      <c r="K124" s="259" t="n"/>
      <c r="L124" s="260">
        <f>IF(E124&gt;0,$H$4,0)</f>
        <v/>
      </c>
      <c r="M124" s="263">
        <f>IFERROR(VLOOKUP(F124,Tabellen!H:I,2),0)</f>
        <v/>
      </c>
      <c r="N124" s="258" t="n"/>
      <c r="O124" s="258" t="n"/>
      <c r="P124" s="83">
        <f>IF(E124&gt;0,COUNTIF($E$17:E124,"&gt;0"),0)</f>
        <v/>
      </c>
      <c r="Q124" s="262">
        <f>IF(OR(F124=47201,F124=47100,F124=47200,F124=47500),H124,0)</f>
        <v/>
      </c>
      <c r="R124" s="262">
        <f>IF(OR(F124=87201,F124=87100,F124=87200,F124=87500),H124,0)</f>
        <v/>
      </c>
      <c r="S124" s="83">
        <f>IF(E124&gt;0,COUNTIF($E$121:E124,"&gt;0"),0)</f>
        <v/>
      </c>
    </row>
    <row r="125" ht="15" customHeight="1" s="402">
      <c r="A125" s="80" t="n"/>
      <c r="B125" s="80" t="n"/>
      <c r="C125" s="80" t="n"/>
      <c r="D125" s="80" t="n"/>
      <c r="E125" s="257" t="n"/>
      <c r="F125" s="258" t="n"/>
      <c r="G125" s="130" t="n"/>
      <c r="H125" s="259" t="n"/>
      <c r="I125" s="259" t="n"/>
      <c r="J125" s="259" t="n"/>
      <c r="K125" s="259" t="n"/>
      <c r="L125" s="260">
        <f>IF(E125&gt;0,$H$4,0)</f>
        <v/>
      </c>
      <c r="M125" s="261">
        <f>IFERROR(VLOOKUP(F125,Tabellen!H:I,2),0)</f>
        <v/>
      </c>
      <c r="N125" s="258" t="n"/>
      <c r="O125" s="258" t="n"/>
      <c r="P125" s="83">
        <f>IF(E125&gt;0,COUNTIF($E$17:E125,"&gt;0"),0)</f>
        <v/>
      </c>
      <c r="Q125" s="262">
        <f>IF(OR(F125=47201,F125=47100,F125=47200,F125=47500),H125,0)</f>
        <v/>
      </c>
      <c r="R125" s="262">
        <f>IF(OR(F125=87201,F125=87100,F125=87200,F125=87500),H125,0)</f>
        <v/>
      </c>
      <c r="S125" s="83">
        <f>IF(E125&gt;0,COUNTIF($E$121:E125,"&gt;0"),0)</f>
        <v/>
      </c>
    </row>
    <row r="126" ht="15" customHeight="1" s="402">
      <c r="A126" s="79" t="n"/>
      <c r="B126" s="79" t="n"/>
      <c r="C126" s="79" t="n"/>
      <c r="D126" s="79" t="n"/>
      <c r="E126" s="257" t="n"/>
      <c r="F126" s="258" t="n"/>
      <c r="G126" s="128" t="n"/>
      <c r="H126" s="259" t="n"/>
      <c r="I126" s="259" t="n"/>
      <c r="J126" s="259" t="n"/>
      <c r="K126" s="259" t="n"/>
      <c r="L126" s="260">
        <f>IF(E126&gt;0,$H$4,0)</f>
        <v/>
      </c>
      <c r="M126" s="263">
        <f>IFERROR(VLOOKUP(F126,Tabellen!H:I,2),0)</f>
        <v/>
      </c>
      <c r="N126" s="258" t="n"/>
      <c r="O126" s="258" t="n"/>
      <c r="P126" s="83">
        <f>IF(E126&gt;0,COUNTIF($E$17:E126,"&gt;0"),0)</f>
        <v/>
      </c>
      <c r="Q126" s="262">
        <f>IF(OR(F126=47201,F126=47100,F126=47200,F126=47500),H126,0)</f>
        <v/>
      </c>
      <c r="R126" s="262">
        <f>IF(OR(F126=87201,F126=87100,F126=87200,F126=87500),H126,0)</f>
        <v/>
      </c>
      <c r="S126" s="83">
        <f>IF(E126&gt;0,COUNTIF($E$121:E126,"&gt;0"),0)</f>
        <v/>
      </c>
    </row>
    <row r="127" ht="15" customHeight="1" s="402">
      <c r="A127" s="80" t="n"/>
      <c r="B127" s="80" t="n"/>
      <c r="C127" s="80" t="n"/>
      <c r="D127" s="80" t="n"/>
      <c r="E127" s="257" t="n"/>
      <c r="F127" s="258" t="n"/>
      <c r="G127" s="130" t="n"/>
      <c r="H127" s="259" t="n"/>
      <c r="I127" s="259" t="n"/>
      <c r="J127" s="259" t="n"/>
      <c r="K127" s="259" t="n"/>
      <c r="L127" s="260">
        <f>IF(E127&gt;0,$H$4,0)</f>
        <v/>
      </c>
      <c r="M127" s="261">
        <f>IFERROR(VLOOKUP(F127,Tabellen!H:I,2),0)</f>
        <v/>
      </c>
      <c r="N127" s="258" t="n"/>
      <c r="O127" s="258" t="n"/>
      <c r="P127" s="83">
        <f>IF(E127&gt;0,COUNTIF($E$17:E127,"&gt;0"),0)</f>
        <v/>
      </c>
      <c r="Q127" s="262">
        <f>IF(OR(F127=47201,F127=47100,F127=47200,F127=47500),H127,0)</f>
        <v/>
      </c>
      <c r="R127" s="262">
        <f>IF(OR(F127=87201,F127=87100,F127=87200,F127=87500),H127,0)</f>
        <v/>
      </c>
      <c r="S127" s="83">
        <f>IF(E127&gt;0,COUNTIF($E$121:E127,"&gt;0"),0)</f>
        <v/>
      </c>
    </row>
    <row r="128" ht="15" customHeight="1" s="402">
      <c r="A128" s="79" t="n"/>
      <c r="B128" s="79" t="n"/>
      <c r="C128" s="79" t="n"/>
      <c r="D128" s="79" t="n"/>
      <c r="E128" s="257" t="n"/>
      <c r="F128" s="258" t="n"/>
      <c r="G128" s="128" t="n"/>
      <c r="H128" s="259" t="n"/>
      <c r="I128" s="259" t="n"/>
      <c r="J128" s="259" t="n"/>
      <c r="K128" s="259" t="n"/>
      <c r="L128" s="260">
        <f>IF(E128&gt;0,$H$4,0)</f>
        <v/>
      </c>
      <c r="M128" s="263">
        <f>IFERROR(VLOOKUP(F128,Tabellen!H:I,2),0)</f>
        <v/>
      </c>
      <c r="N128" s="258" t="n"/>
      <c r="O128" s="258" t="n"/>
      <c r="P128" s="83">
        <f>IF(E128&gt;0,COUNTIF($E$17:E128,"&gt;0"),0)</f>
        <v/>
      </c>
      <c r="Q128" s="262">
        <f>IF(OR(F128=47201,F128=47100,F128=47200,F128=47500),H128,0)</f>
        <v/>
      </c>
      <c r="R128" s="262">
        <f>IF(OR(F128=87201,F128=87100,F128=87200,F128=87500),H128,0)</f>
        <v/>
      </c>
      <c r="S128" s="83">
        <f>IF(E128&gt;0,COUNTIF($E$121:E128,"&gt;0"),0)</f>
        <v/>
      </c>
    </row>
    <row r="129" ht="15" customHeight="1" s="402">
      <c r="A129" s="80" t="n"/>
      <c r="B129" s="80" t="n"/>
      <c r="C129" s="80" t="n"/>
      <c r="D129" s="80" t="n"/>
      <c r="E129" s="257" t="n"/>
      <c r="F129" s="258" t="n"/>
      <c r="G129" s="130" t="n"/>
      <c r="H129" s="259" t="n"/>
      <c r="I129" s="259" t="n"/>
      <c r="J129" s="259" t="n"/>
      <c r="K129" s="259" t="n"/>
      <c r="L129" s="260">
        <f>IF(E129&gt;0,$H$4,0)</f>
        <v/>
      </c>
      <c r="M129" s="261">
        <f>IFERROR(VLOOKUP(F129,Tabellen!H:I,2),0)</f>
        <v/>
      </c>
      <c r="N129" s="258" t="n"/>
      <c r="O129" s="258" t="n"/>
      <c r="P129" s="83">
        <f>IF(E129&gt;0,COUNTIF($E$17:E129,"&gt;0"),0)</f>
        <v/>
      </c>
      <c r="Q129" s="262">
        <f>IF(OR(F129=47201,F129=47100,F129=47200,F129=47500),H129,0)</f>
        <v/>
      </c>
      <c r="R129" s="262">
        <f>IF(OR(F129=87201,F129=87100,F129=87200,F129=87500),H129,0)</f>
        <v/>
      </c>
      <c r="S129" s="83">
        <f>IF(E129&gt;0,COUNTIF($E$121:E129,"&gt;0"),0)</f>
        <v/>
      </c>
    </row>
    <row r="130" ht="15" customHeight="1" s="402">
      <c r="A130" s="79" t="n"/>
      <c r="B130" s="79" t="n"/>
      <c r="C130" s="79" t="n"/>
      <c r="D130" s="79" t="n"/>
      <c r="E130" s="257" t="n"/>
      <c r="F130" s="258" t="n"/>
      <c r="G130" s="128" t="n"/>
      <c r="H130" s="259" t="n"/>
      <c r="I130" s="259" t="n"/>
      <c r="J130" s="259" t="n"/>
      <c r="K130" s="259" t="n"/>
      <c r="L130" s="260">
        <f>IF(E130&gt;0,$H$4,0)</f>
        <v/>
      </c>
      <c r="M130" s="263">
        <f>IFERROR(VLOOKUP(F130,Tabellen!H:I,2),0)</f>
        <v/>
      </c>
      <c r="N130" s="258" t="n"/>
      <c r="O130" s="258" t="n"/>
      <c r="P130" s="83">
        <f>IF(E130&gt;0,COUNTIF($E$17:E130,"&gt;0"),0)</f>
        <v/>
      </c>
      <c r="Q130" s="262">
        <f>IF(OR(F130=47201,F130=47100,F130=47200,F130=47500),H130,0)</f>
        <v/>
      </c>
      <c r="R130" s="262">
        <f>IF(OR(F130=87201,F130=87100,F130=87200,F130=87500),H130,0)</f>
        <v/>
      </c>
      <c r="S130" s="83">
        <f>IF(E130&gt;0,COUNTIF($E$121:E130,"&gt;0"),0)</f>
        <v/>
      </c>
    </row>
    <row r="131" ht="15" customHeight="1" s="402">
      <c r="A131" s="80" t="n"/>
      <c r="B131" s="80" t="n"/>
      <c r="C131" s="80" t="n"/>
      <c r="D131" s="80" t="n"/>
      <c r="E131" s="257" t="n"/>
      <c r="F131" s="258" t="n"/>
      <c r="G131" s="130" t="n"/>
      <c r="H131" s="259" t="n"/>
      <c r="I131" s="259" t="n"/>
      <c r="J131" s="259" t="n"/>
      <c r="K131" s="259" t="n"/>
      <c r="L131" s="260">
        <f>IF(E131&gt;0,$H$4,0)</f>
        <v/>
      </c>
      <c r="M131" s="261">
        <f>IFERROR(VLOOKUP(F131,Tabellen!H:I,2),0)</f>
        <v/>
      </c>
      <c r="N131" s="258" t="n"/>
      <c r="O131" s="258" t="n"/>
      <c r="P131" s="83">
        <f>IF(E131&gt;0,COUNTIF($E$17:E131,"&gt;0"),0)</f>
        <v/>
      </c>
      <c r="Q131" s="262">
        <f>IF(OR(F131=47201,F131=47100,F131=47200,F131=47500),H131,0)</f>
        <v/>
      </c>
      <c r="R131" s="262">
        <f>IF(OR(F131=87201,F131=87100,F131=87200,F131=87500),H131,0)</f>
        <v/>
      </c>
      <c r="S131" s="83">
        <f>IF(E131&gt;0,COUNTIF($E$121:E131,"&gt;0"),0)</f>
        <v/>
      </c>
    </row>
    <row r="132" ht="15" customHeight="1" s="402">
      <c r="A132" s="79" t="n"/>
      <c r="B132" s="79" t="n"/>
      <c r="C132" s="79" t="n"/>
      <c r="D132" s="79" t="n"/>
      <c r="E132" s="257" t="n"/>
      <c r="F132" s="258" t="n"/>
      <c r="G132" s="128" t="n"/>
      <c r="H132" s="259" t="n"/>
      <c r="I132" s="259" t="n"/>
      <c r="J132" s="259" t="n"/>
      <c r="K132" s="259" t="n"/>
      <c r="L132" s="260">
        <f>IF(E132&gt;0,$H$4,0)</f>
        <v/>
      </c>
      <c r="M132" s="263">
        <f>IFERROR(VLOOKUP(F132,Tabellen!H:I,2),0)</f>
        <v/>
      </c>
      <c r="N132" s="258" t="n"/>
      <c r="O132" s="258" t="n"/>
      <c r="P132" s="83">
        <f>IF(E132&gt;0,COUNTIF($E$17:E132,"&gt;0"),0)</f>
        <v/>
      </c>
      <c r="Q132" s="262">
        <f>IF(OR(F132=47201,F132=47100,F132=47200,F132=47500),H132,0)</f>
        <v/>
      </c>
      <c r="R132" s="262">
        <f>IF(OR(F132=87201,F132=87100,F132=87200,F132=87500),H132,0)</f>
        <v/>
      </c>
      <c r="S132" s="83">
        <f>IF(E132&gt;0,COUNTIF($E$121:E132,"&gt;0"),0)</f>
        <v/>
      </c>
    </row>
    <row r="133" ht="15" customHeight="1" s="402">
      <c r="A133" s="80" t="n"/>
      <c r="B133" s="80" t="n"/>
      <c r="C133" s="80" t="n"/>
      <c r="D133" s="80" t="n"/>
      <c r="E133" s="257" t="n"/>
      <c r="F133" s="258" t="n"/>
      <c r="G133" s="130" t="n"/>
      <c r="H133" s="259" t="n"/>
      <c r="I133" s="259" t="n"/>
      <c r="J133" s="259" t="n"/>
      <c r="K133" s="259" t="n"/>
      <c r="L133" s="260">
        <f>IF(E133&gt;0,$H$4,0)</f>
        <v/>
      </c>
      <c r="M133" s="261">
        <f>IFERROR(VLOOKUP(F133,Tabellen!H:I,2),0)</f>
        <v/>
      </c>
      <c r="N133" s="258" t="n"/>
      <c r="O133" s="258" t="n"/>
      <c r="P133" s="83">
        <f>IF(E133&gt;0,COUNTIF($E$17:E133,"&gt;0"),0)</f>
        <v/>
      </c>
      <c r="Q133" s="262">
        <f>IF(OR(F133=47201,F133=47100,F133=47200,F133=47500),H133,0)</f>
        <v/>
      </c>
      <c r="R133" s="262">
        <f>IF(OR(F133=87201,F133=87100,F133=87200,F133=87500),H133,0)</f>
        <v/>
      </c>
      <c r="S133" s="83">
        <f>IF(E133&gt;0,COUNTIF($E$121:E133,"&gt;0"),0)</f>
        <v/>
      </c>
    </row>
    <row r="134" ht="15" customHeight="1" s="402">
      <c r="A134" s="79" t="n"/>
      <c r="B134" s="79" t="n"/>
      <c r="C134" s="79" t="n"/>
      <c r="D134" s="79" t="n"/>
      <c r="E134" s="257" t="n"/>
      <c r="F134" s="258" t="n"/>
      <c r="G134" s="128" t="n"/>
      <c r="H134" s="259" t="n"/>
      <c r="I134" s="259" t="n"/>
      <c r="J134" s="259" t="n"/>
      <c r="K134" s="259" t="n"/>
      <c r="L134" s="260">
        <f>IF(E134&gt;0,$H$4,0)</f>
        <v/>
      </c>
      <c r="M134" s="263">
        <f>IFERROR(VLOOKUP(F134,Tabellen!H:I,2),0)</f>
        <v/>
      </c>
      <c r="N134" s="258" t="n"/>
      <c r="O134" s="258" t="n"/>
      <c r="P134" s="83">
        <f>IF(E134&gt;0,COUNTIF($E$17:E134,"&gt;0"),0)</f>
        <v/>
      </c>
      <c r="Q134" s="262">
        <f>IF(OR(F134=47201,F134=47100,F134=47200,F134=47500),H134,0)</f>
        <v/>
      </c>
      <c r="R134" s="262">
        <f>IF(OR(F134=87201,F134=87100,F134=87200,F134=87500),H134,0)</f>
        <v/>
      </c>
      <c r="S134" s="83">
        <f>IF(E134&gt;0,COUNTIF($E$121:E134,"&gt;0"),0)</f>
        <v/>
      </c>
    </row>
    <row r="135" ht="15" customHeight="1" s="402">
      <c r="A135" s="80" t="n"/>
      <c r="B135" s="80" t="n"/>
      <c r="C135" s="80" t="n"/>
      <c r="D135" s="80" t="n"/>
      <c r="E135" s="257" t="n"/>
      <c r="F135" s="258" t="n"/>
      <c r="G135" s="130" t="n"/>
      <c r="H135" s="259" t="n"/>
      <c r="I135" s="259" t="n"/>
      <c r="J135" s="259" t="n"/>
      <c r="K135" s="259" t="n"/>
      <c r="L135" s="260">
        <f>IF(E135&gt;0,$H$4,0)</f>
        <v/>
      </c>
      <c r="M135" s="261">
        <f>IFERROR(VLOOKUP(F135,Tabellen!H:I,2),0)</f>
        <v/>
      </c>
      <c r="N135" s="258" t="n"/>
      <c r="O135" s="258" t="n"/>
      <c r="P135" s="83">
        <f>IF(E135&gt;0,COUNTIF($E$17:E135,"&gt;0"),0)</f>
        <v/>
      </c>
      <c r="Q135" s="262">
        <f>IF(OR(F135=47201,F135=47100,F135=47200,F135=47500),H135,0)</f>
        <v/>
      </c>
      <c r="R135" s="262">
        <f>IF(OR(F135=87201,F135=87100,F135=87200,F135=87500),H135,0)</f>
        <v/>
      </c>
      <c r="S135" s="83">
        <f>IF(E135&gt;0,COUNTIF($E$121:E135,"&gt;0"),0)</f>
        <v/>
      </c>
    </row>
    <row r="136" ht="15" customHeight="1" s="402">
      <c r="A136" s="79" t="n"/>
      <c r="B136" s="79" t="n"/>
      <c r="C136" s="79" t="n"/>
      <c r="D136" s="79" t="n"/>
      <c r="E136" s="257" t="n"/>
      <c r="F136" s="258" t="n"/>
      <c r="G136" s="128" t="n"/>
      <c r="H136" s="259" t="n"/>
      <c r="I136" s="259" t="n"/>
      <c r="J136" s="259" t="n"/>
      <c r="K136" s="259" t="n"/>
      <c r="L136" s="260">
        <f>IF(E136&gt;0,$H$4,0)</f>
        <v/>
      </c>
      <c r="M136" s="263">
        <f>IFERROR(VLOOKUP(F136,Tabellen!H:I,2),0)</f>
        <v/>
      </c>
      <c r="N136" s="258" t="n"/>
      <c r="O136" s="258" t="n"/>
      <c r="P136" s="83">
        <f>IF(E136&gt;0,COUNTIF($E$17:E136,"&gt;0"),0)</f>
        <v/>
      </c>
      <c r="Q136" s="262">
        <f>IF(OR(F136=47201,F136=47100,F136=47200,F136=47500),H136,0)</f>
        <v/>
      </c>
      <c r="R136" s="262">
        <f>IF(OR(F136=87201,F136=87100,F136=87200,F136=87500),H136,0)</f>
        <v/>
      </c>
      <c r="S136" s="83">
        <f>IF(E136&gt;0,COUNTIF($E$121:E136,"&gt;0"),0)</f>
        <v/>
      </c>
    </row>
    <row r="137" ht="15" customHeight="1" s="402">
      <c r="A137" s="80" t="n"/>
      <c r="B137" s="80" t="n"/>
      <c r="C137" s="80" t="n"/>
      <c r="D137" s="80" t="n"/>
      <c r="E137" s="257" t="n"/>
      <c r="F137" s="258" t="n"/>
      <c r="G137" s="130" t="n"/>
      <c r="H137" s="259" t="n"/>
      <c r="I137" s="259" t="n"/>
      <c r="J137" s="259" t="n"/>
      <c r="K137" s="259" t="n"/>
      <c r="L137" s="260">
        <f>IF(E137&gt;0,$H$4,0)</f>
        <v/>
      </c>
      <c r="M137" s="261">
        <f>IFERROR(VLOOKUP(F137,Tabellen!H:I,2),0)</f>
        <v/>
      </c>
      <c r="N137" s="258" t="n"/>
      <c r="O137" s="258" t="n"/>
      <c r="P137" s="83">
        <f>IF(E137&gt;0,COUNTIF($E$17:E137,"&gt;0"),0)</f>
        <v/>
      </c>
      <c r="Q137" s="262">
        <f>IF(OR(F137=47201,F137=47100,F137=47200,F137=47500),H137,0)</f>
        <v/>
      </c>
      <c r="R137" s="262">
        <f>IF(OR(F137=87201,F137=87100,F137=87200,F137=87500),H137,0)</f>
        <v/>
      </c>
      <c r="S137" s="83">
        <f>IF(E137&gt;0,COUNTIF($E$121:E137,"&gt;0"),0)</f>
        <v/>
      </c>
    </row>
    <row r="138" ht="15" customHeight="1" s="402">
      <c r="A138" s="79" t="n"/>
      <c r="B138" s="79" t="n"/>
      <c r="C138" s="79" t="n"/>
      <c r="D138" s="79" t="n"/>
      <c r="E138" s="257" t="n"/>
      <c r="F138" s="258" t="n"/>
      <c r="G138" s="128" t="n"/>
      <c r="H138" s="259" t="n"/>
      <c r="I138" s="259" t="n"/>
      <c r="J138" s="259" t="n"/>
      <c r="K138" s="259" t="n"/>
      <c r="L138" s="260">
        <f>IF(E138&gt;0,$H$4,0)</f>
        <v/>
      </c>
      <c r="M138" s="263">
        <f>IFERROR(VLOOKUP(F138,Tabellen!H:I,2),0)</f>
        <v/>
      </c>
      <c r="N138" s="258" t="n"/>
      <c r="O138" s="258" t="n"/>
      <c r="P138" s="83">
        <f>IF(E138&gt;0,COUNTIF($E$17:E138,"&gt;0"),0)</f>
        <v/>
      </c>
      <c r="Q138" s="262">
        <f>IF(OR(F138=47201,F138=47100,F138=47200,F138=47500),H138,0)</f>
        <v/>
      </c>
      <c r="R138" s="262">
        <f>IF(OR(F138=87201,F138=87100,F138=87200,F138=87500),H138,0)</f>
        <v/>
      </c>
      <c r="S138" s="83">
        <f>IF(E138&gt;0,COUNTIF($E$121:E138,"&gt;0"),0)</f>
        <v/>
      </c>
    </row>
    <row r="139" ht="15" customHeight="1" s="402">
      <c r="A139" s="80" t="n"/>
      <c r="B139" s="80" t="n"/>
      <c r="C139" s="80" t="n"/>
      <c r="D139" s="80" t="n"/>
      <c r="E139" s="257" t="n"/>
      <c r="F139" s="258" t="n"/>
      <c r="G139" s="130" t="n"/>
      <c r="H139" s="259" t="n"/>
      <c r="I139" s="259" t="n"/>
      <c r="J139" s="259" t="n"/>
      <c r="K139" s="259" t="n"/>
      <c r="L139" s="260">
        <f>IF(E139&gt;0,$H$4,0)</f>
        <v/>
      </c>
      <c r="M139" s="261">
        <f>IFERROR(VLOOKUP(F139,Tabellen!H:I,2),0)</f>
        <v/>
      </c>
      <c r="N139" s="258" t="n"/>
      <c r="O139" s="258" t="n"/>
      <c r="P139" s="83">
        <f>IF(E139&gt;0,COUNTIF($E$17:E139,"&gt;0"),0)</f>
        <v/>
      </c>
      <c r="Q139" s="262">
        <f>IF(OR(F139=47201,F139=47100,F139=47200,F139=47500),H139,0)</f>
        <v/>
      </c>
      <c r="R139" s="262">
        <f>IF(OR(F139=87201,F139=87100,F139=87200,F139=87500),H139,0)</f>
        <v/>
      </c>
      <c r="S139" s="83">
        <f>IF(E139&gt;0,COUNTIF($E$121:E139,"&gt;0"),0)</f>
        <v/>
      </c>
    </row>
    <row r="140" ht="15" customHeight="1" s="402">
      <c r="A140" s="79" t="n"/>
      <c r="B140" s="79" t="n"/>
      <c r="C140" s="79" t="n"/>
      <c r="D140" s="79" t="n"/>
      <c r="E140" s="257" t="n"/>
      <c r="F140" s="258" t="n"/>
      <c r="G140" s="128" t="n"/>
      <c r="H140" s="259" t="n"/>
      <c r="I140" s="259" t="n"/>
      <c r="J140" s="259" t="n"/>
      <c r="K140" s="259" t="n"/>
      <c r="L140" s="260">
        <f>IF(E140&gt;0,$H$4,0)</f>
        <v/>
      </c>
      <c r="M140" s="263">
        <f>IFERROR(VLOOKUP(F140,Tabellen!H:I,2),0)</f>
        <v/>
      </c>
      <c r="N140" s="258" t="n"/>
      <c r="O140" s="258" t="n"/>
      <c r="P140" s="83">
        <f>IF(E140&gt;0,COUNTIF($E$17:E140,"&gt;0"),0)</f>
        <v/>
      </c>
      <c r="Q140" s="262">
        <f>IF(OR(F140=47201,F140=47100,F140=47200,F140=47500),H140,0)</f>
        <v/>
      </c>
      <c r="R140" s="262">
        <f>IF(OR(F140=87201,F140=87100,F140=87200,F140=87500),H140,0)</f>
        <v/>
      </c>
      <c r="S140" s="83">
        <f>IF(E140&gt;0,COUNTIF($E$121:E140,"&gt;0"),0)</f>
        <v/>
      </c>
    </row>
    <row r="141" ht="15" customHeight="1" s="402">
      <c r="A141" s="80" t="n"/>
      <c r="B141" s="80" t="n"/>
      <c r="C141" s="80" t="n"/>
      <c r="D141" s="80" t="n"/>
      <c r="E141" s="257" t="n"/>
      <c r="F141" s="258" t="n"/>
      <c r="G141" s="130" t="n"/>
      <c r="H141" s="259" t="n"/>
      <c r="I141" s="259" t="n"/>
      <c r="J141" s="259" t="n"/>
      <c r="K141" s="259" t="n"/>
      <c r="L141" s="260">
        <f>IF(E141&gt;0,$H$4,0)</f>
        <v/>
      </c>
      <c r="M141" s="261">
        <f>IFERROR(VLOOKUP(F141,Tabellen!H:I,2),0)</f>
        <v/>
      </c>
      <c r="N141" s="258" t="n"/>
      <c r="O141" s="258" t="n"/>
      <c r="P141" s="83">
        <f>IF(E141&gt;0,COUNTIF($E$17:E141,"&gt;0"),0)</f>
        <v/>
      </c>
      <c r="Q141" s="262">
        <f>IF(OR(F141=47201,F141=47100,F141=47200,F141=47500),H141,0)</f>
        <v/>
      </c>
      <c r="R141" s="262">
        <f>IF(OR(F141=87201,F141=87100,F141=87200,F141=87500),H141,0)</f>
        <v/>
      </c>
      <c r="S141" s="83">
        <f>IF(E141&gt;0,COUNTIF($E$121:E141,"&gt;0"),0)</f>
        <v/>
      </c>
    </row>
    <row r="142" ht="15" customHeight="1" s="402">
      <c r="A142" s="79" t="n"/>
      <c r="B142" s="79" t="n"/>
      <c r="C142" s="79" t="n"/>
      <c r="D142" s="79" t="n"/>
      <c r="E142" s="257" t="n"/>
      <c r="F142" s="258" t="n"/>
      <c r="G142" s="128" t="n"/>
      <c r="H142" s="259" t="n"/>
      <c r="I142" s="259" t="n"/>
      <c r="J142" s="259" t="n"/>
      <c r="K142" s="259" t="n"/>
      <c r="L142" s="260">
        <f>IF(E142&gt;0,$H$4,0)</f>
        <v/>
      </c>
      <c r="M142" s="263">
        <f>IFERROR(VLOOKUP(F142,Tabellen!H:I,2),0)</f>
        <v/>
      </c>
      <c r="N142" s="258" t="n"/>
      <c r="O142" s="258" t="n"/>
      <c r="P142" s="83">
        <f>IF(E142&gt;0,COUNTIF($E$17:E142,"&gt;0"),0)</f>
        <v/>
      </c>
      <c r="Q142" s="262">
        <f>IF(OR(F142=47201,F142=47100,F142=47200,F142=47500),H142,0)</f>
        <v/>
      </c>
      <c r="R142" s="262">
        <f>IF(OR(F142=87201,F142=87100,F142=87200,F142=87500),H142,0)</f>
        <v/>
      </c>
      <c r="S142" s="83">
        <f>IF(E142&gt;0,COUNTIF($E$121:E142,"&gt;0"),0)</f>
        <v/>
      </c>
    </row>
    <row r="143" ht="15" customHeight="1" s="402">
      <c r="A143" s="80" t="n"/>
      <c r="B143" s="80" t="n"/>
      <c r="C143" s="80" t="n"/>
      <c r="D143" s="80" t="n"/>
      <c r="E143" s="257" t="n"/>
      <c r="F143" s="258" t="n"/>
      <c r="G143" s="130" t="n"/>
      <c r="H143" s="259" t="n"/>
      <c r="I143" s="259" t="n"/>
      <c r="J143" s="259" t="n"/>
      <c r="K143" s="259" t="n"/>
      <c r="L143" s="260">
        <f>IF(E143&gt;0,$H$4,0)</f>
        <v/>
      </c>
      <c r="M143" s="261">
        <f>IFERROR(VLOOKUP(F143,Tabellen!H:I,2),0)</f>
        <v/>
      </c>
      <c r="N143" s="258" t="n"/>
      <c r="O143" s="258" t="n"/>
      <c r="P143" s="83">
        <f>IF(E143&gt;0,COUNTIF($E$17:E143,"&gt;0"),0)</f>
        <v/>
      </c>
      <c r="Q143" s="262">
        <f>IF(OR(F143=47201,F143=47100,F143=47200,F143=47500),H143,0)</f>
        <v/>
      </c>
      <c r="R143" s="262">
        <f>IF(OR(F143=87201,F143=87100,F143=87200,F143=87500),H143,0)</f>
        <v/>
      </c>
      <c r="S143" s="83">
        <f>IF(E143&gt;0,COUNTIF($E$121:E143,"&gt;0"),0)</f>
        <v/>
      </c>
    </row>
    <row r="144" ht="15" customHeight="1" s="402">
      <c r="A144" s="79" t="n"/>
      <c r="B144" s="79" t="n"/>
      <c r="C144" s="79" t="n"/>
      <c r="D144" s="79" t="n"/>
      <c r="E144" s="257" t="n"/>
      <c r="F144" s="258" t="n"/>
      <c r="G144" s="128" t="n"/>
      <c r="H144" s="259" t="n"/>
      <c r="I144" s="259" t="n"/>
      <c r="J144" s="259" t="n"/>
      <c r="K144" s="259" t="n"/>
      <c r="L144" s="260">
        <f>IF(E144&gt;0,$H$4,0)</f>
        <v/>
      </c>
      <c r="M144" s="263">
        <f>IFERROR(VLOOKUP(F144,Tabellen!H:I,2),0)</f>
        <v/>
      </c>
      <c r="N144" s="258" t="n"/>
      <c r="O144" s="258" t="n"/>
      <c r="P144" s="83">
        <f>IF(E144&gt;0,COUNTIF($E$17:E144,"&gt;0"),0)</f>
        <v/>
      </c>
      <c r="Q144" s="262">
        <f>IF(OR(F144=47201,F144=47100,F144=47200,F144=47500),H144,0)</f>
        <v/>
      </c>
      <c r="R144" s="262">
        <f>IF(OR(F144=87201,F144=87100,F144=87200,F144=87500),H144,0)</f>
        <v/>
      </c>
      <c r="S144" s="83">
        <f>IF(E144&gt;0,COUNTIF($E$121:E144,"&gt;0"),0)</f>
        <v/>
      </c>
    </row>
    <row r="145" ht="15" customHeight="1" s="402">
      <c r="A145" s="80" t="n"/>
      <c r="B145" s="80" t="n"/>
      <c r="C145" s="80" t="n"/>
      <c r="D145" s="80" t="n"/>
      <c r="E145" s="257" t="n"/>
      <c r="F145" s="258" t="n"/>
      <c r="G145" s="130" t="n"/>
      <c r="H145" s="259" t="n"/>
      <c r="I145" s="259" t="n"/>
      <c r="J145" s="259" t="n"/>
      <c r="K145" s="259" t="n"/>
      <c r="L145" s="260">
        <f>IF(E145&gt;0,$H$4,0)</f>
        <v/>
      </c>
      <c r="M145" s="261">
        <f>IFERROR(VLOOKUP(F145,Tabellen!H:I,2),0)</f>
        <v/>
      </c>
      <c r="N145" s="258" t="n"/>
      <c r="O145" s="258" t="n"/>
      <c r="P145" s="83">
        <f>IF(E145&gt;0,COUNTIF($E$17:E145,"&gt;0"),0)</f>
        <v/>
      </c>
      <c r="Q145" s="262">
        <f>IF(OR(F145=47201,F145=47100,F145=47200,F145=47500),H145,0)</f>
        <v/>
      </c>
      <c r="R145" s="262">
        <f>IF(OR(F145=87201,F145=87100,F145=87200,F145=87500),H145,0)</f>
        <v/>
      </c>
      <c r="S145" s="83">
        <f>IF(E145&gt;0,COUNTIF($E$121:E145,"&gt;0"),0)</f>
        <v/>
      </c>
    </row>
    <row r="146" ht="15" customHeight="1" s="402">
      <c r="A146" s="79" t="n"/>
      <c r="B146" s="79" t="n"/>
      <c r="C146" s="79" t="n"/>
      <c r="D146" s="79" t="n"/>
      <c r="E146" s="257" t="n"/>
      <c r="F146" s="258" t="n"/>
      <c r="G146" s="128" t="n"/>
      <c r="H146" s="259" t="n"/>
      <c r="I146" s="259" t="n"/>
      <c r="J146" s="259" t="n"/>
      <c r="K146" s="259" t="n"/>
      <c r="L146" s="260">
        <f>IF(E146&gt;0,$H$4,0)</f>
        <v/>
      </c>
      <c r="M146" s="263">
        <f>IFERROR(VLOOKUP(F146,Tabellen!H:I,2),0)</f>
        <v/>
      </c>
      <c r="N146" s="258" t="n"/>
      <c r="O146" s="258" t="n"/>
      <c r="P146" s="83">
        <f>IF(E146&gt;0,COUNTIF($E$17:E146,"&gt;0"),0)</f>
        <v/>
      </c>
      <c r="Q146" s="262">
        <f>IF(OR(F146=47201,F146=47100,F146=47200,F146=47500),H146,0)</f>
        <v/>
      </c>
      <c r="R146" s="262">
        <f>IF(OR(F146=87201,F146=87100,F146=87200,F146=87500),H146,0)</f>
        <v/>
      </c>
      <c r="S146" s="83">
        <f>IF(E146&gt;0,COUNTIF($E$121:E146,"&gt;0"),0)</f>
        <v/>
      </c>
    </row>
    <row r="147" ht="15" customHeight="1" s="402">
      <c r="A147" s="80" t="n"/>
      <c r="B147" s="80" t="n"/>
      <c r="C147" s="80" t="n"/>
      <c r="D147" s="80" t="n"/>
      <c r="E147" s="257" t="n"/>
      <c r="F147" s="258" t="n"/>
      <c r="G147" s="130" t="n"/>
      <c r="H147" s="259" t="n"/>
      <c r="I147" s="259" t="n"/>
      <c r="J147" s="259" t="n"/>
      <c r="K147" s="259" t="n"/>
      <c r="L147" s="260">
        <f>IF(E147&gt;0,$H$4,0)</f>
        <v/>
      </c>
      <c r="M147" s="261">
        <f>IFERROR(VLOOKUP(F147,Tabellen!H:I,2),0)</f>
        <v/>
      </c>
      <c r="N147" s="258" t="n"/>
      <c r="O147" s="258" t="n"/>
      <c r="P147" s="83">
        <f>IF(E147&gt;0,COUNTIF($E$17:E147,"&gt;0"),0)</f>
        <v/>
      </c>
      <c r="Q147" s="262">
        <f>IF(OR(F147=47201,F147=47100,F147=47200,F147=47500),H147,0)</f>
        <v/>
      </c>
      <c r="R147" s="262">
        <f>IF(OR(F147=87201,F147=87100,F147=87200,F147=87500),H147,0)</f>
        <v/>
      </c>
      <c r="S147" s="83">
        <f>IF(E147&gt;0,COUNTIF($E$121:E147,"&gt;0"),0)</f>
        <v/>
      </c>
    </row>
    <row r="148" ht="15" customHeight="1" s="402">
      <c r="A148" s="79" t="n"/>
      <c r="B148" s="79" t="n"/>
      <c r="C148" s="79" t="n"/>
      <c r="D148" s="79" t="n"/>
      <c r="E148" s="257" t="n"/>
      <c r="F148" s="258" t="n"/>
      <c r="G148" s="128" t="n"/>
      <c r="H148" s="259" t="n"/>
      <c r="I148" s="259" t="n"/>
      <c r="J148" s="259" t="n"/>
      <c r="K148" s="259" t="n"/>
      <c r="L148" s="260">
        <f>IF(E148&gt;0,$H$4,0)</f>
        <v/>
      </c>
      <c r="M148" s="263">
        <f>IFERROR(VLOOKUP(F148,Tabellen!H:I,2),0)</f>
        <v/>
      </c>
      <c r="N148" s="258" t="n"/>
      <c r="O148" s="258" t="n"/>
      <c r="P148" s="83">
        <f>IF(E148&gt;0,COUNTIF($E$17:E148,"&gt;0"),0)</f>
        <v/>
      </c>
      <c r="Q148" s="262">
        <f>IF(OR(F148=47201,F148=47100,F148=47200,F148=47500),H148,0)</f>
        <v/>
      </c>
      <c r="R148" s="262">
        <f>IF(OR(F148=87201,F148=87100,F148=87200,F148=87500),H148,0)</f>
        <v/>
      </c>
      <c r="S148" s="83">
        <f>IF(E148&gt;0,COUNTIF($E$121:E148,"&gt;0"),0)</f>
        <v/>
      </c>
    </row>
    <row r="149" ht="15" customHeight="1" s="402">
      <c r="A149" s="80" t="n"/>
      <c r="B149" s="80" t="n"/>
      <c r="C149" s="80" t="n"/>
      <c r="D149" s="80" t="n"/>
      <c r="E149" s="257" t="n"/>
      <c r="F149" s="258" t="n"/>
      <c r="G149" s="130" t="n"/>
      <c r="H149" s="259" t="n"/>
      <c r="I149" s="259" t="n"/>
      <c r="J149" s="259" t="n"/>
      <c r="K149" s="259" t="n"/>
      <c r="L149" s="260">
        <f>IF(E149&gt;0,$H$4,0)</f>
        <v/>
      </c>
      <c r="M149" s="261">
        <f>IFERROR(VLOOKUP(F149,Tabellen!H:I,2),0)</f>
        <v/>
      </c>
      <c r="N149" s="258" t="n"/>
      <c r="O149" s="258" t="n"/>
      <c r="P149" s="83">
        <f>IF(E149&gt;0,COUNTIF($E$17:E149,"&gt;0"),0)</f>
        <v/>
      </c>
      <c r="Q149" s="262">
        <f>IF(OR(F149=47201,F149=47100,F149=47200,F149=47500),H149,0)</f>
        <v/>
      </c>
      <c r="R149" s="262">
        <f>IF(OR(F149=87201,F149=87100,F149=87200,F149=87500),H149,0)</f>
        <v/>
      </c>
      <c r="S149" s="83">
        <f>IF(E149&gt;0,COUNTIF($E$121:E149,"&gt;0"),0)</f>
        <v/>
      </c>
    </row>
    <row r="150" ht="15" customHeight="1" s="402">
      <c r="A150" s="79" t="n"/>
      <c r="B150" s="79" t="n"/>
      <c r="C150" s="79" t="n"/>
      <c r="D150" s="79" t="n"/>
      <c r="E150" s="257" t="n"/>
      <c r="F150" s="258" t="n"/>
      <c r="G150" s="128" t="n"/>
      <c r="H150" s="259" t="n"/>
      <c r="I150" s="259" t="n"/>
      <c r="J150" s="259" t="n"/>
      <c r="K150" s="259" t="n"/>
      <c r="L150" s="260">
        <f>IF(E150&gt;0,$H$4,0)</f>
        <v/>
      </c>
      <c r="M150" s="263">
        <f>IFERROR(VLOOKUP(F150,Tabellen!H:I,2),0)</f>
        <v/>
      </c>
      <c r="N150" s="258" t="n"/>
      <c r="O150" s="258" t="n"/>
      <c r="P150" s="83">
        <f>IF(E150&gt;0,COUNTIF($E$17:E150,"&gt;0"),0)</f>
        <v/>
      </c>
      <c r="Q150" s="262">
        <f>IF(OR(F150=47201,F150=47100,F150=47200,F150=47500),H150,0)</f>
        <v/>
      </c>
      <c r="R150" s="262">
        <f>IF(OR(F150=87201,F150=87100,F150=87200,F150=87500),H150,0)</f>
        <v/>
      </c>
      <c r="S150" s="83">
        <f>IF(E150&gt;0,COUNTIF($E$121:E150,"&gt;0"),0)</f>
        <v/>
      </c>
    </row>
    <row r="151" ht="15" customHeight="1" s="402">
      <c r="A151" s="80" t="n"/>
      <c r="B151" s="80" t="n"/>
      <c r="C151" s="80" t="n"/>
      <c r="D151" s="80" t="n"/>
      <c r="E151" s="257" t="n"/>
      <c r="F151" s="258" t="n"/>
      <c r="G151" s="130" t="n"/>
      <c r="H151" s="259" t="n"/>
      <c r="I151" s="259" t="n"/>
      <c r="J151" s="259" t="n"/>
      <c r="K151" s="259" t="n"/>
      <c r="L151" s="260">
        <f>IF(E151&gt;0,$H$4,0)</f>
        <v/>
      </c>
      <c r="M151" s="261">
        <f>IFERROR(VLOOKUP(F151,Tabellen!H:I,2),0)</f>
        <v/>
      </c>
      <c r="N151" s="258" t="n"/>
      <c r="O151" s="258" t="n"/>
      <c r="P151" s="83">
        <f>IF(E151&gt;0,COUNTIF($E$17:E151,"&gt;0"),0)</f>
        <v/>
      </c>
      <c r="Q151" s="262">
        <f>IF(OR(F151=47201,F151=47100,F151=47200,F151=47500),H151,0)</f>
        <v/>
      </c>
      <c r="R151" s="262">
        <f>IF(OR(F151=87201,F151=87100,F151=87200,F151=87500),H151,0)</f>
        <v/>
      </c>
      <c r="S151" s="83">
        <f>IF(E151&gt;0,COUNTIF($E$121:E151,"&gt;0"),0)</f>
        <v/>
      </c>
    </row>
    <row r="152" ht="15" customHeight="1" s="402">
      <c r="A152" s="79" t="n"/>
      <c r="B152" s="79" t="n"/>
      <c r="C152" s="79" t="n"/>
      <c r="D152" s="79" t="n"/>
      <c r="E152" s="257" t="n"/>
      <c r="F152" s="258" t="n"/>
      <c r="G152" s="128" t="n"/>
      <c r="H152" s="259" t="n"/>
      <c r="I152" s="259" t="n"/>
      <c r="J152" s="259" t="n"/>
      <c r="K152" s="259" t="n"/>
      <c r="L152" s="260">
        <f>IF(E152&gt;0,$H$4,0)</f>
        <v/>
      </c>
      <c r="M152" s="263">
        <f>IFERROR(VLOOKUP(F152,Tabellen!H:I,2),0)</f>
        <v/>
      </c>
      <c r="N152" s="258" t="n"/>
      <c r="O152" s="258" t="n"/>
      <c r="P152" s="83">
        <f>IF(E152&gt;0,COUNTIF($E$17:E152,"&gt;0"),0)</f>
        <v/>
      </c>
      <c r="Q152" s="262">
        <f>IF(OR(F152=47201,F152=47100,F152=47200,F152=47500),H152,0)</f>
        <v/>
      </c>
      <c r="R152" s="262">
        <f>IF(OR(F152=87201,F152=87100,F152=87200,F152=87500),H152,0)</f>
        <v/>
      </c>
      <c r="S152" s="83">
        <f>IF(E152&gt;0,COUNTIF($E$121:E152,"&gt;0"),0)</f>
        <v/>
      </c>
    </row>
    <row r="153" ht="15" customHeight="1" s="402">
      <c r="A153" s="80" t="n"/>
      <c r="B153" s="80" t="n"/>
      <c r="C153" s="80" t="n"/>
      <c r="D153" s="80" t="n"/>
      <c r="E153" s="257" t="n"/>
      <c r="F153" s="258" t="n"/>
      <c r="G153" s="130" t="n"/>
      <c r="H153" s="259" t="n"/>
      <c r="I153" s="259" t="n"/>
      <c r="J153" s="259" t="n"/>
      <c r="K153" s="259" t="n"/>
      <c r="L153" s="260">
        <f>IF(E153&gt;0,$H$4,0)</f>
        <v/>
      </c>
      <c r="M153" s="261">
        <f>IFERROR(VLOOKUP(F153,Tabellen!H:I,2),0)</f>
        <v/>
      </c>
      <c r="N153" s="258" t="n"/>
      <c r="O153" s="258" t="n"/>
      <c r="P153" s="83">
        <f>IF(E153&gt;0,COUNTIF($E$17:E153,"&gt;0"),0)</f>
        <v/>
      </c>
      <c r="Q153" s="262">
        <f>IF(OR(F153=47201,F153=47100,F153=47200,F153=47500),H153,0)</f>
        <v/>
      </c>
      <c r="R153" s="262">
        <f>IF(OR(F153=87201,F153=87100,F153=87200,F153=87500),H153,0)</f>
        <v/>
      </c>
      <c r="S153" s="83">
        <f>IF(E153&gt;0,COUNTIF($E$121:E153,"&gt;0"),0)</f>
        <v/>
      </c>
    </row>
    <row r="154" ht="15" customHeight="1" s="402">
      <c r="A154" s="79" t="n"/>
      <c r="B154" s="79" t="n"/>
      <c r="C154" s="79" t="n"/>
      <c r="D154" s="79" t="n"/>
      <c r="E154" s="257" t="n"/>
      <c r="F154" s="258" t="n"/>
      <c r="G154" s="128" t="n"/>
      <c r="H154" s="259" t="n"/>
      <c r="I154" s="259" t="n"/>
      <c r="J154" s="259" t="n"/>
      <c r="K154" s="259" t="n"/>
      <c r="L154" s="260">
        <f>IF(E154&gt;0,$H$4,0)</f>
        <v/>
      </c>
      <c r="M154" s="263">
        <f>IFERROR(VLOOKUP(F154,Tabellen!H:I,2),0)</f>
        <v/>
      </c>
      <c r="N154" s="258" t="n"/>
      <c r="O154" s="258" t="n"/>
      <c r="P154" s="83">
        <f>IF(E154&gt;0,COUNTIF($E$17:E154,"&gt;0"),0)</f>
        <v/>
      </c>
      <c r="Q154" s="262">
        <f>IF(OR(F154=47201,F154=47100,F154=47200,F154=47500),H154,0)</f>
        <v/>
      </c>
      <c r="R154" s="262">
        <f>IF(OR(F154=87201,F154=87100,F154=87200,F154=87500),H154,0)</f>
        <v/>
      </c>
      <c r="S154" s="83">
        <f>IF(E154&gt;0,COUNTIF($E$121:E154,"&gt;0"),0)</f>
        <v/>
      </c>
    </row>
    <row r="155" ht="15" customHeight="1" s="402">
      <c r="A155" s="80" t="n"/>
      <c r="B155" s="80" t="n"/>
      <c r="C155" s="80" t="n"/>
      <c r="D155" s="80" t="n"/>
      <c r="E155" s="257" t="n"/>
      <c r="F155" s="258" t="n"/>
      <c r="G155" s="130" t="n"/>
      <c r="H155" s="259" t="n"/>
      <c r="I155" s="259" t="n"/>
      <c r="J155" s="259" t="n"/>
      <c r="K155" s="259" t="n"/>
      <c r="L155" s="260">
        <f>IF(E155&gt;0,$H$4,0)</f>
        <v/>
      </c>
      <c r="M155" s="261">
        <f>IFERROR(VLOOKUP(F155,Tabellen!H:I,2),0)</f>
        <v/>
      </c>
      <c r="N155" s="258" t="n"/>
      <c r="O155" s="258" t="n"/>
      <c r="P155" s="83">
        <f>IF(E155&gt;0,COUNTIF($E$17:E155,"&gt;0"),0)</f>
        <v/>
      </c>
      <c r="Q155" s="262">
        <f>IF(OR(F155=47201,F155=47100,F155=47200,F155=47500),H155,0)</f>
        <v/>
      </c>
      <c r="R155" s="262">
        <f>IF(OR(F155=87201,F155=87100,F155=87200,F155=87500),H155,0)</f>
        <v/>
      </c>
      <c r="S155" s="83">
        <f>IF(E155&gt;0,COUNTIF($E$121:E155,"&gt;0"),0)</f>
        <v/>
      </c>
    </row>
    <row r="156" ht="15" customHeight="1" s="402">
      <c r="A156" s="79" t="n"/>
      <c r="B156" s="79" t="n"/>
      <c r="C156" s="79" t="n"/>
      <c r="D156" s="79" t="n"/>
      <c r="E156" s="257" t="n"/>
      <c r="F156" s="258" t="n"/>
      <c r="G156" s="128" t="n"/>
      <c r="H156" s="259" t="n"/>
      <c r="I156" s="259" t="n"/>
      <c r="J156" s="259" t="n"/>
      <c r="K156" s="259" t="n"/>
      <c r="L156" s="260">
        <f>IF(E156&gt;0,$H$4,0)</f>
        <v/>
      </c>
      <c r="M156" s="263">
        <f>IFERROR(VLOOKUP(F156,Tabellen!H:I,2),0)</f>
        <v/>
      </c>
      <c r="N156" s="258" t="n"/>
      <c r="O156" s="258" t="n"/>
      <c r="P156" s="83">
        <f>IF(E156&gt;0,COUNTIF($E$17:E156,"&gt;0"),0)</f>
        <v/>
      </c>
      <c r="Q156" s="262">
        <f>IF(OR(F156=47201,F156=47100,F156=47200,F156=47500),H156,0)</f>
        <v/>
      </c>
      <c r="R156" s="262">
        <f>IF(OR(F156=87201,F156=87100,F156=87200,F156=87500),H156,0)</f>
        <v/>
      </c>
      <c r="S156" s="83">
        <f>IF(E156&gt;0,COUNTIF($E$121:E156,"&gt;0"),0)</f>
        <v/>
      </c>
    </row>
    <row r="157" ht="15" customHeight="1" s="402">
      <c r="A157" s="80" t="n"/>
      <c r="B157" s="80" t="n"/>
      <c r="C157" s="80" t="n"/>
      <c r="D157" s="80" t="n"/>
      <c r="E157" s="257" t="n"/>
      <c r="F157" s="258" t="n"/>
      <c r="G157" s="130" t="n"/>
      <c r="H157" s="259" t="n"/>
      <c r="I157" s="259" t="n"/>
      <c r="J157" s="259" t="n"/>
      <c r="K157" s="259" t="n"/>
      <c r="L157" s="260">
        <f>IF(E157&gt;0,$H$4,0)</f>
        <v/>
      </c>
      <c r="M157" s="261">
        <f>IFERROR(VLOOKUP(F157,Tabellen!H:I,2),0)</f>
        <v/>
      </c>
      <c r="N157" s="258" t="n"/>
      <c r="O157" s="258" t="n"/>
      <c r="P157" s="83">
        <f>IF(E157&gt;0,COUNTIF($E$17:E157,"&gt;0"),0)</f>
        <v/>
      </c>
      <c r="Q157" s="262">
        <f>IF(OR(F157=47201,F157=47100,F157=47200,F157=47500),H157,0)</f>
        <v/>
      </c>
      <c r="R157" s="262">
        <f>IF(OR(F157=87201,F157=87100,F157=87200,F157=87500),H157,0)</f>
        <v/>
      </c>
      <c r="S157" s="83">
        <f>IF(E157&gt;0,COUNTIF($E$121:E157,"&gt;0"),0)</f>
        <v/>
      </c>
    </row>
    <row r="158" ht="15" customHeight="1" s="402">
      <c r="A158" s="79" t="n"/>
      <c r="B158" s="79" t="n"/>
      <c r="C158" s="79" t="n"/>
      <c r="D158" s="79" t="n"/>
      <c r="E158" s="257" t="n"/>
      <c r="F158" s="258" t="n"/>
      <c r="G158" s="128" t="n"/>
      <c r="H158" s="259" t="n"/>
      <c r="I158" s="259" t="n"/>
      <c r="J158" s="259" t="n"/>
      <c r="K158" s="259" t="n"/>
      <c r="L158" s="260">
        <f>IF(E158&gt;0,$H$4,0)</f>
        <v/>
      </c>
      <c r="M158" s="263">
        <f>IFERROR(VLOOKUP(F158,Tabellen!H:I,2),0)</f>
        <v/>
      </c>
      <c r="N158" s="258" t="n"/>
      <c r="O158" s="258" t="n"/>
      <c r="P158" s="83">
        <f>IF(E158&gt;0,COUNTIF($E$17:E158,"&gt;0"),0)</f>
        <v/>
      </c>
      <c r="Q158" s="262">
        <f>IF(OR(F158=47201,F158=47100,F158=47200,F158=47500),H158,0)</f>
        <v/>
      </c>
      <c r="R158" s="262">
        <f>IF(OR(F158=87201,F158=87100,F158=87200,F158=87500),H158,0)</f>
        <v/>
      </c>
      <c r="S158" s="83">
        <f>IF(E158&gt;0,COUNTIF($E$121:E158,"&gt;0"),0)</f>
        <v/>
      </c>
    </row>
    <row r="159" ht="15" customHeight="1" s="402">
      <c r="A159" s="80" t="n"/>
      <c r="B159" s="80" t="n"/>
      <c r="C159" s="80" t="n"/>
      <c r="D159" s="80" t="n"/>
      <c r="E159" s="257" t="n"/>
      <c r="F159" s="258" t="n"/>
      <c r="G159" s="130" t="n"/>
      <c r="H159" s="259" t="n"/>
      <c r="I159" s="259" t="n"/>
      <c r="J159" s="259" t="n"/>
      <c r="K159" s="259" t="n"/>
      <c r="L159" s="260">
        <f>IF(E159&gt;0,$H$4,0)</f>
        <v/>
      </c>
      <c r="M159" s="261">
        <f>IFERROR(VLOOKUP(F159,Tabellen!H:I,2),0)</f>
        <v/>
      </c>
      <c r="N159" s="258" t="n"/>
      <c r="O159" s="258" t="n"/>
      <c r="P159" s="83">
        <f>IF(E159&gt;0,COUNTIF($E$17:E159,"&gt;0"),0)</f>
        <v/>
      </c>
      <c r="Q159" s="262">
        <f>IF(OR(F159=47201,F159=47100,F159=47200,F159=47500),H159,0)</f>
        <v/>
      </c>
      <c r="R159" s="262">
        <f>IF(OR(F159=87201,F159=87100,F159=87200,F159=87500),H159,0)</f>
        <v/>
      </c>
      <c r="S159" s="83">
        <f>IF(E159&gt;0,COUNTIF($E$121:E159,"&gt;0"),0)</f>
        <v/>
      </c>
    </row>
    <row r="160" ht="15" customHeight="1" s="402">
      <c r="A160" s="79" t="n"/>
      <c r="B160" s="79" t="n"/>
      <c r="C160" s="79" t="n"/>
      <c r="D160" s="79" t="n"/>
      <c r="E160" s="257" t="n"/>
      <c r="F160" s="258" t="n"/>
      <c r="G160" s="128" t="n"/>
      <c r="H160" s="259" t="n"/>
      <c r="I160" s="259" t="n"/>
      <c r="J160" s="259" t="n"/>
      <c r="K160" s="259" t="n"/>
      <c r="L160" s="260">
        <f>IF(E160&gt;0,$H$4,0)</f>
        <v/>
      </c>
      <c r="M160" s="263">
        <f>IFERROR(VLOOKUP(F160,Tabellen!H:I,2),0)</f>
        <v/>
      </c>
      <c r="N160" s="258" t="n"/>
      <c r="O160" s="258" t="n"/>
      <c r="P160" s="83">
        <f>IF(E160&gt;0,COUNTIF($E$17:E160,"&gt;0"),0)</f>
        <v/>
      </c>
      <c r="Q160" s="262">
        <f>IF(OR(F160=47201,F160=47100,F160=47200,F160=47500),H160,0)</f>
        <v/>
      </c>
      <c r="R160" s="262">
        <f>IF(OR(F160=87201,F160=87100,F160=87200,F160=87500),H160,0)</f>
        <v/>
      </c>
      <c r="S160" s="83">
        <f>IF(E160&gt;0,COUNTIF($E$121:E160,"&gt;0"),0)</f>
        <v/>
      </c>
    </row>
    <row r="161" ht="15" customHeight="1" s="402">
      <c r="A161" s="80" t="n"/>
      <c r="B161" s="80" t="n"/>
      <c r="C161" s="80" t="n"/>
      <c r="D161" s="80" t="n"/>
      <c r="E161" s="257" t="n"/>
      <c r="F161" s="258" t="n"/>
      <c r="G161" s="130" t="n"/>
      <c r="H161" s="259" t="n"/>
      <c r="I161" s="259" t="n"/>
      <c r="J161" s="259" t="n"/>
      <c r="K161" s="259" t="n"/>
      <c r="L161" s="260">
        <f>IF(E161&gt;0,$H$4,0)</f>
        <v/>
      </c>
      <c r="M161" s="261">
        <f>IFERROR(VLOOKUP(F161,Tabellen!H:I,2),0)</f>
        <v/>
      </c>
      <c r="N161" s="258" t="n"/>
      <c r="O161" s="258" t="n"/>
      <c r="P161" s="83">
        <f>IF(E161&gt;0,COUNTIF($E$17:E161,"&gt;0"),0)</f>
        <v/>
      </c>
      <c r="Q161" s="262">
        <f>IF(OR(F161=47201,F161=47100,F161=47200,F161=47500),H161,0)</f>
        <v/>
      </c>
      <c r="R161" s="262">
        <f>IF(OR(F161=87201,F161=87100,F161=87200,F161=87500),H161,0)</f>
        <v/>
      </c>
      <c r="S161" s="83">
        <f>IF(E161&gt;0,COUNTIF($E$121:E161,"&gt;0"),0)</f>
        <v/>
      </c>
    </row>
    <row r="162" ht="15" customHeight="1" s="402">
      <c r="A162" s="79" t="n"/>
      <c r="B162" s="79" t="n"/>
      <c r="C162" s="79" t="n"/>
      <c r="D162" s="79" t="n"/>
      <c r="E162" s="257" t="n"/>
      <c r="F162" s="258" t="n"/>
      <c r="G162" s="128" t="n"/>
      <c r="H162" s="259" t="n"/>
      <c r="I162" s="259" t="n"/>
      <c r="J162" s="259" t="n"/>
      <c r="K162" s="259" t="n"/>
      <c r="L162" s="260">
        <f>IF(E162&gt;0,$H$4,0)</f>
        <v/>
      </c>
      <c r="M162" s="263">
        <f>IFERROR(VLOOKUP(F162,Tabellen!H:I,2),0)</f>
        <v/>
      </c>
      <c r="N162" s="258" t="n"/>
      <c r="O162" s="258" t="n"/>
      <c r="P162" s="83">
        <f>IF(E162&gt;0,COUNTIF($E$17:E162,"&gt;0"),0)</f>
        <v/>
      </c>
      <c r="Q162" s="262">
        <f>IF(OR(F162=47201,F162=47100,F162=47200,F162=47500),H162,0)</f>
        <v/>
      </c>
      <c r="R162" s="262">
        <f>IF(OR(F162=87201,F162=87100,F162=87200,F162=87500),H162,0)</f>
        <v/>
      </c>
      <c r="S162" s="83">
        <f>IF(E162&gt;0,COUNTIF($E$121:E162,"&gt;0"),0)</f>
        <v/>
      </c>
    </row>
    <row r="163" ht="15" customHeight="1" s="402">
      <c r="A163" s="80" t="n"/>
      <c r="B163" s="80" t="n"/>
      <c r="C163" s="80" t="n"/>
      <c r="D163" s="80" t="n"/>
      <c r="E163" s="257" t="n"/>
      <c r="F163" s="258" t="n"/>
      <c r="G163" s="130" t="n"/>
      <c r="H163" s="259" t="n"/>
      <c r="I163" s="259" t="n"/>
      <c r="J163" s="259" t="n"/>
      <c r="K163" s="259" t="n"/>
      <c r="L163" s="260">
        <f>IF(E163&gt;0,$H$4,0)</f>
        <v/>
      </c>
      <c r="M163" s="261">
        <f>IFERROR(VLOOKUP(F163,Tabellen!H:I,2),0)</f>
        <v/>
      </c>
      <c r="N163" s="258" t="n"/>
      <c r="O163" s="258" t="n"/>
      <c r="P163" s="83">
        <f>IF(E163&gt;0,COUNTIF($E$17:E163,"&gt;0"),0)</f>
        <v/>
      </c>
      <c r="Q163" s="262">
        <f>IF(OR(F163=47201,F163=47100,F163=47200,F163=47500),H163,0)</f>
        <v/>
      </c>
      <c r="R163" s="262">
        <f>IF(OR(F163=87201,F163=87100,F163=87200,F163=87500),H163,0)</f>
        <v/>
      </c>
      <c r="S163" s="83">
        <f>IF(E163&gt;0,COUNTIF($E$121:E163,"&gt;0"),0)</f>
        <v/>
      </c>
    </row>
    <row r="164" ht="15" customHeight="1" s="402">
      <c r="A164" s="79" t="n"/>
      <c r="B164" s="79" t="n"/>
      <c r="C164" s="79" t="n"/>
      <c r="D164" s="79" t="n"/>
      <c r="E164" s="257" t="n"/>
      <c r="F164" s="258" t="n"/>
      <c r="G164" s="128" t="n"/>
      <c r="H164" s="259" t="n"/>
      <c r="I164" s="259" t="n"/>
      <c r="J164" s="259" t="n"/>
      <c r="K164" s="259" t="n"/>
      <c r="L164" s="260">
        <f>IF(E164&gt;0,$H$4,0)</f>
        <v/>
      </c>
      <c r="M164" s="263">
        <f>IFERROR(VLOOKUP(F164,Tabellen!H:I,2),0)</f>
        <v/>
      </c>
      <c r="N164" s="258" t="n"/>
      <c r="O164" s="258" t="n"/>
      <c r="P164" s="83">
        <f>IF(E164&gt;0,COUNTIF($E$17:E164,"&gt;0"),0)</f>
        <v/>
      </c>
      <c r="Q164" s="262">
        <f>IF(OR(F164=47201,F164=47100,F164=47200,F164=47500),H164,0)</f>
        <v/>
      </c>
      <c r="R164" s="262">
        <f>IF(OR(F164=87201,F164=87100,F164=87200,F164=87500),H164,0)</f>
        <v/>
      </c>
      <c r="S164" s="83">
        <f>IF(E164&gt;0,COUNTIF($E$121:E164,"&gt;0"),0)</f>
        <v/>
      </c>
    </row>
    <row r="165" ht="15" customHeight="1" s="402">
      <c r="A165" s="80" t="n"/>
      <c r="B165" s="80" t="n"/>
      <c r="C165" s="80" t="n"/>
      <c r="D165" s="80" t="n"/>
      <c r="E165" s="257" t="n"/>
      <c r="F165" s="258" t="n"/>
      <c r="G165" s="130" t="n"/>
      <c r="H165" s="259" t="n"/>
      <c r="I165" s="259" t="n"/>
      <c r="J165" s="259" t="n"/>
      <c r="K165" s="259" t="n"/>
      <c r="L165" s="260">
        <f>IF(E165&gt;0,$H$4,0)</f>
        <v/>
      </c>
      <c r="M165" s="261">
        <f>IFERROR(VLOOKUP(F165,Tabellen!H:I,2),0)</f>
        <v/>
      </c>
      <c r="N165" s="258" t="n"/>
      <c r="O165" s="258" t="n"/>
      <c r="P165" s="83">
        <f>IF(E165&gt;0,COUNTIF($E$17:E165,"&gt;0"),0)</f>
        <v/>
      </c>
      <c r="Q165" s="262">
        <f>IF(OR(F165=47201,F165=47100,F165=47200,F165=47500),H165,0)</f>
        <v/>
      </c>
      <c r="R165" s="262">
        <f>IF(OR(F165=87201,F165=87100,F165=87200,F165=87500),H165,0)</f>
        <v/>
      </c>
      <c r="S165" s="83">
        <f>IF(E165&gt;0,COUNTIF($E$121:E165,"&gt;0"),0)</f>
        <v/>
      </c>
    </row>
    <row r="166" ht="15" customHeight="1" s="402">
      <c r="A166" s="79" t="n"/>
      <c r="B166" s="79" t="n"/>
      <c r="C166" s="79" t="n"/>
      <c r="D166" s="79" t="n"/>
      <c r="E166" s="257" t="n"/>
      <c r="F166" s="258" t="n"/>
      <c r="G166" s="128" t="n"/>
      <c r="H166" s="259" t="n"/>
      <c r="I166" s="259" t="n"/>
      <c r="J166" s="259" t="n"/>
      <c r="K166" s="259" t="n"/>
      <c r="L166" s="260">
        <f>IF(E166&gt;0,$H$4,0)</f>
        <v/>
      </c>
      <c r="M166" s="263">
        <f>IFERROR(VLOOKUP(F166,Tabellen!H:I,2),0)</f>
        <v/>
      </c>
      <c r="N166" s="258" t="n"/>
      <c r="O166" s="258" t="n"/>
      <c r="P166" s="83">
        <f>IF(E166&gt;0,COUNTIF($E$17:E166,"&gt;0"),0)</f>
        <v/>
      </c>
      <c r="Q166" s="262">
        <f>IF(OR(F166=47201,F166=47100,F166=47200,F166=47500),H166,0)</f>
        <v/>
      </c>
      <c r="R166" s="262">
        <f>IF(OR(F166=87201,F166=87100,F166=87200,F166=87500),H166,0)</f>
        <v/>
      </c>
      <c r="S166" s="83">
        <f>IF(E166&gt;0,COUNTIF($E$121:E166,"&gt;0"),0)</f>
        <v/>
      </c>
    </row>
    <row r="167" ht="15" customHeight="1" s="402">
      <c r="A167" s="80" t="n"/>
      <c r="B167" s="80" t="n"/>
      <c r="C167" s="80" t="n"/>
      <c r="D167" s="80" t="n"/>
      <c r="E167" s="257" t="n"/>
      <c r="F167" s="258" t="n"/>
      <c r="G167" s="130" t="n"/>
      <c r="H167" s="264" t="n"/>
      <c r="I167" s="264" t="n"/>
      <c r="J167" s="264" t="n"/>
      <c r="K167" s="264" t="n"/>
      <c r="L167" s="260">
        <f>IF(E167&gt;0,$H$4,0)</f>
        <v/>
      </c>
      <c r="M167" s="261">
        <f>IFERROR(VLOOKUP(F167,Tabellen!H:I,2),0)</f>
        <v/>
      </c>
      <c r="N167" s="258" t="n"/>
      <c r="O167" s="258" t="n"/>
      <c r="P167" s="83">
        <f>IF(E167&gt;0,COUNTIF($E$17:E167,"&gt;0"),0)</f>
        <v/>
      </c>
      <c r="Q167" s="262">
        <f>IF(OR(F167=47201,F167=47100,F167=47200,F167=47500),H167,0)</f>
        <v/>
      </c>
      <c r="R167" s="262">
        <f>IF(OR(F167=87201,F167=87100,F167=87200,F167=87500),H167,0)</f>
        <v/>
      </c>
      <c r="S167" s="83">
        <f>IF(E167&gt;0,COUNTIF($E$121:E167,"&gt;0"),0)</f>
        <v/>
      </c>
    </row>
    <row r="168" ht="16.15" customFormat="1" customHeight="1" s="22">
      <c r="A168" s="265" t="inlineStr">
        <is>
          <t>Saldo mutaties investeringen</t>
        </is>
      </c>
      <c r="B168" s="265" t="n"/>
      <c r="C168" s="265" t="n"/>
      <c r="D168" s="265" t="n"/>
      <c r="E168" s="265" t="n"/>
      <c r="F168" s="266" t="n"/>
      <c r="G168" s="267" t="n"/>
      <c r="H168" s="268">
        <f>SUM(H122:H167)</f>
        <v/>
      </c>
      <c r="I168" s="268">
        <f>SUM(I122:I167)</f>
        <v/>
      </c>
      <c r="J168" s="268">
        <f>SUM(J122:J167)</f>
        <v/>
      </c>
      <c r="K168" s="268">
        <f>SUM(K122:K167)</f>
        <v/>
      </c>
      <c r="L168" s="269" t="n"/>
      <c r="M168" s="270" t="n"/>
      <c r="N168" s="271" t="n"/>
      <c r="O168" s="271" t="n"/>
      <c r="P168" s="83">
        <f>IF(E168&gt;0,COUNTIF($E$17:E168,"&gt;0"),0)</f>
        <v/>
      </c>
      <c r="Q168" s="262">
        <f>IF(OR(F168=47201,F168=47100,F168=47200,F168=47500),H168,0)</f>
        <v/>
      </c>
      <c r="R168" s="262">
        <f>IF(OR(F168=87201,F168=87100,F168=87200,F168=87500),H168,0)</f>
        <v/>
      </c>
      <c r="S168" s="83">
        <f>IF(E168&gt;0,COUNTIF($E$121:E168,"&gt;0"),0)</f>
        <v/>
      </c>
    </row>
    <row r="169" ht="15" customHeight="1" s="402">
      <c r="A169" s="272" t="n"/>
      <c r="B169" s="9" t="n"/>
      <c r="C169" s="9" t="n"/>
      <c r="D169" s="272" t="n"/>
      <c r="E169" s="9" t="n"/>
      <c r="F169" s="273" t="n"/>
      <c r="G169" s="274" t="n"/>
      <c r="H169" s="11" t="n"/>
      <c r="I169" s="11" t="n"/>
      <c r="J169" s="11" t="n"/>
      <c r="K169" s="11" t="n"/>
      <c r="L169" s="275" t="n"/>
      <c r="M169" s="276" t="n"/>
      <c r="N169" s="277" t="n"/>
      <c r="O169" s="278" t="n"/>
      <c r="P169" s="83">
        <f>IF(E169&gt;0,COUNTIF($E$17:E169,"&gt;0"),0)</f>
        <v/>
      </c>
      <c r="Q169" s="262">
        <f>IF(OR(L169=47201,L169=47100,L169=47200,L169=47500),H169,0)</f>
        <v/>
      </c>
      <c r="R169" s="262">
        <f>IF(OR(L169=87201,L169=87100,L169=87200,L169=87500),H169,0)</f>
        <v/>
      </c>
      <c r="S169" s="83">
        <f>IF(E169&gt;0,COUNTIF($E$121:E169,"&gt;0"),0)</f>
        <v/>
      </c>
    </row>
    <row r="170" ht="18" customHeight="1" s="402">
      <c r="A170" s="330" t="inlineStr">
        <is>
          <t>C. Reserves</t>
        </is>
      </c>
      <c r="B170" s="330" t="n"/>
      <c r="C170" s="330" t="n"/>
      <c r="D170" s="330" t="n"/>
      <c r="E170" s="330" t="n"/>
      <c r="F170" s="331" t="n"/>
      <c r="G170" s="332" t="n"/>
      <c r="H170" s="330" t="n"/>
      <c r="I170" s="330" t="n"/>
      <c r="J170" s="330" t="n"/>
      <c r="K170" s="330" t="n"/>
      <c r="L170" s="333" t="n"/>
      <c r="M170" s="334" t="n"/>
      <c r="N170" s="331" t="n"/>
      <c r="O170" s="331" t="n"/>
      <c r="P170" s="335">
        <f>IF(E170&gt;0,COUNTIF($E$17:E170,"&gt;0"),0)</f>
        <v/>
      </c>
      <c r="Q170" s="336">
        <f>IF(OR(L170=47201,L170=47100,L170=47200,L170=47500),H170,0)</f>
        <v/>
      </c>
      <c r="R170" s="336">
        <f>IF(OR(L170=87201,L170=87100,L170=87200,L170=87500),H170,0)</f>
        <v/>
      </c>
      <c r="S170" s="83">
        <f>IF(E170&gt;0,COUNTIF($E$121:E170,"&gt;0"),0)</f>
        <v/>
      </c>
    </row>
    <row r="171" ht="15" customHeight="1" s="402">
      <c r="A171" s="79" t="n"/>
      <c r="B171" s="79" t="n"/>
      <c r="C171" s="79" t="n"/>
      <c r="D171" s="79" t="n"/>
      <c r="E171" s="257" t="n"/>
      <c r="F171" s="258" t="n"/>
      <c r="G171" s="128" t="n"/>
      <c r="H171" s="259" t="n"/>
      <c r="I171" s="259" t="n"/>
      <c r="J171" s="259" t="n"/>
      <c r="K171" s="259" t="n"/>
      <c r="L171" s="260" t="n"/>
      <c r="M171" s="263">
        <f>IFERROR(VLOOKUP(F172,Tabellen!H:I,2),0)</f>
        <v/>
      </c>
      <c r="N171" s="258" t="n"/>
      <c r="O171" s="258" t="n"/>
      <c r="P171" s="83">
        <f>IF(E171&gt;0,COUNTIF($E$17:E171,"&gt;0"),0)</f>
        <v/>
      </c>
      <c r="Q171" s="262">
        <f>IF(OR(F172=47201,F172=47100,F172=47200,F172=47500),H172,0)</f>
        <v/>
      </c>
      <c r="R171" s="262">
        <f>IF(OR(F172=87201,F172=87100,F172=87200,F172=87500),H172,0)</f>
        <v/>
      </c>
      <c r="S171" s="83">
        <f>IF(E171&gt;0,COUNTIF($E$121:E171,"&gt;0"),0)</f>
        <v/>
      </c>
    </row>
    <row r="172" ht="15" customHeight="1" s="402">
      <c r="A172" s="80">
        <f>IFERROR(VLOOKUP(E173,Tabellen!A:F,4),0)</f>
        <v/>
      </c>
      <c r="B172" s="80" t="n"/>
      <c r="C172" s="80">
        <f>IFERROR(VLOOKUP(E173,Tabellen!A:F,5),0)</f>
        <v/>
      </c>
      <c r="D172" s="80" t="n">
        <v>0</v>
      </c>
      <c r="F172" s="258">
        <f>IFERROR(VLOOKUP(E173,Tabellen!A:H,8),0)</f>
        <v/>
      </c>
      <c r="G172" s="130">
        <f>IFERROR(VLOOKUP(E173,Tabellen!A:F,2),0)</f>
        <v/>
      </c>
      <c r="H172" s="259" t="n">
        <v>0</v>
      </c>
      <c r="I172" s="259" t="n">
        <v>0</v>
      </c>
      <c r="J172" s="259" t="n">
        <v>0</v>
      </c>
      <c r="K172" s="259" t="n">
        <v>0</v>
      </c>
      <c r="L172" s="260">
        <f>IF(E173&gt;0,$H$4,0)</f>
        <v/>
      </c>
      <c r="M172" s="261">
        <f>IFERROR(VLOOKUP(F173,Tabellen!H:I,2),0)</f>
        <v/>
      </c>
      <c r="N172" s="258" t="n"/>
      <c r="O172" s="258" t="n"/>
      <c r="P172" s="83">
        <f>IF(E173&gt;0,COUNTIF($E$17:E173,"&gt;0"),0)</f>
        <v/>
      </c>
      <c r="Q172" s="262">
        <f>IF(OR(F173=47201,F173=47100,F173=47200,F173=47500),H173,0)</f>
        <v/>
      </c>
      <c r="R172" s="262">
        <f>IF(OR(F173=87201,F173=87100,F173=87200,F173=87500),H173,0)</f>
        <v/>
      </c>
      <c r="S172" s="83">
        <f>IF(E173&gt;0,COUNTIF($E$121:E173,"&gt;0"),0)</f>
        <v/>
      </c>
    </row>
    <row r="173" ht="15" customHeight="1" s="402">
      <c r="A173" s="79" t="n">
        <v>0</v>
      </c>
      <c r="B173" s="79" t="n"/>
      <c r="C173" s="79" t="n">
        <v>0</v>
      </c>
      <c r="D173" s="79" t="n">
        <v>0</v>
      </c>
      <c r="E173" s="257" t="n">
        <v>0</v>
      </c>
      <c r="F173" s="258" t="n">
        <v>0</v>
      </c>
      <c r="G173" s="128" t="n">
        <v>0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60">
        <f>IF(E174&gt;0,$H$4,0)</f>
        <v/>
      </c>
      <c r="M173" s="263" t="n">
        <v>0</v>
      </c>
      <c r="N173" s="258" t="n"/>
      <c r="O173" s="258" t="n"/>
      <c r="P173" s="83">
        <f>IF(E174&gt;0,COUNTIF($E$17:E174,"&gt;0"),0)</f>
        <v/>
      </c>
      <c r="Q173" s="262">
        <f>IF(OR(F174=47201,F174=47100,F174=47200,F174=47500),H174,0)</f>
        <v/>
      </c>
      <c r="R173" s="262">
        <f>IF(OR(F174=87201,F174=87100,F174=87200,F174=87500),H174,0)</f>
        <v/>
      </c>
      <c r="S173" s="83">
        <f>IF(E174&gt;0,COUNTIF($E$121:E174,"&gt;0"),0)</f>
        <v/>
      </c>
    </row>
    <row r="174" ht="15" customHeight="1" s="402">
      <c r="A174" s="80" t="n">
        <v>0</v>
      </c>
      <c r="B174" s="80" t="n"/>
      <c r="C174" s="80" t="n">
        <v>0</v>
      </c>
      <c r="D174" s="80" t="n">
        <v>0</v>
      </c>
      <c r="E174" s="257" t="n">
        <v>0</v>
      </c>
      <c r="F174" s="258" t="n">
        <v>0</v>
      </c>
      <c r="G174" s="130" t="n">
        <v>0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60">
        <f>IF(E175&gt;0,$H$4,0)</f>
        <v/>
      </c>
      <c r="M174" s="261" t="n">
        <v>0</v>
      </c>
      <c r="N174" s="258" t="n"/>
      <c r="O174" s="258" t="n"/>
      <c r="P174" s="83">
        <f>IF(E175&gt;0,COUNTIF($E$17:E175,"&gt;0"),0)</f>
        <v/>
      </c>
      <c r="Q174" s="262">
        <f>IF(OR(F175=47201,F175=47100,F175=47200,F175=47500),H175,0)</f>
        <v/>
      </c>
      <c r="R174" s="262">
        <f>IF(OR(F175=87201,F175=87100,F175=87200,F175=87500),H175,0)</f>
        <v/>
      </c>
      <c r="S174" s="83">
        <f>IF(E175&gt;0,COUNTIF($E$121:E175,"&gt;0"),0)</f>
        <v/>
      </c>
    </row>
    <row r="175" ht="15" customHeight="1" s="402">
      <c r="A175" s="79" t="n">
        <v>0</v>
      </c>
      <c r="B175" s="79" t="n"/>
      <c r="C175" s="79" t="n">
        <v>0</v>
      </c>
      <c r="D175" s="79" t="n">
        <v>0</v>
      </c>
      <c r="E175" s="257" t="n">
        <v>0</v>
      </c>
      <c r="F175" s="258" t="n">
        <v>0</v>
      </c>
      <c r="G175" s="128" t="n">
        <v>0</v>
      </c>
      <c r="H175" s="259" t="n">
        <v>0</v>
      </c>
      <c r="I175" s="259" t="n">
        <v>0</v>
      </c>
      <c r="J175" s="259" t="n">
        <v>0</v>
      </c>
      <c r="K175" s="259" t="n">
        <v>0</v>
      </c>
      <c r="L175" s="260">
        <f>IF(E176&gt;0,$H$4,0)</f>
        <v/>
      </c>
      <c r="M175" s="263" t="n">
        <v>0</v>
      </c>
      <c r="N175" s="258" t="n"/>
      <c r="O175" s="258" t="n"/>
      <c r="P175" s="83">
        <f>IF(E176&gt;0,COUNTIF($E$17:E176,"&gt;0"),0)</f>
        <v/>
      </c>
      <c r="Q175" s="262">
        <f>IF(OR(F176=47201,F176=47100,F176=47200,F176=47500),H176,0)</f>
        <v/>
      </c>
      <c r="R175" s="262">
        <f>IF(OR(F176=87201,F176=87100,F176=87200,F176=87500),H176,0)</f>
        <v/>
      </c>
      <c r="S175" s="83">
        <f>IF(E176&gt;0,COUNTIF($E$121:E176,"&gt;0"),0)</f>
        <v/>
      </c>
    </row>
    <row r="176" ht="15" customHeight="1" s="402">
      <c r="A176" s="80" t="n">
        <v>0</v>
      </c>
      <c r="B176" s="80" t="n"/>
      <c r="C176" s="80" t="n">
        <v>0</v>
      </c>
      <c r="D176" s="80" t="n">
        <v>0</v>
      </c>
      <c r="E176" s="257" t="n">
        <v>0</v>
      </c>
      <c r="F176" s="258" t="n">
        <v>0</v>
      </c>
      <c r="G176" s="130" t="n">
        <v>0</v>
      </c>
      <c r="H176" s="259" t="n">
        <v>0</v>
      </c>
      <c r="I176" s="259" t="n">
        <v>0</v>
      </c>
      <c r="J176" s="259" t="n">
        <v>0</v>
      </c>
      <c r="K176" s="259" t="n">
        <v>0</v>
      </c>
      <c r="L176" s="260">
        <f>IF(E177&gt;0,$H$4,0)</f>
        <v/>
      </c>
      <c r="M176" s="261" t="n">
        <v>0</v>
      </c>
      <c r="N176" s="258" t="n"/>
      <c r="O176" s="258" t="n"/>
      <c r="P176" s="83">
        <f>IF(E177&gt;0,COUNTIF($E$17:E177,"&gt;0"),0)</f>
        <v/>
      </c>
      <c r="Q176" s="262">
        <f>IF(OR(F177=47201,F177=47100,F177=47200,F177=47500),H177,0)</f>
        <v/>
      </c>
      <c r="R176" s="262">
        <f>IF(OR(F177=87201,F177=87100,F177=87200,F177=87500),H177,0)</f>
        <v/>
      </c>
      <c r="S176" s="83">
        <f>IF(E177&gt;0,COUNTIF($E$121:E177,"&gt;0"),0)</f>
        <v/>
      </c>
    </row>
    <row r="177" ht="15" customHeight="1" s="402">
      <c r="A177" s="79" t="n">
        <v>0</v>
      </c>
      <c r="B177" s="79" t="n"/>
      <c r="C177" s="79" t="n">
        <v>0</v>
      </c>
      <c r="D177" s="79" t="n">
        <v>0</v>
      </c>
      <c r="E177" s="257" t="n">
        <v>0</v>
      </c>
      <c r="F177" s="258" t="n">
        <v>0</v>
      </c>
      <c r="G177" s="128" t="n">
        <v>0</v>
      </c>
      <c r="H177" s="259" t="n">
        <v>0</v>
      </c>
      <c r="I177" s="259" t="n">
        <v>0</v>
      </c>
      <c r="J177" s="259" t="n">
        <v>0</v>
      </c>
      <c r="K177" s="259" t="n">
        <v>0</v>
      </c>
      <c r="L177" s="260">
        <f>IF(E178&gt;0,$H$4,0)</f>
        <v/>
      </c>
      <c r="M177" s="263" t="n">
        <v>0</v>
      </c>
      <c r="N177" s="258" t="n"/>
      <c r="O177" s="258" t="n"/>
      <c r="P177" s="83">
        <f>IF(E178&gt;0,COUNTIF($E$17:E178,"&gt;0"),0)</f>
        <v/>
      </c>
      <c r="Q177" s="262">
        <f>IF(OR(F178=47201,F178=47100,F178=47200,F178=47500),H178,0)</f>
        <v/>
      </c>
      <c r="R177" s="262">
        <f>IF(OR(F178=87201,F178=87100,F178=87200,F178=87500),H178,0)</f>
        <v/>
      </c>
      <c r="S177" s="83">
        <f>IF(E178&gt;0,COUNTIF($E$121:E178,"&gt;0"),0)</f>
        <v/>
      </c>
    </row>
    <row r="178" ht="15" customHeight="1" s="402">
      <c r="A178" s="80" t="n">
        <v>0</v>
      </c>
      <c r="B178" s="80" t="n"/>
      <c r="C178" s="80" t="n">
        <v>0</v>
      </c>
      <c r="D178" s="80" t="n">
        <v>0</v>
      </c>
      <c r="E178" s="257" t="n">
        <v>0</v>
      </c>
      <c r="F178" s="258" t="n">
        <v>0</v>
      </c>
      <c r="G178" s="130" t="n">
        <v>0</v>
      </c>
      <c r="H178" s="259" t="n">
        <v>0</v>
      </c>
      <c r="I178" s="259" t="n">
        <v>0</v>
      </c>
      <c r="J178" s="259" t="n">
        <v>0</v>
      </c>
      <c r="K178" s="259" t="n">
        <v>0</v>
      </c>
      <c r="L178" s="260">
        <f>IF(E179&gt;0,$H$4,0)</f>
        <v/>
      </c>
      <c r="M178" s="261" t="n">
        <v>0</v>
      </c>
      <c r="N178" s="258" t="n"/>
      <c r="O178" s="258" t="n"/>
      <c r="P178" s="83">
        <f>IF(E179&gt;0,COUNTIF($E$17:E179,"&gt;0"),0)</f>
        <v/>
      </c>
      <c r="Q178" s="262">
        <f>IF(OR(F179=47201,F179=47100,F179=47200,F179=47500),H179,0)</f>
        <v/>
      </c>
      <c r="R178" s="262">
        <f>IF(OR(F179=87201,F179=87100,F179=87200,F179=87500),H179,0)</f>
        <v/>
      </c>
      <c r="S178" s="83">
        <f>IF(E179&gt;0,COUNTIF($E$121:E179,"&gt;0"),0)</f>
        <v/>
      </c>
    </row>
    <row r="179" ht="15" customHeight="1" s="402">
      <c r="A179" s="79" t="n">
        <v>0</v>
      </c>
      <c r="B179" s="79" t="n"/>
      <c r="C179" s="79" t="n">
        <v>0</v>
      </c>
      <c r="D179" s="79" t="n">
        <v>0</v>
      </c>
      <c r="E179" s="257" t="n">
        <v>0</v>
      </c>
      <c r="F179" s="258" t="n">
        <v>0</v>
      </c>
      <c r="G179" s="128" t="n">
        <v>0</v>
      </c>
      <c r="H179" s="259" t="n">
        <v>0</v>
      </c>
      <c r="I179" s="259" t="n">
        <v>0</v>
      </c>
      <c r="J179" s="259" t="n">
        <v>0</v>
      </c>
      <c r="K179" s="259" t="n">
        <v>0</v>
      </c>
      <c r="L179" s="260">
        <f>IF(E180&gt;0,$H$4,0)</f>
        <v/>
      </c>
      <c r="M179" s="263" t="n">
        <v>0</v>
      </c>
      <c r="N179" s="258" t="n"/>
      <c r="O179" s="258" t="n"/>
      <c r="P179" s="83">
        <f>IF(E180&gt;0,COUNTIF($E$17:E180,"&gt;0"),0)</f>
        <v/>
      </c>
      <c r="Q179" s="262">
        <f>IF(OR(F180=47201,F180=47100,F180=47200,F180=47500),H180,0)</f>
        <v/>
      </c>
      <c r="R179" s="262">
        <f>IF(OR(F180=87201,F180=87100,F180=87200,F180=87500),H180,0)</f>
        <v/>
      </c>
      <c r="S179" s="83">
        <f>IF(E180&gt;0,COUNTIF($E$121:E180,"&gt;0"),0)</f>
        <v/>
      </c>
    </row>
    <row r="180" ht="15" customHeight="1" s="402">
      <c r="A180" s="80" t="n">
        <v>0</v>
      </c>
      <c r="B180" s="80" t="n"/>
      <c r="C180" s="80" t="n">
        <v>0</v>
      </c>
      <c r="D180" s="80" t="n">
        <v>0</v>
      </c>
      <c r="E180" s="257" t="n">
        <v>0</v>
      </c>
      <c r="F180" s="258" t="n">
        <v>0</v>
      </c>
      <c r="G180" s="130" t="n">
        <v>0</v>
      </c>
      <c r="H180" s="259" t="n">
        <v>0</v>
      </c>
      <c r="I180" s="259" t="n">
        <v>0</v>
      </c>
      <c r="J180" s="259" t="n">
        <v>0</v>
      </c>
      <c r="K180" s="259" t="n">
        <v>0</v>
      </c>
      <c r="L180" s="260">
        <f>IF(E181&gt;0,$H$4,0)</f>
        <v/>
      </c>
      <c r="M180" s="261" t="n">
        <v>0</v>
      </c>
      <c r="N180" s="258" t="n"/>
      <c r="O180" s="258" t="n"/>
      <c r="P180" s="83">
        <f>IF(E181&gt;0,COUNTIF($E$17:E181,"&gt;0"),0)</f>
        <v/>
      </c>
      <c r="Q180" s="262">
        <f>IF(OR(F181=47201,F181=47100,F181=47200,F181=47500),H181,0)</f>
        <v/>
      </c>
      <c r="R180" s="262">
        <f>IF(OR(F181=87201,F181=87100,F181=87200,F181=87500),H181,0)</f>
        <v/>
      </c>
      <c r="S180" s="83">
        <f>IF(E181&gt;0,COUNTIF($E$121:E181,"&gt;0"),0)</f>
        <v/>
      </c>
    </row>
    <row r="181" ht="15" customHeight="1" s="402">
      <c r="A181" s="79" t="n">
        <v>0</v>
      </c>
      <c r="B181" s="79" t="n"/>
      <c r="C181" s="79" t="n">
        <v>0</v>
      </c>
      <c r="D181" s="79" t="n">
        <v>0</v>
      </c>
      <c r="E181" s="257" t="n">
        <v>0</v>
      </c>
      <c r="F181" s="258" t="n">
        <v>0</v>
      </c>
      <c r="G181" s="128" t="n">
        <v>0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60">
        <f>IF(E182&gt;0,$H$4,0)</f>
        <v/>
      </c>
      <c r="M181" s="263" t="n">
        <v>0</v>
      </c>
      <c r="N181" s="258" t="n"/>
      <c r="O181" s="258" t="n"/>
      <c r="P181" s="83">
        <f>IF(E182&gt;0,COUNTIF($E$17:E182,"&gt;0"),0)</f>
        <v/>
      </c>
      <c r="Q181" s="262">
        <f>IF(OR(F182=47201,F182=47100,F182=47200,F182=47500),H182,0)</f>
        <v/>
      </c>
      <c r="R181" s="262">
        <f>IF(OR(F182=87201,F182=87100,F182=87200,F182=87500),H182,0)</f>
        <v/>
      </c>
      <c r="S181" s="83">
        <f>IF(E182&gt;0,COUNTIF($E$121:E182,"&gt;0"),0)</f>
        <v/>
      </c>
    </row>
    <row r="182" ht="15" customHeight="1" s="402">
      <c r="A182" s="80" t="n">
        <v>0</v>
      </c>
      <c r="B182" s="80" t="n"/>
      <c r="C182" s="80" t="n">
        <v>0</v>
      </c>
      <c r="D182" s="80" t="n">
        <v>0</v>
      </c>
      <c r="E182" s="257" t="n">
        <v>0</v>
      </c>
      <c r="F182" s="258" t="n">
        <v>0</v>
      </c>
      <c r="G182" s="130">
        <f>IFERROR(VLOOKUP(E183,Tabellen!A:F,2),0)</f>
        <v/>
      </c>
      <c r="H182" s="259" t="n">
        <v>0</v>
      </c>
      <c r="I182" s="259" t="n">
        <v>0</v>
      </c>
      <c r="J182" s="259" t="n">
        <v>0</v>
      </c>
      <c r="K182" s="259" t="n">
        <v>0</v>
      </c>
      <c r="L182" s="260">
        <f>IF(E183&gt;0,$H$4,0)</f>
        <v/>
      </c>
      <c r="M182" s="261" t="n">
        <v>0</v>
      </c>
      <c r="N182" s="258" t="n"/>
      <c r="O182" s="258" t="n"/>
      <c r="P182" s="83">
        <f>IF(E183&gt;0,COUNTIF($E$17:E183,"&gt;0"),0)</f>
        <v/>
      </c>
      <c r="Q182" s="262">
        <f>IF(OR(F183=47201,F183=47100,F183=47200,F183=47500),H183,0)</f>
        <v/>
      </c>
      <c r="R182" s="262">
        <f>IF(OR(F183=87201,F183=87100,F183=87200,F183=87500),H183,0)</f>
        <v/>
      </c>
      <c r="S182" s="83">
        <f>IF(E183&gt;0,COUNTIF($E$121:E183,"&gt;0"),0)</f>
        <v/>
      </c>
    </row>
    <row r="183" ht="15" customHeight="1" s="402">
      <c r="A183" s="79" t="n">
        <v>0</v>
      </c>
      <c r="B183" s="79" t="n"/>
      <c r="C183" s="79" t="n">
        <v>0</v>
      </c>
      <c r="D183" s="79" t="n">
        <v>0</v>
      </c>
      <c r="E183" s="257" t="n">
        <v>0</v>
      </c>
      <c r="F183" s="258" t="n">
        <v>0</v>
      </c>
      <c r="G183" s="128" t="n">
        <v>0</v>
      </c>
      <c r="H183" s="259" t="n">
        <v>0</v>
      </c>
      <c r="I183" s="259" t="n">
        <v>0</v>
      </c>
      <c r="J183" s="259" t="n">
        <v>0</v>
      </c>
      <c r="K183" s="259" t="n">
        <v>0</v>
      </c>
      <c r="L183" s="260">
        <f>IF(E184&gt;0,$H$4,0)</f>
        <v/>
      </c>
      <c r="M183" s="263" t="n">
        <v>0</v>
      </c>
      <c r="N183" s="258" t="n"/>
      <c r="O183" s="258" t="n"/>
      <c r="P183" s="83">
        <f>IF(E184&gt;0,COUNTIF($E$17:E184,"&gt;0"),0)</f>
        <v/>
      </c>
      <c r="Q183" s="262">
        <f>IF(OR(F184=47201,F184=47100,F184=47200,F184=47500),H184,0)</f>
        <v/>
      </c>
      <c r="R183" s="262">
        <f>IF(OR(F184=87201,F184=87100,F184=87200,F184=87500),H184,0)</f>
        <v/>
      </c>
      <c r="S183" s="83">
        <f>IF(E184&gt;0,COUNTIF($E$121:E184,"&gt;0"),0)</f>
        <v/>
      </c>
    </row>
    <row r="184" ht="15" customHeight="1" s="402">
      <c r="A184" s="80" t="n">
        <v>0</v>
      </c>
      <c r="B184" s="80" t="n"/>
      <c r="C184" s="80" t="n">
        <v>0</v>
      </c>
      <c r="D184" s="80" t="n">
        <v>0</v>
      </c>
      <c r="E184" s="257" t="n">
        <v>0</v>
      </c>
      <c r="F184" s="258" t="n">
        <v>0</v>
      </c>
      <c r="G184" s="130" t="n">
        <v>0</v>
      </c>
      <c r="H184" s="259" t="n">
        <v>0</v>
      </c>
      <c r="I184" s="259" t="n">
        <v>0</v>
      </c>
      <c r="J184" s="259" t="n">
        <v>0</v>
      </c>
      <c r="K184" s="259" t="n">
        <v>0</v>
      </c>
      <c r="L184" s="260">
        <f>IF(E185&gt;0,$H$4,0)</f>
        <v/>
      </c>
      <c r="M184" s="261" t="n">
        <v>0</v>
      </c>
      <c r="N184" s="258" t="n"/>
      <c r="O184" s="258" t="n"/>
      <c r="P184" s="83">
        <f>IF(E185&gt;0,COUNTIF($E$17:E185,"&gt;0"),0)</f>
        <v/>
      </c>
      <c r="Q184" s="262">
        <f>IF(OR(F185=47201,F185=47100,F185=47200,F185=47500),H185,0)</f>
        <v/>
      </c>
      <c r="R184" s="262">
        <f>IF(OR(F185=87201,F185=87100,F185=87200,F185=87500),H185,0)</f>
        <v/>
      </c>
      <c r="S184" s="83">
        <f>IF(E185&gt;0,COUNTIF($E$121:E185,"&gt;0"),0)</f>
        <v/>
      </c>
    </row>
    <row r="185" ht="15" customHeight="1" s="402">
      <c r="A185" s="79" t="n">
        <v>0</v>
      </c>
      <c r="B185" s="79" t="n"/>
      <c r="C185" s="79" t="n">
        <v>0</v>
      </c>
      <c r="D185" s="79" t="n">
        <v>0</v>
      </c>
      <c r="E185" s="257" t="n">
        <v>0</v>
      </c>
      <c r="F185" s="258" t="n">
        <v>0</v>
      </c>
      <c r="G185" s="128" t="n">
        <v>0</v>
      </c>
      <c r="H185" s="259" t="n">
        <v>0</v>
      </c>
      <c r="I185" s="259" t="n">
        <v>0</v>
      </c>
      <c r="J185" s="259" t="n">
        <v>0</v>
      </c>
      <c r="K185" s="259" t="n">
        <v>0</v>
      </c>
      <c r="L185" s="260">
        <f>IF(E186&gt;0,$H$4,0)</f>
        <v/>
      </c>
      <c r="M185" s="263" t="n">
        <v>0</v>
      </c>
      <c r="N185" s="258" t="n"/>
      <c r="O185" s="258" t="n"/>
      <c r="P185" s="83">
        <f>IF(E186&gt;0,COUNTIF($E$17:E186,"&gt;0"),0)</f>
        <v/>
      </c>
      <c r="Q185" s="262">
        <f>IF(OR(F186=47201,F186=47100,F186=47200,F186=47500),H186,0)</f>
        <v/>
      </c>
      <c r="R185" s="262">
        <f>IF(OR(F186=87201,F186=87100,F186=87200,F186=87500),H186,0)</f>
        <v/>
      </c>
      <c r="S185" s="83">
        <f>IF(E186&gt;0,COUNTIF($E$121:E186,"&gt;0"),0)</f>
        <v/>
      </c>
    </row>
    <row r="186" ht="15" customHeight="1" s="402">
      <c r="A186" s="80" t="n">
        <v>0</v>
      </c>
      <c r="B186" s="80" t="n"/>
      <c r="C186" s="80" t="n">
        <v>0</v>
      </c>
      <c r="D186" s="80" t="n">
        <v>0</v>
      </c>
      <c r="E186" s="257" t="n">
        <v>0</v>
      </c>
      <c r="F186" s="258" t="n">
        <v>0</v>
      </c>
      <c r="G186" s="130" t="n">
        <v>0</v>
      </c>
      <c r="H186" s="259" t="n">
        <v>0</v>
      </c>
      <c r="I186" s="259" t="n">
        <v>0</v>
      </c>
      <c r="J186" s="259" t="n">
        <v>0</v>
      </c>
      <c r="K186" s="259" t="n">
        <v>0</v>
      </c>
      <c r="L186" s="260">
        <f>IF(E187&gt;0,$H$4,0)</f>
        <v/>
      </c>
      <c r="M186" s="261" t="n">
        <v>0</v>
      </c>
      <c r="N186" s="258" t="n"/>
      <c r="O186" s="258" t="n"/>
      <c r="P186" s="83">
        <f>IF(E187&gt;0,COUNTIF($E$17:E187,"&gt;0"),0)</f>
        <v/>
      </c>
      <c r="Q186" s="262">
        <f>IF(OR(F187=47201,F187=47100,F187=47200,F187=47500),H187,0)</f>
        <v/>
      </c>
      <c r="R186" s="262">
        <f>IF(OR(F187=87201,F187=87100,F187=87200,F187=87500),H187,0)</f>
        <v/>
      </c>
      <c r="S186" s="83">
        <f>IF(E187&gt;0,COUNTIF($E$121:E187,"&gt;0"),0)</f>
        <v/>
      </c>
    </row>
    <row r="187" ht="15" customHeight="1" s="402">
      <c r="A187" s="79" t="n">
        <v>0</v>
      </c>
      <c r="B187" s="79" t="n"/>
      <c r="C187" s="79" t="n">
        <v>0</v>
      </c>
      <c r="D187" s="79" t="n">
        <v>0</v>
      </c>
      <c r="E187" s="257" t="n">
        <v>0</v>
      </c>
      <c r="F187" s="258" t="n">
        <v>0</v>
      </c>
      <c r="G187" s="128" t="n">
        <v>0</v>
      </c>
      <c r="H187" s="259" t="n">
        <v>0</v>
      </c>
      <c r="I187" s="259" t="n">
        <v>0</v>
      </c>
      <c r="J187" s="259" t="n">
        <v>0</v>
      </c>
      <c r="K187" s="259" t="n">
        <v>0</v>
      </c>
      <c r="L187" s="260">
        <f>IF(E188&gt;0,$H$4,0)</f>
        <v/>
      </c>
      <c r="M187" s="263" t="n">
        <v>0</v>
      </c>
      <c r="N187" s="258" t="n"/>
      <c r="O187" s="258" t="n"/>
      <c r="P187" s="83">
        <f>IF(E188&gt;0,COUNTIF($E$17:E188,"&gt;0"),0)</f>
        <v/>
      </c>
      <c r="Q187" s="262">
        <f>IF(OR(F188=47201,F188=47100,F188=47200,F188=47500),H188,0)</f>
        <v/>
      </c>
      <c r="R187" s="262">
        <f>IF(OR(F188=87201,F188=87100,F188=87200,F188=87500),H188,0)</f>
        <v/>
      </c>
      <c r="S187" s="83">
        <f>IF(E188&gt;0,COUNTIF($E$121:E188,"&gt;0"),0)</f>
        <v/>
      </c>
    </row>
    <row r="188" ht="15" customHeight="1" s="402">
      <c r="A188" s="80" t="n">
        <v>0</v>
      </c>
      <c r="B188" s="80" t="n"/>
      <c r="C188" s="80" t="n">
        <v>0</v>
      </c>
      <c r="D188" s="80" t="n">
        <v>0</v>
      </c>
      <c r="E188" s="257" t="n">
        <v>0</v>
      </c>
      <c r="F188" s="258" t="n">
        <v>0</v>
      </c>
      <c r="G188" s="130" t="n">
        <v>0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60">
        <f>IF(E189&gt;0,$H$4,0)</f>
        <v/>
      </c>
      <c r="M188" s="261" t="n">
        <v>0</v>
      </c>
      <c r="N188" s="258" t="n"/>
      <c r="O188" s="258" t="n"/>
      <c r="P188" s="83">
        <f>IF(E189&gt;0,COUNTIF($E$17:E189,"&gt;0"),0)</f>
        <v/>
      </c>
      <c r="Q188" s="262">
        <f>IF(OR(F189=47201,F189=47100,F189=47200,F189=47500),H189,0)</f>
        <v/>
      </c>
      <c r="R188" s="262">
        <f>IF(OR(F189=87201,F189=87100,F189=87200,F189=87500),H189,0)</f>
        <v/>
      </c>
      <c r="S188" s="83">
        <f>IF(E189&gt;0,COUNTIF($E$121:E189,"&gt;0"),0)</f>
        <v/>
      </c>
    </row>
    <row r="189" ht="15" customHeight="1" s="402">
      <c r="A189" s="79" t="n">
        <v>0</v>
      </c>
      <c r="B189" s="79" t="n"/>
      <c r="C189" s="79" t="n">
        <v>0</v>
      </c>
      <c r="D189" s="79" t="n">
        <v>0</v>
      </c>
      <c r="E189" s="257" t="n">
        <v>0</v>
      </c>
      <c r="F189" s="258" t="n">
        <v>0</v>
      </c>
      <c r="G189" s="128" t="n">
        <v>0</v>
      </c>
      <c r="H189" s="259" t="n">
        <v>0</v>
      </c>
      <c r="I189" s="259" t="n">
        <v>0</v>
      </c>
      <c r="J189" s="259" t="n">
        <v>0</v>
      </c>
      <c r="K189" s="259" t="n">
        <v>0</v>
      </c>
      <c r="L189" s="260">
        <f>IF(E190&gt;0,$H$4,0)</f>
        <v/>
      </c>
      <c r="M189" s="263" t="n">
        <v>0</v>
      </c>
      <c r="N189" s="258" t="n"/>
      <c r="O189" s="258" t="n"/>
      <c r="P189" s="83">
        <f>IF(E190&gt;0,COUNTIF($E$17:E190,"&gt;0"),0)</f>
        <v/>
      </c>
      <c r="Q189" s="262">
        <f>IF(OR(F190=47201,F190=47100,F190=47200,F190=47500),H190,0)</f>
        <v/>
      </c>
      <c r="R189" s="262">
        <f>IF(OR(F190=87201,F190=87100,F190=87200,F190=87500),H190,0)</f>
        <v/>
      </c>
      <c r="S189" s="83">
        <f>IF(E190&gt;0,COUNTIF($E$121:E190,"&gt;0"),0)</f>
        <v/>
      </c>
    </row>
    <row r="190" ht="15" customHeight="1" s="402">
      <c r="A190" s="80" t="n">
        <v>0</v>
      </c>
      <c r="B190" s="80" t="n"/>
      <c r="C190" s="80" t="n">
        <v>0</v>
      </c>
      <c r="D190" s="80" t="n">
        <v>0</v>
      </c>
      <c r="E190" s="257" t="n">
        <v>0</v>
      </c>
      <c r="F190" s="258" t="n">
        <v>0</v>
      </c>
      <c r="G190" s="130" t="n">
        <v>0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60">
        <f>IF(E191&gt;0,$H$4,0)</f>
        <v/>
      </c>
      <c r="M190" s="261" t="n">
        <v>0</v>
      </c>
      <c r="N190" s="258" t="n"/>
      <c r="O190" s="258" t="n"/>
      <c r="P190" s="83">
        <f>IF(E191&gt;0,COUNTIF($E$17:E191,"&gt;0"),0)</f>
        <v/>
      </c>
      <c r="Q190" s="262">
        <f>IF(OR(F191=47201,F191=47100,F191=47200,F191=47500),H191,0)</f>
        <v/>
      </c>
      <c r="R190" s="262">
        <f>IF(OR(F191=87201,F191=87100,F191=87200,F191=87500),H191,0)</f>
        <v/>
      </c>
      <c r="S190" s="83">
        <f>IF(E191&gt;0,COUNTIF($E$121:E191,"&gt;0"),0)</f>
        <v/>
      </c>
    </row>
    <row r="191" ht="15" customHeight="1" s="402">
      <c r="A191" s="79" t="n">
        <v>0</v>
      </c>
      <c r="B191" s="79" t="n"/>
      <c r="C191" s="79" t="n">
        <v>0</v>
      </c>
      <c r="D191" s="79" t="n">
        <v>0</v>
      </c>
      <c r="E191" s="257" t="n">
        <v>0</v>
      </c>
      <c r="F191" s="258" t="n">
        <v>0</v>
      </c>
      <c r="G191" s="128" t="n">
        <v>0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60">
        <f>IF(E192&gt;0,$H$4,0)</f>
        <v/>
      </c>
      <c r="M191" s="263" t="n">
        <v>0</v>
      </c>
      <c r="N191" s="258" t="n"/>
      <c r="O191" s="258" t="n"/>
      <c r="P191" s="83">
        <f>IF(E192&gt;0,COUNTIF($E$17:E192,"&gt;0"),0)</f>
        <v/>
      </c>
      <c r="Q191" s="262">
        <f>IF(OR(F192=47201,F192=47100,F192=47200,F192=47500),H192,0)</f>
        <v/>
      </c>
      <c r="R191" s="262">
        <f>IF(OR(F192=87201,F192=87100,F192=87200,F192=87500),H192,0)</f>
        <v/>
      </c>
      <c r="S191" s="83">
        <f>IF(E192&gt;0,COUNTIF($E$121:E192,"&gt;0"),0)</f>
        <v/>
      </c>
    </row>
    <row r="192" ht="15" customHeight="1" s="402">
      <c r="A192" s="80" t="n">
        <v>0</v>
      </c>
      <c r="B192" s="80" t="n"/>
      <c r="C192" s="80" t="n">
        <v>0</v>
      </c>
      <c r="D192" s="80" t="n">
        <v>0</v>
      </c>
      <c r="E192" s="257" t="n">
        <v>0</v>
      </c>
      <c r="F192" s="258" t="n">
        <v>0</v>
      </c>
      <c r="G192" s="130">
        <f>G98</f>
        <v/>
      </c>
      <c r="H192" s="259">
        <f>H98</f>
        <v/>
      </c>
      <c r="I192" s="259">
        <f>I98</f>
        <v/>
      </c>
      <c r="J192" s="259">
        <f>J98</f>
        <v/>
      </c>
      <c r="K192" s="259">
        <f>K98</f>
        <v/>
      </c>
      <c r="L192" s="260">
        <f>IF(E193&gt;0,$H$4,0)</f>
        <v/>
      </c>
      <c r="M192" s="261" t="n">
        <v>0</v>
      </c>
      <c r="N192" s="258" t="n"/>
      <c r="O192" s="258" t="n"/>
      <c r="P192" s="83">
        <f>IF(E193&gt;0,COUNTIF($E$17:E193,"&gt;0"),0)</f>
        <v/>
      </c>
      <c r="Q192" s="262">
        <f>IF(OR(F193=47201,F193=47100,F193=47200,F193=47500),H193,0)</f>
        <v/>
      </c>
      <c r="R192" s="262">
        <f>IF(OR(F193=87201,F193=87100,F193=87200,F193=87500),H193,0)</f>
        <v/>
      </c>
      <c r="S192" s="83">
        <f>IF(E193&gt;0,COUNTIF($E$121:E193,"&gt;0"),0)</f>
        <v/>
      </c>
    </row>
    <row r="193" ht="15" customHeight="1" s="402">
      <c r="A193" s="79" t="n">
        <v>0</v>
      </c>
      <c r="B193" s="79" t="n"/>
      <c r="C193" s="79" t="n">
        <v>0</v>
      </c>
      <c r="D193" s="79" t="n">
        <v>0</v>
      </c>
      <c r="E193" s="257" t="n">
        <v>0</v>
      </c>
      <c r="F193" s="258" t="n">
        <v>0</v>
      </c>
      <c r="G193" s="128">
        <f>G99</f>
        <v/>
      </c>
      <c r="H193" s="259">
        <f>H99</f>
        <v/>
      </c>
      <c r="I193" s="259">
        <f>I99</f>
        <v/>
      </c>
      <c r="J193" s="259">
        <f>J99</f>
        <v/>
      </c>
      <c r="K193" s="259">
        <f>K99</f>
        <v/>
      </c>
      <c r="L193" s="260">
        <f>IF(E194&gt;0,$H$4,0)</f>
        <v/>
      </c>
      <c r="M193" s="263" t="n">
        <v>0</v>
      </c>
      <c r="N193" s="258" t="n"/>
      <c r="O193" s="258" t="n"/>
      <c r="P193" s="83">
        <f>IF(E194&gt;0,COUNTIF($E$17:E194,"&gt;0"),0)</f>
        <v/>
      </c>
      <c r="Q193" s="262">
        <f>IF(OR(F194=47201,F194=47100,F194=47200,F194=47500),H194,0)</f>
        <v/>
      </c>
      <c r="R193" s="262">
        <f>IF(OR(F194=87201,F194=87100,F194=87200,F194=87500),H194,0)</f>
        <v/>
      </c>
      <c r="S193" s="83">
        <f>IF(E194&gt;0,COUNTIF($E$121:E194,"&gt;0"),0)</f>
        <v/>
      </c>
    </row>
    <row r="194" ht="15" customHeight="1" s="402">
      <c r="A194" s="80" t="n">
        <v>0</v>
      </c>
      <c r="B194" s="80" t="n"/>
      <c r="C194" s="80" t="n">
        <v>0</v>
      </c>
      <c r="D194" s="80" t="n">
        <v>0</v>
      </c>
      <c r="E194" s="257" t="n">
        <v>0</v>
      </c>
      <c r="F194" s="258" t="n">
        <v>0</v>
      </c>
      <c r="G194" s="130">
        <f>G100</f>
        <v/>
      </c>
      <c r="H194" s="259">
        <f>H100</f>
        <v/>
      </c>
      <c r="I194" s="259">
        <f>I100</f>
        <v/>
      </c>
      <c r="J194" s="259">
        <f>J100</f>
        <v/>
      </c>
      <c r="K194" s="259">
        <f>K100</f>
        <v/>
      </c>
      <c r="L194" s="260">
        <f>IF(E195&gt;0,$H$4,0)</f>
        <v/>
      </c>
      <c r="M194" s="261" t="n">
        <v>0</v>
      </c>
      <c r="N194" s="258" t="n"/>
      <c r="O194" s="258" t="n"/>
      <c r="P194" s="83">
        <f>IF(E195&gt;0,COUNTIF($E$17:E195,"&gt;0"),0)</f>
        <v/>
      </c>
      <c r="Q194" s="262">
        <f>IF(OR(F195=47201,F195=47100,F195=47200,F195=47500),H195,0)</f>
        <v/>
      </c>
      <c r="R194" s="262">
        <f>IF(OR(F195=87201,F195=87100,F195=87200,F195=87500),H195,0)</f>
        <v/>
      </c>
      <c r="S194" s="83">
        <f>IF(E195&gt;0,COUNTIF($E$121:E195,"&gt;0"),0)</f>
        <v/>
      </c>
    </row>
    <row r="195" ht="15" customHeight="1" s="402">
      <c r="A195" s="79" t="n">
        <v>0</v>
      </c>
      <c r="B195" s="79" t="n"/>
      <c r="C195" s="79" t="n">
        <v>0</v>
      </c>
      <c r="D195" s="79" t="n">
        <v>0</v>
      </c>
      <c r="E195" s="257" t="n">
        <v>0</v>
      </c>
      <c r="F195" s="258" t="n">
        <v>0</v>
      </c>
      <c r="G195" s="128">
        <f>G101</f>
        <v/>
      </c>
      <c r="H195" s="259">
        <f>H101</f>
        <v/>
      </c>
      <c r="I195" s="259">
        <f>I101</f>
        <v/>
      </c>
      <c r="J195" s="259">
        <f>J101</f>
        <v/>
      </c>
      <c r="K195" s="259">
        <f>K101</f>
        <v/>
      </c>
      <c r="L195" s="260">
        <f>IF(E196&gt;0,$H$4,0)</f>
        <v/>
      </c>
      <c r="M195" s="263" t="n">
        <v>0</v>
      </c>
      <c r="N195" s="258" t="n"/>
      <c r="O195" s="258" t="n"/>
      <c r="P195" s="83">
        <f>IF(E196&gt;0,COUNTIF($E$17:E196,"&gt;0"),0)</f>
        <v/>
      </c>
      <c r="Q195" s="262">
        <f>IF(OR(F196=47201,F196=47100,F196=47200,F196=47500),H196,0)</f>
        <v/>
      </c>
      <c r="R195" s="262">
        <f>IF(OR(F196=87201,F196=87100,F196=87200,F196=87500),H196,0)</f>
        <v/>
      </c>
      <c r="S195" s="83">
        <f>IF(E196&gt;0,COUNTIF($E$121:E196,"&gt;0"),0)</f>
        <v/>
      </c>
    </row>
    <row r="196" ht="15" customHeight="1" s="402">
      <c r="A196" s="80" t="n">
        <v>0</v>
      </c>
      <c r="B196" s="80" t="n"/>
      <c r="C196" s="80" t="n">
        <v>0</v>
      </c>
      <c r="D196" s="80" t="n">
        <v>0</v>
      </c>
      <c r="E196" s="257" t="n">
        <v>0</v>
      </c>
      <c r="F196" s="258" t="n">
        <v>0</v>
      </c>
      <c r="G196" s="130">
        <f>G102</f>
        <v/>
      </c>
      <c r="H196" s="259">
        <f>H102</f>
        <v/>
      </c>
      <c r="I196" s="259">
        <f>I102</f>
        <v/>
      </c>
      <c r="J196" s="259">
        <f>J102</f>
        <v/>
      </c>
      <c r="K196" s="259">
        <f>K102</f>
        <v/>
      </c>
      <c r="L196" s="260">
        <f>IF(E197&gt;0,$H$4,0)</f>
        <v/>
      </c>
      <c r="M196" s="261" t="n">
        <v>0</v>
      </c>
      <c r="N196" s="258" t="n"/>
      <c r="O196" s="258" t="n"/>
      <c r="P196" s="83">
        <f>IF(E197&gt;0,COUNTIF($E$17:E197,"&gt;0"),0)</f>
        <v/>
      </c>
      <c r="Q196" s="262">
        <f>IF(OR(F197=47201,F197=47100,F197=47200,F197=47500),H197,0)</f>
        <v/>
      </c>
      <c r="R196" s="262">
        <f>IF(OR(F197=87201,F197=87100,F197=87200,F197=87500),H197,0)</f>
        <v/>
      </c>
      <c r="S196" s="83">
        <f>IF(E197&gt;0,COUNTIF($E$121:E197,"&gt;0"),0)</f>
        <v/>
      </c>
    </row>
    <row r="197" ht="15" customHeight="1" s="402">
      <c r="A197" s="79" t="n">
        <v>0</v>
      </c>
      <c r="B197" s="79" t="n"/>
      <c r="C197" s="79" t="n">
        <v>0</v>
      </c>
      <c r="D197" s="79" t="n">
        <v>0</v>
      </c>
      <c r="E197" s="257" t="n">
        <v>0</v>
      </c>
      <c r="F197" s="258" t="n">
        <v>0</v>
      </c>
      <c r="G197" s="128">
        <f>G103</f>
        <v/>
      </c>
      <c r="H197" s="259">
        <f>H103</f>
        <v/>
      </c>
      <c r="I197" s="259">
        <f>I103</f>
        <v/>
      </c>
      <c r="J197" s="259">
        <f>J103</f>
        <v/>
      </c>
      <c r="K197" s="259">
        <f>K103</f>
        <v/>
      </c>
      <c r="L197" s="260">
        <f>IF(E198&gt;0,$H$4,0)</f>
        <v/>
      </c>
      <c r="M197" s="263" t="n">
        <v>0</v>
      </c>
      <c r="N197" s="258" t="n"/>
      <c r="O197" s="258" t="n"/>
      <c r="P197" s="83">
        <f>IF(E198&gt;0,COUNTIF($E$17:E198,"&gt;0"),0)</f>
        <v/>
      </c>
      <c r="Q197" s="262">
        <f>IF(OR(F198=47201,F198=47100,F198=47200,F198=47500),H198,0)</f>
        <v/>
      </c>
      <c r="R197" s="262">
        <f>IF(OR(F198=87201,F198=87100,F198=87200,F198=87500),H198,0)</f>
        <v/>
      </c>
      <c r="S197" s="83">
        <f>IF(E198&gt;0,COUNTIF($E$121:E198,"&gt;0"),0)</f>
        <v/>
      </c>
    </row>
    <row r="198" ht="15" customHeight="1" s="402">
      <c r="A198" s="80" t="n">
        <v>0</v>
      </c>
      <c r="B198" s="80" t="n"/>
      <c r="C198" s="80" t="n">
        <v>0</v>
      </c>
      <c r="D198" s="80" t="n">
        <v>0</v>
      </c>
      <c r="E198" s="257" t="n">
        <v>0</v>
      </c>
      <c r="F198" s="258" t="n">
        <v>0</v>
      </c>
      <c r="G198" s="130">
        <f>G104</f>
        <v/>
      </c>
      <c r="H198" s="259">
        <f>H104</f>
        <v/>
      </c>
      <c r="I198" s="259">
        <f>I104</f>
        <v/>
      </c>
      <c r="J198" s="259">
        <f>J104</f>
        <v/>
      </c>
      <c r="K198" s="259">
        <f>K104</f>
        <v/>
      </c>
      <c r="L198" s="260">
        <f>IF(E199&gt;0,$H$4,0)</f>
        <v/>
      </c>
      <c r="M198" s="261" t="n">
        <v>0</v>
      </c>
      <c r="N198" s="258" t="n"/>
      <c r="O198" s="258" t="n"/>
      <c r="P198" s="83">
        <f>IF(E199&gt;0,COUNTIF($E$17:E199,"&gt;0"),0)</f>
        <v/>
      </c>
      <c r="Q198" s="262">
        <f>IF(OR(F199=47201,F199=47100,F199=47200,F199=47500),H199,0)</f>
        <v/>
      </c>
      <c r="R198" s="262">
        <f>IF(OR(F199=87201,F199=87100,F199=87200,F199=87500),H199,0)</f>
        <v/>
      </c>
      <c r="S198" s="83">
        <f>IF(E199&gt;0,COUNTIF($E$121:E199,"&gt;0"),0)</f>
        <v/>
      </c>
    </row>
    <row r="199" ht="15" customHeight="1" s="402">
      <c r="A199" s="79" t="n">
        <v>0</v>
      </c>
      <c r="B199" s="79" t="n"/>
      <c r="C199" s="79" t="n">
        <v>0</v>
      </c>
      <c r="D199" s="79" t="n">
        <v>0</v>
      </c>
      <c r="E199" s="257" t="n">
        <v>0</v>
      </c>
      <c r="F199" s="258" t="n">
        <v>0</v>
      </c>
      <c r="G199" s="128">
        <f>G105</f>
        <v/>
      </c>
      <c r="H199" s="259">
        <f>H105</f>
        <v/>
      </c>
      <c r="I199" s="259">
        <f>I105</f>
        <v/>
      </c>
      <c r="J199" s="259">
        <f>J105</f>
        <v/>
      </c>
      <c r="K199" s="259">
        <f>K105</f>
        <v/>
      </c>
      <c r="L199" s="260">
        <f>IF(E200&gt;0,$H$4,0)</f>
        <v/>
      </c>
      <c r="M199" s="263" t="n">
        <v>0</v>
      </c>
      <c r="N199" s="258" t="n"/>
      <c r="O199" s="258" t="n"/>
      <c r="P199" s="83">
        <f>IF(E200&gt;0,COUNTIF($E$17:E200,"&gt;0"),0)</f>
        <v/>
      </c>
      <c r="Q199" s="262">
        <f>IF(OR(F200=47201,F200=47100,F200=47200,F200=47500),H200,0)</f>
        <v/>
      </c>
      <c r="R199" s="262">
        <f>IF(OR(F200=87201,F200=87100,F200=87200,F200=87500),H200,0)</f>
        <v/>
      </c>
      <c r="S199" s="83">
        <f>IF(E200&gt;0,COUNTIF($E$121:E200,"&gt;0"),0)</f>
        <v/>
      </c>
    </row>
    <row r="200" ht="15" customHeight="1" s="402">
      <c r="A200" s="80" t="n">
        <v>0</v>
      </c>
      <c r="B200" s="80" t="n"/>
      <c r="C200" s="80" t="n">
        <v>0</v>
      </c>
      <c r="D200" s="80" t="n">
        <v>0</v>
      </c>
      <c r="E200" s="257" t="n">
        <v>0</v>
      </c>
      <c r="F200" s="258" t="n">
        <v>0</v>
      </c>
      <c r="G200" s="130">
        <f>G106</f>
        <v/>
      </c>
      <c r="H200" s="259">
        <f>H106</f>
        <v/>
      </c>
      <c r="I200" s="259">
        <f>I106</f>
        <v/>
      </c>
      <c r="J200" s="259">
        <f>J106</f>
        <v/>
      </c>
      <c r="K200" s="259">
        <f>K106</f>
        <v/>
      </c>
      <c r="L200" s="260">
        <f>IF(E201&gt;0,$H$4,0)</f>
        <v/>
      </c>
      <c r="M200" s="261" t="n">
        <v>0</v>
      </c>
      <c r="N200" s="258" t="n"/>
      <c r="O200" s="258" t="n"/>
      <c r="P200" s="83">
        <f>IF(E201&gt;0,COUNTIF($E$17:E201,"&gt;0"),0)</f>
        <v/>
      </c>
      <c r="Q200" s="262">
        <f>IF(OR(F201=47201,F201=47100,F201=47200,F201=47500),H201,0)</f>
        <v/>
      </c>
      <c r="R200" s="262">
        <f>IF(OR(F201=87201,F201=87100,F201=87200,F201=87500),H201,0)</f>
        <v/>
      </c>
      <c r="S200" s="83">
        <f>IF(E201&gt;0,COUNTIF($E$121:E201,"&gt;0"),0)</f>
        <v/>
      </c>
    </row>
    <row r="201" ht="15" customHeight="1" s="402">
      <c r="A201" s="79" t="n">
        <v>0</v>
      </c>
      <c r="B201" s="79" t="n"/>
      <c r="C201" s="79" t="n">
        <v>0</v>
      </c>
      <c r="D201" s="79" t="n">
        <v>0</v>
      </c>
      <c r="E201" s="257" t="n">
        <v>0</v>
      </c>
      <c r="F201" s="258" t="n">
        <v>0</v>
      </c>
      <c r="G201" s="128">
        <f>G107</f>
        <v/>
      </c>
      <c r="H201" s="259">
        <f>H107</f>
        <v/>
      </c>
      <c r="I201" s="259">
        <f>I107</f>
        <v/>
      </c>
      <c r="J201" s="259">
        <f>J107</f>
        <v/>
      </c>
      <c r="K201" s="259">
        <f>K107</f>
        <v/>
      </c>
      <c r="L201" s="260">
        <f>IF(E202&gt;0,$H$4,0)</f>
        <v/>
      </c>
      <c r="M201" s="263" t="n">
        <v>0</v>
      </c>
      <c r="N201" s="258" t="n"/>
      <c r="O201" s="258" t="n"/>
      <c r="P201" s="83">
        <f>IF(E202&gt;0,COUNTIF($E$17:E202,"&gt;0"),0)</f>
        <v/>
      </c>
      <c r="Q201" s="262">
        <f>IF(OR(F202=47201,F202=47100,F202=47200,F202=47500),H202,0)</f>
        <v/>
      </c>
      <c r="R201" s="262">
        <f>IF(OR(F202=87201,F202=87100,F202=87200,F202=87500),H202,0)</f>
        <v/>
      </c>
      <c r="S201" s="83">
        <f>IF(E202&gt;0,COUNTIF($E$121:E202,"&gt;0"),0)</f>
        <v/>
      </c>
    </row>
    <row r="202" ht="15" customHeight="1" s="402">
      <c r="A202" s="80" t="n">
        <v>0</v>
      </c>
      <c r="B202" s="80" t="n"/>
      <c r="C202" s="80" t="n">
        <v>0</v>
      </c>
      <c r="D202" s="80" t="n">
        <v>0</v>
      </c>
      <c r="E202" s="257" t="n">
        <v>0</v>
      </c>
      <c r="F202" s="258" t="n">
        <v>0</v>
      </c>
      <c r="G202" s="130">
        <f>IFERROR(VLOOKUP(E203,Tabellen!A:F,2),0)</f>
        <v/>
      </c>
      <c r="H202" s="259" t="n">
        <v>0</v>
      </c>
      <c r="I202" s="259" t="n">
        <v>0</v>
      </c>
      <c r="J202" s="259" t="n">
        <v>0</v>
      </c>
      <c r="K202" s="259" t="n">
        <v>0</v>
      </c>
      <c r="L202" s="260">
        <f>IF(E203&gt;0,$H$4,0)</f>
        <v/>
      </c>
      <c r="M202" s="261" t="n">
        <v>0</v>
      </c>
      <c r="N202" s="258" t="n"/>
      <c r="O202" s="258" t="n"/>
      <c r="P202" s="83">
        <f>IF(E203&gt;0,COUNTIF($E$17:E203,"&gt;0"),0)</f>
        <v/>
      </c>
      <c r="Q202" s="262">
        <f>IF(OR(F203=47201,F203=47100,F203=47200,F203=47500),H203,0)</f>
        <v/>
      </c>
      <c r="R202" s="262">
        <f>IF(OR(F203=87201,F203=87100,F203=87200,F203=87500),H203,0)</f>
        <v/>
      </c>
      <c r="S202" s="83">
        <f>IF(E203&gt;0,COUNTIF($E$121:E203,"&gt;0"),0)</f>
        <v/>
      </c>
    </row>
    <row r="203" ht="15" customHeight="1" s="402">
      <c r="A203" s="79" t="n">
        <v>0</v>
      </c>
      <c r="B203" s="79" t="n"/>
      <c r="C203" s="79" t="n">
        <v>0</v>
      </c>
      <c r="D203" s="79" t="n">
        <v>0</v>
      </c>
      <c r="E203" s="257" t="n">
        <v>0</v>
      </c>
      <c r="F203" s="258" t="n">
        <v>0</v>
      </c>
      <c r="G203" s="128" t="n">
        <v>0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60">
        <f>IF(E204&gt;0,$H$4,0)</f>
        <v/>
      </c>
      <c r="M203" s="263" t="n">
        <v>0</v>
      </c>
      <c r="N203" s="258" t="n"/>
      <c r="O203" s="258" t="n"/>
      <c r="P203" s="83">
        <f>IF(E204&gt;0,COUNTIF($E$17:E204,"&gt;0"),0)</f>
        <v/>
      </c>
      <c r="Q203" s="262">
        <f>IF(OR(F204=47201,F204=47100,F204=47200,F204=47500),H204,0)</f>
        <v/>
      </c>
      <c r="R203" s="262">
        <f>IF(OR(F204=87201,F204=87100,F204=87200,F204=87500),H204,0)</f>
        <v/>
      </c>
      <c r="S203" s="83">
        <f>IF(E204&gt;0,COUNTIF($E$121:E204,"&gt;0"),0)</f>
        <v/>
      </c>
    </row>
    <row r="204" ht="15" customHeight="1" s="402">
      <c r="A204" s="80" t="n"/>
      <c r="B204" s="80" t="n"/>
      <c r="C204" s="80" t="n"/>
      <c r="D204" s="80" t="n"/>
      <c r="E204" s="257" t="n"/>
      <c r="F204" s="258" t="n"/>
      <c r="G204" s="130" t="n"/>
      <c r="H204" s="259" t="n"/>
      <c r="I204" s="259" t="n"/>
      <c r="J204" s="259" t="n"/>
      <c r="K204" s="259" t="n"/>
      <c r="L204" s="260">
        <f>IF(E205&gt;0,$H$4,0)</f>
        <v/>
      </c>
      <c r="M204" s="261">
        <f>IFERROR(VLOOKUP(F205,Tabellen!H:I,2),0)</f>
        <v/>
      </c>
      <c r="N204" s="258" t="n"/>
      <c r="O204" s="258" t="n"/>
      <c r="P204" s="83">
        <f>IF(E205&gt;0,COUNTIF($E$17:E205,"&gt;0"),0)</f>
        <v/>
      </c>
      <c r="Q204" s="262">
        <f>IF(OR(F205=47201,F205=47100,F205=47200,F205=47500),H205,0)</f>
        <v/>
      </c>
      <c r="R204" s="262">
        <f>IF(OR(F205=87201,F205=87100,F205=87200,F205=87500),H205,0)</f>
        <v/>
      </c>
      <c r="S204" s="83">
        <f>IF(E205&gt;0,COUNTIF($E$121:E205,"&gt;0"),0)</f>
        <v/>
      </c>
    </row>
    <row r="205" ht="15" customHeight="1" s="402">
      <c r="A205" s="79" t="n"/>
      <c r="B205" s="79" t="n"/>
      <c r="C205" s="79" t="n"/>
      <c r="D205" s="79" t="n"/>
      <c r="E205" s="257" t="n"/>
      <c r="F205" s="258" t="n"/>
      <c r="G205" s="128" t="n"/>
      <c r="H205" s="259" t="n"/>
      <c r="I205" s="259" t="n"/>
      <c r="J205" s="259" t="n"/>
      <c r="K205" s="259" t="n"/>
      <c r="L205" s="260">
        <f>IF(E206&gt;0,$H$4,0)</f>
        <v/>
      </c>
      <c r="M205" s="263">
        <f>IFERROR(VLOOKUP(F206,Tabellen!H:I,2),0)</f>
        <v/>
      </c>
      <c r="N205" s="258" t="n"/>
      <c r="O205" s="258" t="n"/>
      <c r="P205" s="83">
        <f>IF(E206&gt;0,COUNTIF($E$17:E206,"&gt;0"),0)</f>
        <v/>
      </c>
      <c r="Q205" s="262">
        <f>IF(OR(F206=47201,F206=47100,F206=47200,F206=47500),H206,0)</f>
        <v/>
      </c>
      <c r="R205" s="262">
        <f>IF(OR(F206=87201,F206=87100,F206=87200,F206=87500),H206,0)</f>
        <v/>
      </c>
      <c r="S205" s="83">
        <f>IF(E206&gt;0,COUNTIF($E$121:E206,"&gt;0"),0)</f>
        <v/>
      </c>
    </row>
    <row r="206" ht="15" customHeight="1" s="402">
      <c r="A206" s="80" t="n"/>
      <c r="B206" s="80" t="n"/>
      <c r="C206" s="80" t="n"/>
      <c r="D206" s="80" t="n"/>
      <c r="E206" s="257" t="n"/>
      <c r="F206" s="258" t="n"/>
      <c r="G206" s="130" t="n"/>
      <c r="H206" s="259" t="n"/>
      <c r="I206" s="259" t="n"/>
      <c r="J206" s="259" t="n"/>
      <c r="K206" s="259" t="n"/>
      <c r="L206" s="260">
        <f>IF(E207&gt;0,$H$4,0)</f>
        <v/>
      </c>
      <c r="M206" s="261">
        <f>IFERROR(VLOOKUP(F207,Tabellen!H:I,2),0)</f>
        <v/>
      </c>
      <c r="N206" s="258" t="n"/>
      <c r="O206" s="258" t="n"/>
      <c r="P206" s="83">
        <f>IF(E207&gt;0,COUNTIF($E$17:E207,"&gt;0"),0)</f>
        <v/>
      </c>
      <c r="Q206" s="262">
        <f>IF(OR(F207=47201,F207=47100,F207=47200,F207=47500),H207,0)</f>
        <v/>
      </c>
      <c r="R206" s="262">
        <f>IF(OR(F207=87201,F207=87100,F207=87200,F207=87500),H207,0)</f>
        <v/>
      </c>
      <c r="S206" s="83">
        <f>IF(E207&gt;0,COUNTIF($E$121:E207,"&gt;0"),0)</f>
        <v/>
      </c>
    </row>
    <row r="207" ht="15" customHeight="1" s="402">
      <c r="A207" s="79" t="n"/>
      <c r="B207" s="79" t="n"/>
      <c r="C207" s="79" t="n"/>
      <c r="D207" s="79" t="n"/>
      <c r="E207" s="257" t="n"/>
      <c r="F207" s="258" t="n"/>
      <c r="G207" s="128" t="n"/>
      <c r="H207" s="259" t="n"/>
      <c r="I207" s="259" t="n"/>
      <c r="J207" s="259" t="n"/>
      <c r="K207" s="259" t="n"/>
      <c r="L207" s="260">
        <f>IF(E208&gt;0,$H$4,0)</f>
        <v/>
      </c>
      <c r="M207" s="263">
        <f>IFERROR(VLOOKUP(F208,Tabellen!H:I,2),0)</f>
        <v/>
      </c>
      <c r="N207" s="258" t="n"/>
      <c r="O207" s="258" t="n"/>
      <c r="P207" s="83">
        <f>IF(E208&gt;0,COUNTIF($E$17:E208,"&gt;0"),0)</f>
        <v/>
      </c>
      <c r="Q207" s="262">
        <f>IF(OR(F208=47201,F208=47100,F208=47200,F208=47500),H208,0)</f>
        <v/>
      </c>
      <c r="R207" s="262">
        <f>IF(OR(F208=87201,F208=87100,F208=87200,F208=87500),H208,0)</f>
        <v/>
      </c>
      <c r="S207" s="83">
        <f>IF(E208&gt;0,COUNTIF($E$121:E208,"&gt;0"),0)</f>
        <v/>
      </c>
    </row>
    <row r="208" ht="15" customHeight="1" s="402">
      <c r="A208" s="80" t="n"/>
      <c r="B208" s="80" t="n"/>
      <c r="C208" s="80" t="n"/>
      <c r="D208" s="80" t="n"/>
      <c r="E208" s="257" t="n"/>
      <c r="F208" s="258" t="n"/>
      <c r="G208" s="130" t="n"/>
      <c r="H208" s="259" t="n"/>
      <c r="I208" s="259" t="n"/>
      <c r="J208" s="259" t="n"/>
      <c r="K208" s="259" t="n"/>
      <c r="L208" s="260">
        <f>IF(E209&gt;0,$H$4,0)</f>
        <v/>
      </c>
      <c r="M208" s="261">
        <f>IFERROR(VLOOKUP(F209,Tabellen!H:I,2),0)</f>
        <v/>
      </c>
      <c r="N208" s="258" t="n"/>
      <c r="O208" s="258" t="n"/>
      <c r="P208" s="83">
        <f>IF(E209&gt;0,COUNTIF($E$17:E209,"&gt;0"),0)</f>
        <v/>
      </c>
      <c r="Q208" s="262">
        <f>IF(OR(F209=47201,F209=47100,F209=47200,F209=47500),H209,0)</f>
        <v/>
      </c>
      <c r="R208" s="262">
        <f>IF(OR(F209=87201,F209=87100,F209=87200,F209=87500),H209,0)</f>
        <v/>
      </c>
      <c r="S208" s="83">
        <f>IF(E209&gt;0,COUNTIF($E$121:E209,"&gt;0"),0)</f>
        <v/>
      </c>
    </row>
    <row r="209" ht="15" customHeight="1" s="402">
      <c r="A209" s="79" t="n"/>
      <c r="B209" s="79" t="n"/>
      <c r="C209" s="79" t="n"/>
      <c r="D209" s="79" t="n"/>
      <c r="E209" s="257" t="n"/>
      <c r="F209" s="258" t="n"/>
      <c r="G209" s="128" t="n"/>
      <c r="H209" s="259" t="n"/>
      <c r="I209" s="259" t="n"/>
      <c r="J209" s="259" t="n"/>
      <c r="K209" s="259" t="n"/>
      <c r="L209" s="260">
        <f>IF(E210&gt;0,$H$4,0)</f>
        <v/>
      </c>
      <c r="M209" s="263">
        <f>IFERROR(VLOOKUP(F210,Tabellen!H:I,2),0)</f>
        <v/>
      </c>
      <c r="N209" s="258" t="n"/>
      <c r="O209" s="258" t="n"/>
      <c r="P209" s="83">
        <f>IF(E210&gt;0,COUNTIF($E$17:E210,"&gt;0"),0)</f>
        <v/>
      </c>
      <c r="Q209" s="262">
        <f>IF(OR(F210=47201,F210=47100,F210=47200,F210=47500),H210,0)</f>
        <v/>
      </c>
      <c r="R209" s="262">
        <f>IF(OR(F210=87201,F210=87100,F210=87200,F210=87500),H210,0)</f>
        <v/>
      </c>
      <c r="S209" s="83">
        <f>IF(E210&gt;0,COUNTIF($E$121:E210,"&gt;0"),0)</f>
        <v/>
      </c>
    </row>
    <row r="210" ht="15" customHeight="1" s="402">
      <c r="A210" s="80" t="n"/>
      <c r="B210" s="80" t="n"/>
      <c r="C210" s="80" t="n"/>
      <c r="D210" s="80" t="n"/>
      <c r="E210" s="257" t="n"/>
      <c r="F210" s="258" t="n"/>
      <c r="G210" s="130" t="n"/>
      <c r="H210" s="259" t="n"/>
      <c r="I210" s="259" t="n"/>
      <c r="J210" s="259" t="n"/>
      <c r="K210" s="259" t="n"/>
      <c r="L210" s="260">
        <f>IF(E211&gt;0,$H$4,0)</f>
        <v/>
      </c>
      <c r="M210" s="261">
        <f>IFERROR(VLOOKUP(F211,Tabellen!H:I,2),0)</f>
        <v/>
      </c>
      <c r="N210" s="258" t="n"/>
      <c r="O210" s="258" t="n"/>
      <c r="P210" s="83">
        <f>IF(E211&gt;0,COUNTIF($E$17:E211,"&gt;0"),0)</f>
        <v/>
      </c>
      <c r="Q210" s="262">
        <f>IF(OR(F211=47201,F211=47100,F211=47200,F211=47500),H211,0)</f>
        <v/>
      </c>
      <c r="R210" s="262">
        <f>IF(OR(F211=87201,F211=87100,F211=87200,F211=87500),H211,0)</f>
        <v/>
      </c>
      <c r="S210" s="83">
        <f>IF(E211&gt;0,COUNTIF($E$121:E211,"&gt;0"),0)</f>
        <v/>
      </c>
    </row>
    <row r="211" ht="15" customHeight="1" s="402">
      <c r="A211" s="79" t="n"/>
      <c r="B211" s="79" t="n"/>
      <c r="C211" s="79" t="n"/>
      <c r="D211" s="79" t="n"/>
      <c r="E211" s="257" t="n"/>
      <c r="F211" s="258" t="n"/>
      <c r="G211" s="128" t="n"/>
      <c r="H211" s="259" t="n"/>
      <c r="I211" s="259" t="n"/>
      <c r="J211" s="259" t="n"/>
      <c r="K211" s="259" t="n"/>
      <c r="L211" s="260">
        <f>IF(E212&gt;0,$H$4,0)</f>
        <v/>
      </c>
      <c r="M211" s="263">
        <f>IFERROR(VLOOKUP(F212,Tabellen!H:I,2),0)</f>
        <v/>
      </c>
      <c r="N211" s="258" t="n"/>
      <c r="O211" s="258" t="n"/>
      <c r="P211" s="83">
        <f>IF(E212&gt;0,COUNTIF($E$17:E212,"&gt;0"),0)</f>
        <v/>
      </c>
      <c r="Q211" s="262">
        <f>IF(OR(F212=47201,F212=47100,F212=47200,F212=47500),H212,0)</f>
        <v/>
      </c>
      <c r="R211" s="262">
        <f>IF(OR(F212=87201,F212=87100,F212=87200,F212=87500),H212,0)</f>
        <v/>
      </c>
      <c r="S211" s="83">
        <f>IF(E212&gt;0,COUNTIF($E$121:E212,"&gt;0"),0)</f>
        <v/>
      </c>
    </row>
    <row r="212" ht="15" customHeight="1" s="402">
      <c r="A212" s="80" t="n"/>
      <c r="B212" s="80" t="n"/>
      <c r="C212" s="80" t="n"/>
      <c r="D212" s="80" t="n"/>
      <c r="E212" s="257" t="n"/>
      <c r="F212" s="258" t="n"/>
      <c r="G212" s="130" t="n"/>
      <c r="H212" s="259" t="n"/>
      <c r="I212" s="259" t="n"/>
      <c r="J212" s="259" t="n"/>
      <c r="K212" s="259" t="n"/>
      <c r="L212" s="260">
        <f>IF(E213&gt;0,$H$4,0)</f>
        <v/>
      </c>
      <c r="M212" s="261">
        <f>IFERROR(VLOOKUP(F213,Tabellen!H:I,2),0)</f>
        <v/>
      </c>
      <c r="N212" s="258" t="n"/>
      <c r="O212" s="258" t="n"/>
      <c r="P212" s="83">
        <f>IF(E213&gt;0,COUNTIF($E$17:E213,"&gt;0"),0)</f>
        <v/>
      </c>
      <c r="Q212" s="262">
        <f>IF(OR(F213=47201,F213=47100,F213=47200,F213=47500),H213,0)</f>
        <v/>
      </c>
      <c r="R212" s="262">
        <f>IF(OR(F213=87201,F213=87100,F213=87200,F213=87500),H213,0)</f>
        <v/>
      </c>
      <c r="S212" s="83">
        <f>IF(E213&gt;0,COUNTIF($E$121:E213,"&gt;0"),0)</f>
        <v/>
      </c>
    </row>
    <row r="213" ht="15" customHeight="1" s="402">
      <c r="A213" s="79" t="n"/>
      <c r="B213" s="79" t="n"/>
      <c r="C213" s="79" t="n"/>
      <c r="D213" s="79" t="n"/>
      <c r="E213" s="257" t="n"/>
      <c r="F213" s="258" t="n"/>
      <c r="G213" s="128" t="n"/>
      <c r="H213" s="259" t="n"/>
      <c r="I213" s="259" t="n"/>
      <c r="J213" s="259" t="n"/>
      <c r="K213" s="259" t="n"/>
      <c r="L213" s="260">
        <f>IF(E214&gt;0,$H$4,0)</f>
        <v/>
      </c>
      <c r="M213" s="263">
        <f>IFERROR(VLOOKUP(F214,Tabellen!H:I,2),0)</f>
        <v/>
      </c>
      <c r="N213" s="258" t="n"/>
      <c r="O213" s="258" t="n"/>
      <c r="P213" s="83">
        <f>IF(E214&gt;0,COUNTIF($E$17:E214,"&gt;0"),0)</f>
        <v/>
      </c>
      <c r="Q213" s="262">
        <f>IF(OR(F214=47201,F214=47100,F214=47200,F214=47500),H214,0)</f>
        <v/>
      </c>
      <c r="R213" s="262">
        <f>IF(OR(F214=87201,F214=87100,F214=87200,F214=87500),H214,0)</f>
        <v/>
      </c>
      <c r="S213" s="83">
        <f>IF(E214&gt;0,COUNTIF($E$121:E214,"&gt;0"),0)</f>
        <v/>
      </c>
    </row>
    <row r="214" ht="15" customHeight="1" s="402">
      <c r="A214" s="80" t="n"/>
      <c r="B214" s="80" t="n"/>
      <c r="C214" s="80" t="n"/>
      <c r="D214" s="80" t="n"/>
      <c r="E214" s="257" t="n"/>
      <c r="F214" s="258" t="n"/>
      <c r="G214" s="130" t="n"/>
      <c r="H214" s="259" t="n"/>
      <c r="I214" s="259" t="n"/>
      <c r="J214" s="259" t="n"/>
      <c r="K214" s="259" t="n"/>
      <c r="L214" s="260">
        <f>IF(E215&gt;0,$H$4,0)</f>
        <v/>
      </c>
      <c r="M214" s="261">
        <f>IFERROR(VLOOKUP(F215,Tabellen!H:I,2),0)</f>
        <v/>
      </c>
      <c r="N214" s="258" t="n"/>
      <c r="O214" s="258" t="n"/>
      <c r="P214" s="83">
        <f>IF(E215&gt;0,COUNTIF($E$17:E215,"&gt;0"),0)</f>
        <v/>
      </c>
      <c r="Q214" s="262">
        <f>IF(OR(F215=47201,F215=47100,F215=47200,F215=47500),H215,0)</f>
        <v/>
      </c>
      <c r="R214" s="262">
        <f>IF(OR(F215=87201,F215=87100,F215=87200,F215=87500),H215,0)</f>
        <v/>
      </c>
      <c r="S214" s="83">
        <f>IF(E215&gt;0,COUNTIF($E$121:E215,"&gt;0"),0)</f>
        <v/>
      </c>
    </row>
    <row r="215" ht="15" customHeight="1" s="402">
      <c r="A215" s="79" t="n"/>
      <c r="B215" s="79" t="n"/>
      <c r="C215" s="79" t="n"/>
      <c r="D215" s="79" t="n"/>
      <c r="E215" s="257" t="n"/>
      <c r="F215" s="258" t="n"/>
      <c r="G215" s="128" t="n"/>
      <c r="H215" s="264" t="n"/>
      <c r="I215" s="264" t="n"/>
      <c r="J215" s="264" t="n"/>
      <c r="K215" s="264" t="n"/>
      <c r="L215" s="260">
        <f>IF(E216&gt;0,$H$4,0)</f>
        <v/>
      </c>
      <c r="M215" s="263">
        <f>IFERROR(VLOOKUP(F216,Tabellen!H:I,2),0)</f>
        <v/>
      </c>
      <c r="N215" s="258" t="n"/>
      <c r="O215" s="258" t="n"/>
      <c r="P215" s="83">
        <f>IF(E216&gt;0,COUNTIF($E$17:E216,"&gt;0"),0)</f>
        <v/>
      </c>
      <c r="Q215" s="262">
        <f>IF(OR(F216=47201,F216=47100,F216=47200,F216=47500),H216,0)</f>
        <v/>
      </c>
      <c r="R215" s="262">
        <f>IF(OR(F216=87201,F216=87100,F216=87200,F216=87500),H216,0)</f>
        <v/>
      </c>
      <c r="S215" s="83">
        <f>IF(E216&gt;0,COUNTIF($E$121:E216,"&gt;0"),0)</f>
        <v/>
      </c>
    </row>
    <row r="216" ht="15" customHeight="1" s="402">
      <c r="A216" s="265" t="inlineStr">
        <is>
          <t>Saldo mutaties reserves</t>
        </is>
      </c>
      <c r="B216" s="265" t="n"/>
      <c r="C216" s="265" t="n"/>
      <c r="D216" s="265" t="n"/>
      <c r="E216" s="265" t="n"/>
      <c r="F216" s="266" t="n"/>
      <c r="G216" s="267" t="n"/>
      <c r="H216" s="268">
        <f>SUM(H172:H215)</f>
        <v/>
      </c>
      <c r="I216" s="268">
        <f>SUM(I172:I215)</f>
        <v/>
      </c>
      <c r="J216" s="268">
        <f>SUM(J172:J215)</f>
        <v/>
      </c>
      <c r="K216" s="268">
        <f>SUM(K172:K215)</f>
        <v/>
      </c>
      <c r="L216" s="269" t="n"/>
      <c r="M216" s="270" t="n"/>
      <c r="N216" s="271" t="n"/>
      <c r="O216" s="271" t="n"/>
      <c r="P216" s="83">
        <f>IF(E217&gt;0,COUNTIF($E$17:E217,"&gt;0"),0)</f>
        <v/>
      </c>
      <c r="Q216" s="262">
        <f>IF(OR(F217=47201,F217=47100,F217=47200,F217=47500),H217,0)</f>
        <v/>
      </c>
      <c r="R216" s="262">
        <f>IF(OR(F217=87201,F217=87100,F217=87200,F217=87500),H217,0)</f>
        <v/>
      </c>
      <c r="S216" s="83">
        <f>IF(E217&gt;0,COUNTIF($E$121:E217,"&gt;0"),0)</f>
        <v/>
      </c>
    </row>
    <row r="217" ht="16.15" customFormat="1" customHeight="1" s="22">
      <c r="A217" s="272" t="n"/>
      <c r="B217" s="9" t="n"/>
      <c r="C217" s="9" t="n"/>
      <c r="D217" s="272" t="n"/>
      <c r="E217" s="9" t="n"/>
      <c r="F217" s="273" t="n"/>
      <c r="G217" s="274" t="n"/>
      <c r="H217" s="11" t="n"/>
      <c r="I217" s="11" t="n"/>
      <c r="J217" s="11" t="n"/>
      <c r="K217" s="11" t="n"/>
      <c r="L217" s="275" t="n"/>
      <c r="M217" s="276" t="n"/>
      <c r="N217" s="277" t="n"/>
      <c r="O217" s="278" t="n"/>
      <c r="P217" s="83">
        <f>IF(E218&gt;0,COUNTIF($E$17:E218,"&gt;0"),0)</f>
        <v/>
      </c>
      <c r="Q217" s="262">
        <f>IF(OR(L218=47201,L218=47100,L218=47200,L218=47500),H218,0)</f>
        <v/>
      </c>
      <c r="R217" s="262">
        <f>IF(OR(L218=87201,L218=87100,L218=87200,L218=87500),H218,0)</f>
        <v/>
      </c>
      <c r="S217" s="83">
        <f>IF(E218&gt;0,COUNTIF($E$121:E218,"&gt;0"),0)</f>
        <v/>
      </c>
    </row>
    <row r="218" ht="15" customHeight="1" s="402">
      <c r="A218" s="337" t="inlineStr">
        <is>
          <t>Controle mutaties balans (investeringen + reserves)</t>
        </is>
      </c>
      <c r="B218" s="337" t="n"/>
      <c r="C218" s="337" t="n"/>
      <c r="D218" s="337" t="n"/>
      <c r="E218" s="337" t="n"/>
      <c r="F218" s="338" t="n"/>
      <c r="G218" s="339" t="n"/>
      <c r="H218" s="340">
        <f>IF(H168+H216=0,"✓  Balans = 0",H168+H216)</f>
        <v/>
      </c>
      <c r="I218" s="340">
        <f>IF(I168+I216=0,"✓  Balans = 0",I168+I216)</f>
        <v/>
      </c>
      <c r="J218" s="340">
        <f>IF(J168+J216=0,"✓  Balans = 0",J168+J216)</f>
        <v/>
      </c>
      <c r="K218" s="340">
        <f>IF(K168+K216=0,"✓  Balans = 0",K168+K216)</f>
        <v/>
      </c>
      <c r="L218" s="341" t="n"/>
      <c r="M218" s="342" t="n"/>
      <c r="N218" s="338" t="n"/>
      <c r="O218" s="338" t="n"/>
      <c r="P218" s="83">
        <f>IF(E219&gt;0,COUNTIF($E$17:E219,"&gt;0"),0)</f>
        <v/>
      </c>
      <c r="Q218" s="262">
        <f>IF(OR(L219=47201,L219=47100,L219=47200,L219=47500),H219,0)</f>
        <v/>
      </c>
      <c r="R218" s="262">
        <f>IF(OR(L219=87201,L219=87100,L219=87200,L219=87500),H219,0)</f>
        <v/>
      </c>
      <c r="S218" s="83">
        <f>IF(E219&gt;0,COUNTIF($E$121:E219,"&gt;0"),0)</f>
        <v/>
      </c>
    </row>
    <row r="219" ht="18" customHeight="1" s="402">
      <c r="A219" s="343" t="inlineStr">
        <is>
          <t>D. Voorzieningen</t>
        </is>
      </c>
      <c r="B219" s="344" t="n"/>
      <c r="C219" s="344">
        <f>IFERROR(VLOOKUP(E220,Tabellen!A:F,5),0)</f>
        <v/>
      </c>
      <c r="D219" s="345">
        <f>IFERROR(VLOOKUP(E220,Tabellen!A:F,6),0)</f>
        <v/>
      </c>
      <c r="E219" s="344" t="n"/>
      <c r="F219" s="346">
        <f>IFERROR(VLOOKUP(E220,Tabellen!A:H,8),0)</f>
        <v/>
      </c>
      <c r="G219" s="347">
        <f>IFERROR(VLOOKUP(E220,Tabellen!A:F,2),0)</f>
        <v/>
      </c>
      <c r="H219" s="348" t="n"/>
      <c r="I219" s="348" t="n"/>
      <c r="J219" s="348" t="n"/>
      <c r="K219" s="348" t="n"/>
      <c r="L219" s="349">
        <f>IF(E220&gt;0,$H$4,0)</f>
        <v/>
      </c>
      <c r="M219" s="350">
        <f>IFERROR(VLOOKUP(F220,Tabellen!H:I,2),0)</f>
        <v/>
      </c>
      <c r="N219" s="351" t="n"/>
      <c r="O219" s="352" t="n"/>
      <c r="P219" s="353">
        <f>IF(E220&gt;0,COUNTIF($E$17:E220,"&gt;0"),0)</f>
        <v/>
      </c>
      <c r="Q219" s="354">
        <f>IF(OR(F220=47201,F220=47100,F220=47200,F220=47500),H220,0)</f>
        <v/>
      </c>
      <c r="R219" s="354">
        <f>IF(OR(F220=87201,F220=87100,F220=87200,F220=87500),H220,0)</f>
        <v/>
      </c>
      <c r="S219" s="353">
        <f>IF(E220&gt;0,COUNTIF($E$121:E220,"&gt;0"),0)</f>
        <v/>
      </c>
    </row>
    <row r="220" ht="15" customHeight="1" s="402">
      <c r="A220" s="355">
        <f>IFERROR(VLOOKUP(E221,Tabellen!A:F,4),0)</f>
        <v/>
      </c>
      <c r="B220" s="9" t="n"/>
      <c r="C220" s="9">
        <f>IFERROR(VLOOKUP(E221,Tabellen!A:F,5),0)</f>
        <v/>
      </c>
      <c r="D220" s="355">
        <f>IFERROR(VLOOKUP(E221,Tabellen!A:F,6),0)</f>
        <v/>
      </c>
      <c r="E220" s="356" t="n"/>
      <c r="F220" s="357">
        <f>IFERROR(VLOOKUP(E221,Tabellen!A:H,8),0)</f>
        <v/>
      </c>
      <c r="G220" s="358">
        <f>IFERROR(VLOOKUP(E221,Tabellen!A:F,2),0)</f>
        <v/>
      </c>
      <c r="H220" s="359" t="n"/>
      <c r="I220" s="359" t="n"/>
      <c r="J220" s="359" t="n"/>
      <c r="K220" s="359" t="n"/>
      <c r="L220" s="275">
        <f>IF(E221&gt;0,$H$4,0)</f>
        <v/>
      </c>
      <c r="M220" s="276">
        <f>IFERROR(VLOOKUP(F221,Tabellen!H:I,2),0)</f>
        <v/>
      </c>
      <c r="N220" s="360" t="n"/>
      <c r="O220" s="361" t="n"/>
      <c r="P220" s="83">
        <f>IF(E221&gt;0,COUNTIF($E$17:E221,"&gt;0"),0)</f>
        <v/>
      </c>
      <c r="Q220" s="124">
        <f>IF(OR(F221=47201,F221=47100,F221=47200,F221=47500),H221,0)</f>
        <v/>
      </c>
      <c r="R220" s="124">
        <f>IF(OR(F221=87201,F221=87100,F221=87200,F221=87500),H221,0)</f>
        <v/>
      </c>
      <c r="S220" s="83">
        <f>IF(E221&gt;0,COUNTIF($E$121:E221,"&gt;0"),0)</f>
        <v/>
      </c>
    </row>
    <row r="221" ht="15" customHeight="1" s="402">
      <c r="A221" s="362">
        <f>IFERROR(VLOOKUP(E222,Tabellen!A:F,4),0)</f>
        <v/>
      </c>
      <c r="B221" s="9" t="n"/>
      <c r="C221" s="9">
        <f>IFERROR(VLOOKUP(E222,Tabellen!A:F,5),0)</f>
        <v/>
      </c>
      <c r="D221" s="362">
        <f>IFERROR(VLOOKUP(E222,Tabellen!A:F,6),0)</f>
        <v/>
      </c>
      <c r="E221" s="356" t="n"/>
      <c r="F221" s="357">
        <f>IFERROR(VLOOKUP(E222,Tabellen!A:H,8),0)</f>
        <v/>
      </c>
      <c r="G221" s="363">
        <f>IFERROR(VLOOKUP(E222,Tabellen!A:F,2),0)</f>
        <v/>
      </c>
      <c r="H221" s="359" t="n"/>
      <c r="I221" s="359" t="n"/>
      <c r="J221" s="359" t="n"/>
      <c r="K221" s="359" t="n"/>
      <c r="L221" s="275">
        <f>IF(E222&gt;0,$H$4,0)</f>
        <v/>
      </c>
      <c r="M221" s="276">
        <f>IFERROR(VLOOKUP(F222,Tabellen!H:I,2),0)</f>
        <v/>
      </c>
      <c r="N221" s="360" t="n"/>
      <c r="O221" s="361" t="n"/>
      <c r="P221" s="83">
        <f>IF(E222&gt;0,COUNTIF($E$17:E222,"&gt;0"),0)</f>
        <v/>
      </c>
      <c r="Q221" s="124">
        <f>IF(OR(F222=47201,F222=47100,F222=47200,F222=47500),H222,0)</f>
        <v/>
      </c>
      <c r="R221" s="124">
        <f>IF(OR(F222=87201,F222=87100,F222=87200,F222=87500),H222,0)</f>
        <v/>
      </c>
      <c r="S221" s="83">
        <f>IF(E222&gt;0,COUNTIF($E$121:E222,"&gt;0"),0)</f>
        <v/>
      </c>
    </row>
    <row r="222" ht="15" customHeight="1" s="402">
      <c r="A222" s="355">
        <f>IFERROR(VLOOKUP(E223,Tabellen!A:F,4),0)</f>
        <v/>
      </c>
      <c r="B222" s="9" t="n"/>
      <c r="C222" s="9">
        <f>IFERROR(VLOOKUP(E223,Tabellen!A:F,5),0)</f>
        <v/>
      </c>
      <c r="D222" s="355">
        <f>IFERROR(VLOOKUP(E223,Tabellen!A:F,6),0)</f>
        <v/>
      </c>
      <c r="E222" s="356" t="n"/>
      <c r="F222" s="357">
        <f>IFERROR(VLOOKUP(E223,Tabellen!A:H,8),0)</f>
        <v/>
      </c>
      <c r="G222" s="358">
        <f>IFERROR(VLOOKUP(E223,Tabellen!A:F,2),0)</f>
        <v/>
      </c>
      <c r="H222" s="359" t="n"/>
      <c r="I222" s="359" t="n"/>
      <c r="J222" s="359" t="n"/>
      <c r="K222" s="359" t="n"/>
      <c r="L222" s="275">
        <f>IF(E223&gt;0,$H$4,0)</f>
        <v/>
      </c>
      <c r="M222" s="276">
        <f>IFERROR(VLOOKUP(F223,Tabellen!H:I,2),0)</f>
        <v/>
      </c>
      <c r="N222" s="360" t="n"/>
      <c r="O222" s="361" t="n"/>
      <c r="P222" s="83">
        <f>IF(E223&gt;0,COUNTIF($E$17:E223,"&gt;0"),0)</f>
        <v/>
      </c>
      <c r="Q222" s="124">
        <f>IF(OR(F223=47201,F223=47100,F223=47200,F223=47500),H223,0)</f>
        <v/>
      </c>
      <c r="R222" s="124">
        <f>IF(OR(F223=87201,F223=87100,F223=87200,F223=87500),H223,0)</f>
        <v/>
      </c>
      <c r="S222" s="83">
        <f>IF(E223&gt;0,COUNTIF($E$121:E223,"&gt;0"),0)</f>
        <v/>
      </c>
    </row>
    <row r="223" ht="15" customHeight="1" s="402">
      <c r="A223" s="362">
        <f>IFERROR(VLOOKUP(E224,Tabellen!A:F,4),0)</f>
        <v/>
      </c>
      <c r="B223" s="9" t="n"/>
      <c r="C223" s="9">
        <f>IFERROR(VLOOKUP(E224,Tabellen!A:F,5),0)</f>
        <v/>
      </c>
      <c r="D223" s="362">
        <f>IFERROR(VLOOKUP(E224,Tabellen!A:F,6),0)</f>
        <v/>
      </c>
      <c r="E223" s="356" t="n"/>
      <c r="F223" s="357">
        <f>IFERROR(VLOOKUP(E224,Tabellen!A:H,8),0)</f>
        <v/>
      </c>
      <c r="G223" s="363">
        <f>IFERROR(VLOOKUP(E224,Tabellen!A:F,2),0)</f>
        <v/>
      </c>
      <c r="H223" s="359" t="n"/>
      <c r="I223" s="359" t="n"/>
      <c r="J223" s="359" t="n"/>
      <c r="K223" s="359" t="n"/>
      <c r="L223" s="275">
        <f>IF(E224&gt;0,$H$4,0)</f>
        <v/>
      </c>
      <c r="M223" s="276">
        <f>IFERROR(VLOOKUP(F224,Tabellen!H:I,2),0)</f>
        <v/>
      </c>
      <c r="N223" s="360" t="n"/>
      <c r="O223" s="361" t="n"/>
      <c r="P223" s="83">
        <f>IF(E224&gt;0,COUNTIF($E$17:E224,"&gt;0"),0)</f>
        <v/>
      </c>
      <c r="Q223" s="124">
        <f>IF(OR(F224=47201,F224=47100,F224=47200,F224=47500),H224,0)</f>
        <v/>
      </c>
      <c r="R223" s="124">
        <f>IF(OR(F224=87201,F224=87100,F224=87200,F224=87500),H224,0)</f>
        <v/>
      </c>
      <c r="S223" s="83">
        <f>IF(E224&gt;0,COUNTIF($E$121:E224,"&gt;0"),0)</f>
        <v/>
      </c>
    </row>
    <row r="224" ht="15" customHeight="1" s="402">
      <c r="A224" s="355">
        <f>IFERROR(VLOOKUP(E225,Tabellen!A:F,4),0)</f>
        <v/>
      </c>
      <c r="B224" s="9" t="n"/>
      <c r="C224" s="9">
        <f>IFERROR(VLOOKUP(E225,Tabellen!A:F,5),0)</f>
        <v/>
      </c>
      <c r="D224" s="355">
        <f>IFERROR(VLOOKUP(E225,Tabellen!A:F,6),0)</f>
        <v/>
      </c>
      <c r="E224" s="356" t="n"/>
      <c r="F224" s="357">
        <f>IFERROR(VLOOKUP(E225,Tabellen!A:H,8),0)</f>
        <v/>
      </c>
      <c r="G224" s="358">
        <f>IFERROR(VLOOKUP(E225,Tabellen!A:F,2),0)</f>
        <v/>
      </c>
      <c r="H224" s="359" t="n"/>
      <c r="I224" s="359" t="n"/>
      <c r="J224" s="359" t="n"/>
      <c r="K224" s="359" t="n"/>
      <c r="L224" s="275">
        <f>IF(E225&gt;0,$H$4,0)</f>
        <v/>
      </c>
      <c r="M224" s="276">
        <f>IFERROR(VLOOKUP(F225,Tabellen!H:I,2),0)</f>
        <v/>
      </c>
      <c r="N224" s="360" t="n"/>
      <c r="O224" s="361" t="n"/>
      <c r="P224" s="83">
        <f>IF(E225&gt;0,COUNTIF($E$17:E225,"&gt;0"),0)</f>
        <v/>
      </c>
      <c r="Q224" s="124">
        <f>IF(OR(F225=47201,F225=47100,F225=47200,F225=47500),H225,0)</f>
        <v/>
      </c>
      <c r="R224" s="124">
        <f>IF(OR(F225=87201,F225=87100,F225=87200,F225=87500),H225,0)</f>
        <v/>
      </c>
      <c r="S224" s="83">
        <f>IF(E225&gt;0,COUNTIF($E$121:E225,"&gt;0"),0)</f>
        <v/>
      </c>
    </row>
    <row r="225" ht="15" customHeight="1" s="402">
      <c r="A225" s="362">
        <f>IFERROR(VLOOKUP(E226,Tabellen!A:F,4),0)</f>
        <v/>
      </c>
      <c r="B225" s="9" t="n"/>
      <c r="C225" s="9">
        <f>IFERROR(VLOOKUP(E226,Tabellen!A:F,5),0)</f>
        <v/>
      </c>
      <c r="D225" s="362">
        <f>IFERROR(VLOOKUP(E226,Tabellen!A:F,6),0)</f>
        <v/>
      </c>
      <c r="E225" s="356" t="n"/>
      <c r="F225" s="357">
        <f>IFERROR(VLOOKUP(E226,Tabellen!A:H,8),0)</f>
        <v/>
      </c>
      <c r="G225" s="363">
        <f>IFERROR(VLOOKUP(E226,Tabellen!A:F,2),0)</f>
        <v/>
      </c>
      <c r="H225" s="359" t="n"/>
      <c r="I225" s="359" t="n"/>
      <c r="J225" s="359" t="n"/>
      <c r="K225" s="359" t="n"/>
      <c r="L225" s="275">
        <f>IF(E226&gt;0,$H$4,0)</f>
        <v/>
      </c>
      <c r="M225" s="276">
        <f>IFERROR(VLOOKUP(F226,Tabellen!H:I,2),0)</f>
        <v/>
      </c>
      <c r="N225" s="360" t="n"/>
      <c r="O225" s="361" t="n"/>
      <c r="P225" s="83">
        <f>IF(E226&gt;0,COUNTIF($E$17:E226,"&gt;0"),0)</f>
        <v/>
      </c>
      <c r="Q225" s="124">
        <f>IF(OR(F226=47201,F226=47100,F226=47200,F226=47500),H226,0)</f>
        <v/>
      </c>
      <c r="R225" s="124">
        <f>IF(OR(F226=87201,F226=87100,F226=87200,F226=87500),H226,0)</f>
        <v/>
      </c>
      <c r="S225" s="83">
        <f>IF(E226&gt;0,COUNTIF($E$121:E226,"&gt;0"),0)</f>
        <v/>
      </c>
    </row>
    <row r="226" ht="15" customHeight="1" s="402">
      <c r="A226" s="355">
        <f>IFERROR(VLOOKUP(E227,Tabellen!A:F,4),0)</f>
        <v/>
      </c>
      <c r="B226" s="9" t="n"/>
      <c r="C226" s="9">
        <f>IFERROR(VLOOKUP(E227,Tabellen!A:F,5),0)</f>
        <v/>
      </c>
      <c r="D226" s="355">
        <f>IFERROR(VLOOKUP(E227,Tabellen!A:F,6),0)</f>
        <v/>
      </c>
      <c r="E226" s="356" t="n"/>
      <c r="F226" s="357">
        <f>IFERROR(VLOOKUP(E227,Tabellen!A:H,8),0)</f>
        <v/>
      </c>
      <c r="G226" s="358">
        <f>IFERROR(VLOOKUP(E227,Tabellen!A:F,2),0)</f>
        <v/>
      </c>
      <c r="H226" s="359" t="n"/>
      <c r="I226" s="359" t="n"/>
      <c r="J226" s="359" t="n"/>
      <c r="K226" s="359" t="n"/>
      <c r="L226" s="275">
        <f>IF(E227&gt;0,$H$4,0)</f>
        <v/>
      </c>
      <c r="M226" s="276">
        <f>IFERROR(VLOOKUP(F227,Tabellen!H:I,2),0)</f>
        <v/>
      </c>
      <c r="N226" s="360" t="n"/>
      <c r="O226" s="361" t="n"/>
      <c r="P226" s="83">
        <f>IF(E227&gt;0,COUNTIF($E$17:E227,"&gt;0"),0)</f>
        <v/>
      </c>
      <c r="Q226" s="124">
        <f>IF(OR(F227=47201,F227=47100,F227=47200,F227=47500),H227,0)</f>
        <v/>
      </c>
      <c r="R226" s="124">
        <f>IF(OR(F227=87201,F227=87100,F227=87200,F227=87500),H227,0)</f>
        <v/>
      </c>
      <c r="S226" s="83">
        <f>IF(E227&gt;0,COUNTIF($E$121:E227,"&gt;0"),0)</f>
        <v/>
      </c>
    </row>
    <row r="227" ht="15" customHeight="1" s="402">
      <c r="A227" s="362">
        <f>IFERROR(VLOOKUP(E228,Tabellen!A:F,4),0)</f>
        <v/>
      </c>
      <c r="B227" s="9" t="n"/>
      <c r="C227" s="9">
        <f>IFERROR(VLOOKUP(E228,Tabellen!A:F,5),0)</f>
        <v/>
      </c>
      <c r="D227" s="362">
        <f>IFERROR(VLOOKUP(E228,Tabellen!A:F,6),0)</f>
        <v/>
      </c>
      <c r="E227" s="356" t="n"/>
      <c r="F227" s="357">
        <f>IFERROR(VLOOKUP(E228,Tabellen!A:H,8),0)</f>
        <v/>
      </c>
      <c r="G227" s="363">
        <f>IFERROR(VLOOKUP(E228,Tabellen!A:F,2),0)</f>
        <v/>
      </c>
      <c r="H227" s="359" t="n"/>
      <c r="I227" s="359" t="n"/>
      <c r="J227" s="359" t="n"/>
      <c r="K227" s="359" t="n"/>
      <c r="L227" s="275">
        <f>IF(E228&gt;0,$H$4,0)</f>
        <v/>
      </c>
      <c r="M227" s="276">
        <f>IFERROR(VLOOKUP(F228,Tabellen!H:I,2),0)</f>
        <v/>
      </c>
      <c r="N227" s="360" t="n"/>
      <c r="O227" s="361" t="n"/>
      <c r="P227" s="83">
        <f>IF(E228&gt;0,COUNTIF($E$17:E228,"&gt;0"),0)</f>
        <v/>
      </c>
      <c r="Q227" s="124">
        <f>IF(OR(F228=47201,F228=47100,F228=47200,F228=47500),H228,0)</f>
        <v/>
      </c>
      <c r="R227" s="124">
        <f>IF(OR(F228=87201,F228=87100,F228=87200,F228=87500),H228,0)</f>
        <v/>
      </c>
      <c r="S227" s="83">
        <f>IF(E228&gt;0,COUNTIF($E$121:E228,"&gt;0"),0)</f>
        <v/>
      </c>
    </row>
    <row r="228" ht="15" customHeight="1" s="402">
      <c r="A228" s="355">
        <f>IFERROR(VLOOKUP(E229,Tabellen!A:F,4),0)</f>
        <v/>
      </c>
      <c r="B228" s="9" t="n"/>
      <c r="C228" s="9">
        <f>IFERROR(VLOOKUP(E229,Tabellen!A:F,5),0)</f>
        <v/>
      </c>
      <c r="D228" s="355">
        <f>IFERROR(VLOOKUP(E229,Tabellen!A:F,6),0)</f>
        <v/>
      </c>
      <c r="E228" s="356" t="n"/>
      <c r="F228" s="357">
        <f>IFERROR(VLOOKUP(E229,Tabellen!A:H,8),0)</f>
        <v/>
      </c>
      <c r="G228" s="358">
        <f>IFERROR(VLOOKUP(E229,Tabellen!A:F,2),0)</f>
        <v/>
      </c>
      <c r="H228" s="359" t="n"/>
      <c r="I228" s="359" t="n"/>
      <c r="J228" s="359" t="n"/>
      <c r="K228" s="359" t="n"/>
      <c r="L228" s="275">
        <f>IF(E229&gt;0,$H$4,0)</f>
        <v/>
      </c>
      <c r="M228" s="276">
        <f>IFERROR(VLOOKUP(F229,Tabellen!H:I,2),0)</f>
        <v/>
      </c>
      <c r="N228" s="360" t="n"/>
      <c r="O228" s="361" t="n"/>
      <c r="P228" s="83">
        <f>IF(E229&gt;0,COUNTIF($E$17:E229,"&gt;0"),0)</f>
        <v/>
      </c>
      <c r="Q228" s="124">
        <f>IF(OR(F229=47201,F229=47100,F229=47200,F229=47500),H229,0)</f>
        <v/>
      </c>
      <c r="R228" s="124">
        <f>IF(OR(F229=87201,F229=87100,F229=87200,F229=87500),H229,0)</f>
        <v/>
      </c>
      <c r="S228" s="83">
        <f>IF(E229&gt;0,COUNTIF($E$121:E229,"&gt;0"),0)</f>
        <v/>
      </c>
    </row>
    <row r="229" ht="15" customHeight="1" s="402">
      <c r="A229" s="362">
        <f>IFERROR(VLOOKUP(E230,Tabellen!A:F,4),0)</f>
        <v/>
      </c>
      <c r="B229" s="9" t="n"/>
      <c r="C229" s="9">
        <f>IFERROR(VLOOKUP(E230,Tabellen!A:F,5),0)</f>
        <v/>
      </c>
      <c r="D229" s="362">
        <f>IFERROR(VLOOKUP(E230,Tabellen!A:F,6),0)</f>
        <v/>
      </c>
      <c r="E229" s="356" t="n"/>
      <c r="F229" s="357">
        <f>IFERROR(VLOOKUP(E230,Tabellen!A:H,8),0)</f>
        <v/>
      </c>
      <c r="G229" s="363">
        <f>IFERROR(VLOOKUP(E230,Tabellen!A:F,2),0)</f>
        <v/>
      </c>
      <c r="H229" s="359" t="n"/>
      <c r="I229" s="359" t="n"/>
      <c r="J229" s="359" t="n"/>
      <c r="K229" s="359" t="n"/>
      <c r="L229" s="275">
        <f>IF(E230&gt;0,$H$4,0)</f>
        <v/>
      </c>
      <c r="M229" s="276">
        <f>IFERROR(VLOOKUP(F230,Tabellen!H:I,2),0)</f>
        <v/>
      </c>
      <c r="N229" s="360" t="n"/>
      <c r="O229" s="361" t="n"/>
      <c r="P229" s="83">
        <f>IF(E230&gt;0,COUNTIF($E$17:E230,"&gt;0"),0)</f>
        <v/>
      </c>
      <c r="Q229" s="124">
        <f>IF(OR(F230=47201,F230=47100,F230=47200,F230=47500),H230,0)</f>
        <v/>
      </c>
      <c r="R229" s="124">
        <f>IF(OR(F230=87201,F230=87100,F230=87200,F230=87500),H230,0)</f>
        <v/>
      </c>
      <c r="S229" s="83">
        <f>IF(E230&gt;0,COUNTIF($E$121:E230,"&gt;0"),0)</f>
        <v/>
      </c>
    </row>
    <row r="230" ht="15" customHeight="1" s="402">
      <c r="A230" s="355">
        <f>IFERROR(VLOOKUP(E231,Tabellen!A:F,4),0)</f>
        <v/>
      </c>
      <c r="B230" s="9" t="n"/>
      <c r="C230" s="9">
        <f>IFERROR(VLOOKUP(E231,Tabellen!A:F,5),0)</f>
        <v/>
      </c>
      <c r="D230" s="355">
        <f>IFERROR(VLOOKUP(E231,Tabellen!A:F,6),0)</f>
        <v/>
      </c>
      <c r="E230" s="356" t="n"/>
      <c r="F230" s="357">
        <f>IFERROR(VLOOKUP(E231,Tabellen!A:H,8),0)</f>
        <v/>
      </c>
      <c r="G230" s="358">
        <f>IFERROR(VLOOKUP(E231,Tabellen!A:F,2),0)</f>
        <v/>
      </c>
      <c r="H230" s="359" t="n"/>
      <c r="I230" s="359" t="n"/>
      <c r="J230" s="359" t="n"/>
      <c r="K230" s="359" t="n"/>
      <c r="L230" s="275">
        <f>IF(E231&gt;0,$H$4,0)</f>
        <v/>
      </c>
      <c r="M230" s="276">
        <f>IFERROR(VLOOKUP(F231,Tabellen!H:I,2),0)</f>
        <v/>
      </c>
      <c r="N230" s="360" t="n"/>
      <c r="O230" s="361" t="n"/>
      <c r="P230" s="83">
        <f>IF(E231&gt;0,COUNTIF($E$17:E231,"&gt;0"),0)</f>
        <v/>
      </c>
      <c r="Q230" s="124">
        <f>IF(OR(F231=47201,F231=47100,F231=47200,F231=47500),H231,0)</f>
        <v/>
      </c>
      <c r="R230" s="124">
        <f>IF(OR(F231=87201,F231=87100,F231=87200,F231=87500),H231,0)</f>
        <v/>
      </c>
      <c r="S230" s="83">
        <f>IF(E231&gt;0,COUNTIF($E$121:E231,"&gt;0"),0)</f>
        <v/>
      </c>
    </row>
    <row r="231" ht="15" customHeight="1" s="402">
      <c r="A231" s="362">
        <f>IFERROR(VLOOKUP(E232,Tabellen!A:F,4),0)</f>
        <v/>
      </c>
      <c r="B231" s="9" t="n"/>
      <c r="C231" s="9">
        <f>IFERROR(VLOOKUP(E232,Tabellen!A:F,5),0)</f>
        <v/>
      </c>
      <c r="D231" s="362">
        <f>IFERROR(VLOOKUP(E232,Tabellen!A:F,6),0)</f>
        <v/>
      </c>
      <c r="E231" s="356" t="n"/>
      <c r="F231" s="357">
        <f>IFERROR(VLOOKUP(E232,Tabellen!A:H,8),0)</f>
        <v/>
      </c>
      <c r="G231" s="363">
        <f>IFERROR(VLOOKUP(E232,Tabellen!A:F,2),0)</f>
        <v/>
      </c>
      <c r="H231" s="359" t="n"/>
      <c r="I231" s="359" t="n"/>
      <c r="J231" s="359" t="n"/>
      <c r="K231" s="359" t="n"/>
      <c r="L231" s="275">
        <f>IF(E232&gt;0,$H$4,0)</f>
        <v/>
      </c>
      <c r="M231" s="276">
        <f>IFERROR(VLOOKUP(F232,Tabellen!H:I,2),0)</f>
        <v/>
      </c>
      <c r="N231" s="360" t="n"/>
      <c r="O231" s="361" t="n"/>
      <c r="P231" s="83">
        <f>IF(E232&gt;0,COUNTIF($E$17:E232,"&gt;0"),0)</f>
        <v/>
      </c>
      <c r="Q231" s="124">
        <f>IF(OR(F232=47201,F232=47100,F232=47200,F232=47500),H232,0)</f>
        <v/>
      </c>
      <c r="R231" s="124">
        <f>IF(OR(F232=87201,F232=87100,F232=87200,F232=87500),H232,0)</f>
        <v/>
      </c>
      <c r="S231" s="83">
        <f>IF(E232&gt;0,COUNTIF($E$121:E232,"&gt;0"),0)</f>
        <v/>
      </c>
    </row>
    <row r="232" ht="15" customHeight="1" s="402">
      <c r="A232" s="355">
        <f>IFERROR(VLOOKUP(E233,Tabellen!A:F,4),0)</f>
        <v/>
      </c>
      <c r="B232" s="9" t="n"/>
      <c r="C232" s="9">
        <f>IFERROR(VLOOKUP(E233,Tabellen!A:F,5),0)</f>
        <v/>
      </c>
      <c r="D232" s="355">
        <f>IFERROR(VLOOKUP(E233,Tabellen!A:F,6),0)</f>
        <v/>
      </c>
      <c r="E232" s="356" t="n"/>
      <c r="F232" s="357">
        <f>IFERROR(VLOOKUP(E233,Tabellen!A:H,8),0)</f>
        <v/>
      </c>
      <c r="G232" s="358">
        <f>IFERROR(VLOOKUP(E233,Tabellen!A:F,2),0)</f>
        <v/>
      </c>
      <c r="H232" s="359" t="n"/>
      <c r="I232" s="359" t="n"/>
      <c r="J232" s="359" t="n"/>
      <c r="K232" s="359" t="n"/>
      <c r="L232" s="275">
        <f>IF(E233&gt;0,$H$4,0)</f>
        <v/>
      </c>
      <c r="M232" s="276">
        <f>IFERROR(VLOOKUP(F233,Tabellen!H:I,2),0)</f>
        <v/>
      </c>
      <c r="N232" s="360" t="n"/>
      <c r="O232" s="361" t="n"/>
      <c r="P232" s="83">
        <f>IF(E233&gt;0,COUNTIF($E$17:E233,"&gt;0"),0)</f>
        <v/>
      </c>
      <c r="Q232" s="124">
        <f>IF(OR(F233=47201,F233=47100,F233=47200,F233=47500),H233,0)</f>
        <v/>
      </c>
      <c r="R232" s="124">
        <f>IF(OR(F233=87201,F233=87100,F233=87200,F233=87500),H233,0)</f>
        <v/>
      </c>
      <c r="S232" s="83">
        <f>IF(E233&gt;0,COUNTIF($E$121:E233,"&gt;0"),0)</f>
        <v/>
      </c>
    </row>
    <row r="233" ht="15" customHeight="1" s="402">
      <c r="A233" s="362">
        <f>IFERROR(VLOOKUP(E234,Tabellen!A:F,4),0)</f>
        <v/>
      </c>
      <c r="B233" s="9" t="n"/>
      <c r="C233" s="9">
        <f>IFERROR(VLOOKUP(E234,Tabellen!A:F,5),0)</f>
        <v/>
      </c>
      <c r="D233" s="362">
        <f>IFERROR(VLOOKUP(E234,Tabellen!A:F,6),0)</f>
        <v/>
      </c>
      <c r="E233" s="356" t="n"/>
      <c r="F233" s="357">
        <f>IFERROR(VLOOKUP(E234,Tabellen!A:H,8),0)</f>
        <v/>
      </c>
      <c r="G233" s="363">
        <f>IFERROR(VLOOKUP(E234,Tabellen!A:F,2),0)</f>
        <v/>
      </c>
      <c r="H233" s="359" t="n"/>
      <c r="I233" s="359" t="n"/>
      <c r="J233" s="359" t="n"/>
      <c r="K233" s="359" t="n"/>
      <c r="L233" s="275">
        <f>IF(E234&gt;0,$H$4,0)</f>
        <v/>
      </c>
      <c r="M233" s="276">
        <f>IFERROR(VLOOKUP(F234,Tabellen!H:I,2),0)</f>
        <v/>
      </c>
      <c r="N233" s="360" t="n"/>
      <c r="O233" s="361" t="n"/>
      <c r="P233" s="83">
        <f>IF(E234&gt;0,COUNTIF($E$17:E234,"&gt;0"),0)</f>
        <v/>
      </c>
      <c r="Q233" s="124">
        <f>IF(OR(F234=47201,F234=47100,F234=47200,F234=47500),H234,0)</f>
        <v/>
      </c>
      <c r="R233" s="124">
        <f>IF(OR(F234=87201,F234=87100,F234=87200,F234=87500),H234,0)</f>
        <v/>
      </c>
      <c r="S233" s="83">
        <f>IF(E234&gt;0,COUNTIF($E$121:E234,"&gt;0"),0)</f>
        <v/>
      </c>
    </row>
    <row r="234" ht="15" customHeight="1" s="402">
      <c r="A234" s="355">
        <f>IFERROR(VLOOKUP(E235,Tabellen!A:F,4),0)</f>
        <v/>
      </c>
      <c r="B234" s="9" t="n"/>
      <c r="C234" s="9">
        <f>IFERROR(VLOOKUP(E235,Tabellen!A:F,5),0)</f>
        <v/>
      </c>
      <c r="D234" s="355">
        <f>IFERROR(VLOOKUP(E235,Tabellen!A:F,6),0)</f>
        <v/>
      </c>
      <c r="E234" s="356" t="n"/>
      <c r="F234" s="357">
        <f>IFERROR(VLOOKUP(E235,Tabellen!A:H,8),0)</f>
        <v/>
      </c>
      <c r="G234" s="358">
        <f>IFERROR(VLOOKUP(E235,Tabellen!A:F,2),0)</f>
        <v/>
      </c>
      <c r="H234" s="359" t="n"/>
      <c r="I234" s="359" t="n"/>
      <c r="J234" s="359" t="n"/>
      <c r="K234" s="359" t="n"/>
      <c r="L234" s="275">
        <f>IF(E235&gt;0,$H$4,0)</f>
        <v/>
      </c>
      <c r="M234" s="276">
        <f>IFERROR(VLOOKUP(F235,Tabellen!H:I,2),0)</f>
        <v/>
      </c>
      <c r="N234" s="360" t="n"/>
      <c r="O234" s="361" t="n"/>
      <c r="P234" s="83">
        <f>IF(E235&gt;0,COUNTIF($E$17:E235,"&gt;0"),0)</f>
        <v/>
      </c>
      <c r="Q234" s="124">
        <f>IF(OR(F235=47201,F235=47100,F235=47200,F235=47500),H235,0)</f>
        <v/>
      </c>
      <c r="R234" s="124">
        <f>IF(OR(F235=87201,F235=87100,F235=87200,F235=87500),H235,0)</f>
        <v/>
      </c>
      <c r="S234" s="83">
        <f>IF(E235&gt;0,COUNTIF($E$121:E235,"&gt;0"),0)</f>
        <v/>
      </c>
    </row>
    <row r="235" ht="15" customHeight="1" s="402">
      <c r="A235" s="362">
        <f>IFERROR(VLOOKUP(E236,Tabellen!A:F,4),0)</f>
        <v/>
      </c>
      <c r="B235" s="9" t="n"/>
      <c r="C235" s="9">
        <f>IFERROR(VLOOKUP(E236,Tabellen!A:F,5),0)</f>
        <v/>
      </c>
      <c r="D235" s="362">
        <f>IFERROR(VLOOKUP(E236,Tabellen!A:F,6),0)</f>
        <v/>
      </c>
      <c r="E235" s="356" t="n"/>
      <c r="F235" s="357">
        <f>IFERROR(VLOOKUP(E236,Tabellen!A:H,8),0)</f>
        <v/>
      </c>
      <c r="G235" s="363">
        <f>IFERROR(VLOOKUP(E236,Tabellen!A:F,2),0)</f>
        <v/>
      </c>
      <c r="H235" s="359" t="n"/>
      <c r="I235" s="359" t="n"/>
      <c r="J235" s="359" t="n"/>
      <c r="K235" s="359" t="n"/>
      <c r="L235" s="275">
        <f>IF(E236&gt;0,$H$4,0)</f>
        <v/>
      </c>
      <c r="M235" s="276">
        <f>IFERROR(VLOOKUP(F236,Tabellen!H:I,2),0)</f>
        <v/>
      </c>
      <c r="N235" s="360" t="n"/>
      <c r="O235" s="361" t="n"/>
      <c r="P235" s="83">
        <f>IF(E236&gt;0,COUNTIF($E$17:E236,"&gt;0"),0)</f>
        <v/>
      </c>
      <c r="Q235" s="124">
        <f>IF(OR(F236=47201,F236=47100,F236=47200,F236=47500),H236,0)</f>
        <v/>
      </c>
      <c r="R235" s="124">
        <f>IF(OR(F236=87201,F236=87100,F236=87200,F236=87500),H236,0)</f>
        <v/>
      </c>
      <c r="S235" s="83">
        <f>IF(E236&gt;0,COUNTIF($E$121:E236,"&gt;0"),0)</f>
        <v/>
      </c>
    </row>
    <row r="236" ht="15" customHeight="1" s="402">
      <c r="A236" s="355">
        <f>IFERROR(VLOOKUP(E237,Tabellen!A:F,4),0)</f>
        <v/>
      </c>
      <c r="B236" s="9" t="n"/>
      <c r="C236" s="9">
        <f>IFERROR(VLOOKUP(E237,Tabellen!A:F,5),0)</f>
        <v/>
      </c>
      <c r="D236" s="355">
        <f>IFERROR(VLOOKUP(E237,Tabellen!A:F,6),0)</f>
        <v/>
      </c>
      <c r="E236" s="356" t="n"/>
      <c r="F236" s="357">
        <f>IFERROR(VLOOKUP(E237,Tabellen!A:H,8),0)</f>
        <v/>
      </c>
      <c r="G236" s="358">
        <f>IFERROR(VLOOKUP(E237,Tabellen!A:F,2),0)</f>
        <v/>
      </c>
      <c r="H236" s="359" t="n"/>
      <c r="I236" s="359" t="n"/>
      <c r="J236" s="359" t="n"/>
      <c r="K236" s="359" t="n"/>
      <c r="L236" s="275">
        <f>IF(E237&gt;0,$H$4,0)</f>
        <v/>
      </c>
      <c r="M236" s="276">
        <f>IFERROR(VLOOKUP(F237,Tabellen!H:I,2),0)</f>
        <v/>
      </c>
      <c r="N236" s="360" t="n"/>
      <c r="O236" s="361" t="n"/>
      <c r="P236" s="83">
        <f>IF(E237&gt;0,COUNTIF($E$17:E237,"&gt;0"),0)</f>
        <v/>
      </c>
      <c r="Q236" s="124">
        <f>IF(OR(F237=47201,F237=47100,F237=47200,F237=47500),H237,0)</f>
        <v/>
      </c>
      <c r="R236" s="124">
        <f>IF(OR(F237=87201,F237=87100,F237=87200,F237=87500),H237,0)</f>
        <v/>
      </c>
      <c r="S236" s="83">
        <f>IF(E237&gt;0,COUNTIF($E$121:E237,"&gt;0"),0)</f>
        <v/>
      </c>
    </row>
    <row r="237" ht="15" customHeight="1" s="402">
      <c r="A237" s="362">
        <f>IFERROR(VLOOKUP(E238,Tabellen!A:F,4),0)</f>
        <v/>
      </c>
      <c r="B237" s="9" t="n"/>
      <c r="C237" s="9">
        <f>IFERROR(VLOOKUP(E238,Tabellen!A:F,5),0)</f>
        <v/>
      </c>
      <c r="D237" s="362">
        <f>IFERROR(VLOOKUP(E238,Tabellen!A:F,6),0)</f>
        <v/>
      </c>
      <c r="E237" s="356" t="n"/>
      <c r="F237" s="357">
        <f>IFERROR(VLOOKUP(E238,Tabellen!A:H,8),0)</f>
        <v/>
      </c>
      <c r="G237" s="363">
        <f>IFERROR(VLOOKUP(E238,Tabellen!A:F,2),0)</f>
        <v/>
      </c>
      <c r="H237" s="359" t="n"/>
      <c r="I237" s="359" t="n"/>
      <c r="J237" s="359" t="n"/>
      <c r="K237" s="359" t="n"/>
      <c r="L237" s="275">
        <f>IF(E238&gt;0,$H$4,0)</f>
        <v/>
      </c>
      <c r="M237" s="276">
        <f>IFERROR(VLOOKUP(F238,Tabellen!H:I,2),0)</f>
        <v/>
      </c>
      <c r="N237" s="360" t="n"/>
      <c r="O237" s="361" t="n"/>
      <c r="P237" s="83">
        <f>IF(E238&gt;0,COUNTIF($E$17:E238,"&gt;0"),0)</f>
        <v/>
      </c>
      <c r="Q237" s="124">
        <f>IF(OR(F238=47201,F238=47100,F238=47200,F238=47500),H238,0)</f>
        <v/>
      </c>
      <c r="R237" s="124">
        <f>IF(OR(F238=87201,F238=87100,F238=87200,F238=87500),H238,0)</f>
        <v/>
      </c>
      <c r="S237" s="83">
        <f>IF(E238&gt;0,COUNTIF($E$121:E238,"&gt;0"),0)</f>
        <v/>
      </c>
    </row>
    <row r="238" ht="15" customHeight="1" s="402">
      <c r="A238" s="355">
        <f>IFERROR(VLOOKUP(E239,Tabellen!A:F,4),0)</f>
        <v/>
      </c>
      <c r="B238" s="9" t="n"/>
      <c r="C238" s="9">
        <f>IFERROR(VLOOKUP(E239,Tabellen!A:F,5),0)</f>
        <v/>
      </c>
      <c r="D238" s="355">
        <f>IFERROR(VLOOKUP(E239,Tabellen!A:F,6),0)</f>
        <v/>
      </c>
      <c r="E238" s="356" t="n"/>
      <c r="F238" s="357">
        <f>IFERROR(VLOOKUP(E239,Tabellen!A:H,8),0)</f>
        <v/>
      </c>
      <c r="G238" s="358">
        <f>IFERROR(VLOOKUP(E239,Tabellen!A:F,2),0)</f>
        <v/>
      </c>
      <c r="H238" s="359" t="n"/>
      <c r="I238" s="359" t="n"/>
      <c r="J238" s="359" t="n"/>
      <c r="K238" s="359" t="n"/>
      <c r="L238" s="275">
        <f>IF(E239&gt;0,$H$4,0)</f>
        <v/>
      </c>
      <c r="M238" s="276">
        <f>IFERROR(VLOOKUP(F239,Tabellen!H:I,2),0)</f>
        <v/>
      </c>
      <c r="N238" s="360" t="n"/>
      <c r="O238" s="361" t="n"/>
      <c r="P238" s="83">
        <f>IF(E239&gt;0,COUNTIF($E$17:E239,"&gt;0"),0)</f>
        <v/>
      </c>
      <c r="Q238" s="124">
        <f>IF(OR(F239=47201,F239=47100,F239=47200,F239=47500),H239,0)</f>
        <v/>
      </c>
      <c r="R238" s="124">
        <f>IF(OR(F239=87201,F239=87100,F239=87200,F239=87500),H239,0)</f>
        <v/>
      </c>
      <c r="S238" s="83">
        <f>IF(E239&gt;0,COUNTIF($E$121:E239,"&gt;0"),0)</f>
        <v/>
      </c>
    </row>
    <row r="239" ht="15" customHeight="1" s="402">
      <c r="A239" s="362">
        <f>IFERROR(VLOOKUP(E240,Tabellen!A:F,4),0)</f>
        <v/>
      </c>
      <c r="B239" s="9" t="n"/>
      <c r="C239" s="9">
        <f>IFERROR(VLOOKUP(E240,Tabellen!A:F,5),0)</f>
        <v/>
      </c>
      <c r="D239" s="362">
        <f>IFERROR(VLOOKUP(E240,Tabellen!A:F,6),0)</f>
        <v/>
      </c>
      <c r="E239" s="356" t="n"/>
      <c r="F239" s="357">
        <f>IFERROR(VLOOKUP(E240,Tabellen!A:H,8),0)</f>
        <v/>
      </c>
      <c r="G239" s="363">
        <f>IFERROR(VLOOKUP(E240,Tabellen!A:F,2),0)</f>
        <v/>
      </c>
      <c r="H239" s="359" t="n"/>
      <c r="I239" s="359" t="n"/>
      <c r="J239" s="359" t="n"/>
      <c r="K239" s="359" t="n"/>
      <c r="L239" s="275">
        <f>IF(E240&gt;0,$H$4,0)</f>
        <v/>
      </c>
      <c r="M239" s="276">
        <f>IFERROR(VLOOKUP(F240,Tabellen!H:I,2),0)</f>
        <v/>
      </c>
      <c r="N239" s="360" t="n"/>
      <c r="O239" s="361" t="n"/>
      <c r="P239" s="83">
        <f>IF(E240&gt;0,COUNTIF($E$17:E240,"&gt;0"),0)</f>
        <v/>
      </c>
      <c r="Q239" s="124">
        <f>IF(OR(F240=47201,F240=47100,F240=47200,F240=47500),H240,0)</f>
        <v/>
      </c>
      <c r="R239" s="124">
        <f>IF(OR(F240=87201,F240=87100,F240=87200,F240=87500),H240,0)</f>
        <v/>
      </c>
      <c r="S239" s="83">
        <f>IF(E240&gt;0,COUNTIF($E$121:E240,"&gt;0"),0)</f>
        <v/>
      </c>
    </row>
    <row r="240" ht="15" customHeight="1" s="402">
      <c r="A240" s="355">
        <f>IFERROR(VLOOKUP(E241,Tabellen!A:F,4),0)</f>
        <v/>
      </c>
      <c r="B240" s="9" t="n"/>
      <c r="C240" s="9">
        <f>IFERROR(VLOOKUP(E241,Tabellen!A:F,5),0)</f>
        <v/>
      </c>
      <c r="D240" s="355">
        <f>IFERROR(VLOOKUP(E241,Tabellen!A:F,6),0)</f>
        <v/>
      </c>
      <c r="E240" s="356" t="n"/>
      <c r="F240" s="357">
        <f>IFERROR(VLOOKUP(E241,Tabellen!A:H,8),0)</f>
        <v/>
      </c>
      <c r="G240" s="358">
        <f>IFERROR(VLOOKUP(E241,Tabellen!A:F,2),0)</f>
        <v/>
      </c>
      <c r="H240" s="359" t="n"/>
      <c r="I240" s="359" t="n"/>
      <c r="J240" s="359" t="n"/>
      <c r="K240" s="359" t="n"/>
      <c r="L240" s="275">
        <f>IF(E241&gt;0,$H$4,0)</f>
        <v/>
      </c>
      <c r="M240" s="276">
        <f>IFERROR(VLOOKUP(F241,Tabellen!H:I,2),0)</f>
        <v/>
      </c>
      <c r="N240" s="360" t="n"/>
      <c r="O240" s="361" t="n"/>
      <c r="P240" s="83">
        <f>IF(E241&gt;0,COUNTIF($E$17:E241,"&gt;0"),0)</f>
        <v/>
      </c>
      <c r="Q240" s="124">
        <f>IF(OR(F241=47201,F241=47100,F241=47200,F241=47500),H241,0)</f>
        <v/>
      </c>
      <c r="R240" s="124">
        <f>IF(OR(F241=87201,F241=87100,F241=87200,F241=87500),H241,0)</f>
        <v/>
      </c>
      <c r="S240" s="83">
        <f>IF(E241&gt;0,COUNTIF($E$121:E241,"&gt;0"),0)</f>
        <v/>
      </c>
    </row>
    <row r="241" ht="15" customHeight="1" s="402">
      <c r="A241" s="362">
        <f>IFERROR(VLOOKUP(E242,Tabellen!A:F,4),0)</f>
        <v/>
      </c>
      <c r="B241" s="9" t="n"/>
      <c r="C241" s="9">
        <f>IFERROR(VLOOKUP(E242,Tabellen!A:F,5),0)</f>
        <v/>
      </c>
      <c r="D241" s="362">
        <f>IFERROR(VLOOKUP(E242,Tabellen!A:F,6),0)</f>
        <v/>
      </c>
      <c r="E241" s="356" t="n"/>
      <c r="F241" s="357">
        <f>IFERROR(VLOOKUP(E242,Tabellen!A:H,8),0)</f>
        <v/>
      </c>
      <c r="G241" s="363">
        <f>IFERROR(VLOOKUP(E242,Tabellen!A:F,2),0)</f>
        <v/>
      </c>
      <c r="H241" s="359" t="n"/>
      <c r="I241" s="359" t="n"/>
      <c r="J241" s="359" t="n"/>
      <c r="K241" s="359" t="n"/>
      <c r="L241" s="275">
        <f>IF(E242&gt;0,$H$4,0)</f>
        <v/>
      </c>
      <c r="M241" s="276">
        <f>IFERROR(VLOOKUP(F242,Tabellen!H:I,2),0)</f>
        <v/>
      </c>
      <c r="N241" s="360" t="n"/>
      <c r="O241" s="361" t="n"/>
      <c r="P241" s="83">
        <f>IF(E242&gt;0,COUNTIF($E$17:E242,"&gt;0"),0)</f>
        <v/>
      </c>
      <c r="Q241" s="124">
        <f>IF(OR(F242=47201,F242=47100,F242=47200,F242=47500),H242,0)</f>
        <v/>
      </c>
      <c r="R241" s="124">
        <f>IF(OR(F242=87201,F242=87100,F242=87200,F242=87500),H242,0)</f>
        <v/>
      </c>
      <c r="S241" s="83">
        <f>IF(E242&gt;0,COUNTIF($E$121:E242,"&gt;0"),0)</f>
        <v/>
      </c>
    </row>
    <row r="242" ht="15" customHeight="1" s="402">
      <c r="A242" s="355">
        <f>IFERROR(VLOOKUP(E243,Tabellen!A:F,4),0)</f>
        <v/>
      </c>
      <c r="B242" s="9" t="n"/>
      <c r="C242" s="9">
        <f>IFERROR(VLOOKUP(E243,Tabellen!A:F,5),0)</f>
        <v/>
      </c>
      <c r="D242" s="355">
        <f>IFERROR(VLOOKUP(E243,Tabellen!A:F,6),0)</f>
        <v/>
      </c>
      <c r="E242" s="356" t="n"/>
      <c r="F242" s="357">
        <f>IFERROR(VLOOKUP(E243,Tabellen!A:H,8),0)</f>
        <v/>
      </c>
      <c r="G242" s="358">
        <f>IFERROR(VLOOKUP(E243,Tabellen!A:F,2),0)</f>
        <v/>
      </c>
      <c r="H242" s="359" t="n"/>
      <c r="I242" s="359" t="n"/>
      <c r="J242" s="359" t="n"/>
      <c r="K242" s="359" t="n"/>
      <c r="L242" s="275">
        <f>IF(E243&gt;0,$H$4,0)</f>
        <v/>
      </c>
      <c r="M242" s="276">
        <f>IFERROR(VLOOKUP(F243,Tabellen!H:I,2),0)</f>
        <v/>
      </c>
      <c r="N242" s="360" t="n"/>
      <c r="O242" s="361" t="n"/>
      <c r="P242" s="83">
        <f>IF(E243&gt;0,COUNTIF($E$17:E243,"&gt;0"),0)</f>
        <v/>
      </c>
      <c r="Q242" s="124">
        <f>IF(OR(F243=47201,F243=47100,F243=47200,F243=47500),H243,0)</f>
        <v/>
      </c>
      <c r="R242" s="124">
        <f>IF(OR(F243=87201,F243=87100,F243=87200,F243=87500),H243,0)</f>
        <v/>
      </c>
      <c r="S242" s="83">
        <f>IF(E243&gt;0,COUNTIF($E$121:E243,"&gt;0"),0)</f>
        <v/>
      </c>
    </row>
    <row r="243" ht="15" customHeight="1" s="402">
      <c r="A243" s="362">
        <f>IFERROR(VLOOKUP(E244,Tabellen!A:F,4),0)</f>
        <v/>
      </c>
      <c r="B243" s="9" t="n"/>
      <c r="C243" s="9">
        <f>IFERROR(VLOOKUP(E244,Tabellen!A:F,5),0)</f>
        <v/>
      </c>
      <c r="D243" s="362">
        <f>IFERROR(VLOOKUP(E244,Tabellen!A:F,6),0)</f>
        <v/>
      </c>
      <c r="E243" s="356" t="n"/>
      <c r="F243" s="357">
        <f>IFERROR(VLOOKUP(E244,Tabellen!A:H,8),0)</f>
        <v/>
      </c>
      <c r="G243" s="363">
        <f>IFERROR(VLOOKUP(E244,Tabellen!A:F,2),0)</f>
        <v/>
      </c>
      <c r="H243" s="359" t="n"/>
      <c r="I243" s="359" t="n"/>
      <c r="J243" s="359" t="n"/>
      <c r="K243" s="359" t="n"/>
      <c r="L243" s="275">
        <f>IF(E244&gt;0,$H$4,0)</f>
        <v/>
      </c>
      <c r="M243" s="276">
        <f>IFERROR(VLOOKUP(F244,Tabellen!H:I,2),0)</f>
        <v/>
      </c>
      <c r="N243" s="360" t="n"/>
      <c r="O243" s="361" t="n"/>
      <c r="P243" s="83">
        <f>IF(E244&gt;0,COUNTIF($E$17:E244,"&gt;0"),0)</f>
        <v/>
      </c>
      <c r="Q243" s="124">
        <f>IF(OR(F244=47201,F244=47100,F244=47200,F244=47500),H244,0)</f>
        <v/>
      </c>
      <c r="R243" s="124">
        <f>IF(OR(F244=87201,F244=87100,F244=87200,F244=87500),H244,0)</f>
        <v/>
      </c>
      <c r="S243" s="83">
        <f>IF(E244&gt;0,COUNTIF($E$121:E244,"&gt;0"),0)</f>
        <v/>
      </c>
    </row>
    <row r="244" ht="15" customHeight="1" s="402">
      <c r="A244" s="355">
        <f>IFERROR(VLOOKUP(E245,Tabellen!A:F,4),0)</f>
        <v/>
      </c>
      <c r="B244" s="9" t="n"/>
      <c r="C244" s="9">
        <f>IFERROR(VLOOKUP(E245,Tabellen!A:F,5),0)</f>
        <v/>
      </c>
      <c r="D244" s="355">
        <f>IFERROR(VLOOKUP(E245,Tabellen!A:F,6),0)</f>
        <v/>
      </c>
      <c r="E244" s="356" t="n"/>
      <c r="F244" s="357">
        <f>IFERROR(VLOOKUP(E245,Tabellen!A:H,8),0)</f>
        <v/>
      </c>
      <c r="G244" s="358">
        <f>IFERROR(VLOOKUP(E245,Tabellen!A:F,2),0)</f>
        <v/>
      </c>
      <c r="H244" s="359" t="n"/>
      <c r="I244" s="359" t="n"/>
      <c r="J244" s="359" t="n"/>
      <c r="K244" s="359" t="n"/>
      <c r="L244" s="275">
        <f>IF(E245&gt;0,$H$4,0)</f>
        <v/>
      </c>
      <c r="M244" s="276">
        <f>IFERROR(VLOOKUP(F245,Tabellen!H:I,2),0)</f>
        <v/>
      </c>
      <c r="N244" s="360" t="n"/>
      <c r="O244" s="361" t="n"/>
      <c r="P244" s="83">
        <f>IF(E245&gt;0,COUNTIF($E$17:E245,"&gt;0"),0)</f>
        <v/>
      </c>
      <c r="Q244" s="124">
        <f>IF(OR(F245=47201,F245=47100,F245=47200,F245=47500),H245,0)</f>
        <v/>
      </c>
      <c r="R244" s="124">
        <f>IF(OR(F245=87201,F245=87100,F245=87200,F245=87500),H245,0)</f>
        <v/>
      </c>
      <c r="S244" s="83">
        <f>IF(E245&gt;0,COUNTIF($E$121:E245,"&gt;0"),0)</f>
        <v/>
      </c>
    </row>
    <row r="245" ht="15" customHeight="1" s="402">
      <c r="A245" s="362">
        <f>IFERROR(VLOOKUP(E246,Tabellen!A:F,4),0)</f>
        <v/>
      </c>
      <c r="B245" s="9" t="n"/>
      <c r="C245" s="9">
        <f>IFERROR(VLOOKUP(E246,Tabellen!A:F,5),0)</f>
        <v/>
      </c>
      <c r="D245" s="362">
        <f>IFERROR(VLOOKUP(E246,Tabellen!A:F,6),0)</f>
        <v/>
      </c>
      <c r="E245" s="356" t="n"/>
      <c r="F245" s="357">
        <f>IFERROR(VLOOKUP(E246,Tabellen!A:H,8),0)</f>
        <v/>
      </c>
      <c r="G245" s="363">
        <f>IFERROR(VLOOKUP(E246,Tabellen!A:F,2),0)</f>
        <v/>
      </c>
      <c r="H245" s="359" t="n"/>
      <c r="I245" s="359" t="n"/>
      <c r="J245" s="359" t="n"/>
      <c r="K245" s="359" t="n"/>
      <c r="L245" s="275">
        <f>IF(E246&gt;0,$H$4,0)</f>
        <v/>
      </c>
      <c r="M245" s="276">
        <f>IFERROR(VLOOKUP(F246,Tabellen!H:I,2),0)</f>
        <v/>
      </c>
      <c r="N245" s="360" t="n"/>
      <c r="O245" s="361" t="n"/>
      <c r="P245" s="83">
        <f>IF(E246&gt;0,COUNTIF($E$17:E246,"&gt;0"),0)</f>
        <v/>
      </c>
      <c r="Q245" s="124">
        <f>IF(OR(F246=47201,F246=47100,F246=47200,F246=47500),H246,0)</f>
        <v/>
      </c>
      <c r="R245" s="124">
        <f>IF(OR(F246=87201,F246=87100,F246=87200,F246=87500),H246,0)</f>
        <v/>
      </c>
      <c r="S245" s="83">
        <f>IF(E246&gt;0,COUNTIF($E$121:E246,"&gt;0"),0)</f>
        <v/>
      </c>
    </row>
    <row r="246" ht="15" customHeight="1" s="402">
      <c r="A246" s="355">
        <f>IFERROR(VLOOKUP(E247,Tabellen!A:F,4),0)</f>
        <v/>
      </c>
      <c r="B246" s="9" t="n"/>
      <c r="C246" s="9">
        <f>IFERROR(VLOOKUP(E247,Tabellen!A:F,5),0)</f>
        <v/>
      </c>
      <c r="D246" s="355">
        <f>IFERROR(VLOOKUP(E247,Tabellen!A:F,6),0)</f>
        <v/>
      </c>
      <c r="E246" s="356" t="n"/>
      <c r="F246" s="357">
        <f>IFERROR(VLOOKUP(E247,Tabellen!A:H,8),0)</f>
        <v/>
      </c>
      <c r="G246" s="358">
        <f>IFERROR(VLOOKUP(E247,Tabellen!A:F,2),0)</f>
        <v/>
      </c>
      <c r="H246" s="359" t="n"/>
      <c r="I246" s="359" t="n"/>
      <c r="J246" s="359" t="n"/>
      <c r="K246" s="359" t="n"/>
      <c r="L246" s="275">
        <f>IF(E247&gt;0,$H$4,0)</f>
        <v/>
      </c>
      <c r="M246" s="276">
        <f>IFERROR(VLOOKUP(F247,Tabellen!H:I,2),0)</f>
        <v/>
      </c>
      <c r="N246" s="360" t="n"/>
      <c r="O246" s="361" t="n"/>
      <c r="P246" s="83">
        <f>IF(E247&gt;0,COUNTIF($E$17:E247,"&gt;0"),0)</f>
        <v/>
      </c>
      <c r="Q246" s="124">
        <f>IF(OR(F247=47201,F247=47100,F247=47200,F247=47500),H247,0)</f>
        <v/>
      </c>
      <c r="R246" s="124">
        <f>IF(OR(F247=87201,F247=87100,F247=87200,F247=87500),H247,0)</f>
        <v/>
      </c>
      <c r="S246" s="83">
        <f>IF(E247&gt;0,COUNTIF($E$121:E247,"&gt;0"),0)</f>
        <v/>
      </c>
    </row>
    <row r="247" ht="15" customHeight="1" s="402">
      <c r="A247" s="362">
        <f>IFERROR(VLOOKUP(E248,Tabellen!A:F,4),0)</f>
        <v/>
      </c>
      <c r="B247" s="9" t="n"/>
      <c r="C247" s="9">
        <f>IFERROR(VLOOKUP(E248,Tabellen!A:F,5),0)</f>
        <v/>
      </c>
      <c r="D247" s="362">
        <f>IFERROR(VLOOKUP(E248,Tabellen!A:F,6),0)</f>
        <v/>
      </c>
      <c r="E247" s="356" t="n"/>
      <c r="F247" s="357">
        <f>IFERROR(VLOOKUP(E248,Tabellen!A:H,8),0)</f>
        <v/>
      </c>
      <c r="G247" s="363">
        <f>IFERROR(VLOOKUP(E248,Tabellen!A:F,2),0)</f>
        <v/>
      </c>
      <c r="H247" s="359" t="n"/>
      <c r="I247" s="359" t="n"/>
      <c r="J247" s="359" t="n"/>
      <c r="K247" s="359" t="n"/>
      <c r="L247" s="275">
        <f>IF(E248&gt;0,$H$4,0)</f>
        <v/>
      </c>
      <c r="M247" s="276">
        <f>IFERROR(VLOOKUP(F248,Tabellen!H:I,2),0)</f>
        <v/>
      </c>
      <c r="N247" s="360" t="n"/>
      <c r="O247" s="361" t="n"/>
      <c r="P247" s="83">
        <f>IF(E248&gt;0,COUNTIF($E$17:E248,"&gt;0"),0)</f>
        <v/>
      </c>
      <c r="Q247" s="124">
        <f>IF(OR(F248=47201,F248=47100,F248=47200,F248=47500),H248,0)</f>
        <v/>
      </c>
      <c r="R247" s="124">
        <f>IF(OR(F248=87201,F248=87100,F248=87200,F248=87500),H248,0)</f>
        <v/>
      </c>
      <c r="S247" s="83">
        <f>IF(E248&gt;0,COUNTIF($E$121:E248,"&gt;0"),0)</f>
        <v/>
      </c>
    </row>
    <row r="248" ht="15" customHeight="1" s="402">
      <c r="A248" s="355">
        <f>IFERROR(VLOOKUP(E249,Tabellen!A:F,4),0)</f>
        <v/>
      </c>
      <c r="B248" s="9" t="n"/>
      <c r="C248" s="9">
        <f>IFERROR(VLOOKUP(E249,Tabellen!A:F,5),0)</f>
        <v/>
      </c>
      <c r="D248" s="355">
        <f>IFERROR(VLOOKUP(E249,Tabellen!A:F,6),0)</f>
        <v/>
      </c>
      <c r="E248" s="356" t="n"/>
      <c r="F248" s="357">
        <f>IFERROR(VLOOKUP(E249,Tabellen!A:H,8),0)</f>
        <v/>
      </c>
      <c r="G248" s="358">
        <f>IFERROR(VLOOKUP(E249,Tabellen!A:F,2),0)</f>
        <v/>
      </c>
      <c r="H248" s="359" t="n"/>
      <c r="I248" s="359" t="n"/>
      <c r="J248" s="359" t="n"/>
      <c r="K248" s="359" t="n"/>
      <c r="L248" s="275">
        <f>IF(E249&gt;0,$H$4,0)</f>
        <v/>
      </c>
      <c r="M248" s="276">
        <f>IFERROR(VLOOKUP(F249,Tabellen!H:I,2),0)</f>
        <v/>
      </c>
      <c r="N248" s="360" t="n"/>
      <c r="O248" s="361" t="n"/>
      <c r="P248" s="83">
        <f>IF(E249&gt;0,COUNTIF($E$17:E249,"&gt;0"),0)</f>
        <v/>
      </c>
      <c r="Q248" s="124">
        <f>IF(OR(F249=47201,F249=47100,F249=47200,F249=47500),H249,0)</f>
        <v/>
      </c>
      <c r="R248" s="124">
        <f>IF(OR(F249=87201,F249=87100,F249=87200,F249=87500),H249,0)</f>
        <v/>
      </c>
      <c r="S248" s="83">
        <f>IF(E249&gt;0,COUNTIF($E$121:E249,"&gt;0"),0)</f>
        <v/>
      </c>
    </row>
    <row r="249" ht="15" customHeight="1" s="402">
      <c r="A249" s="362">
        <f>IFERROR(VLOOKUP(E250,Tabellen!A:F,4),0)</f>
        <v/>
      </c>
      <c r="B249" s="9" t="n"/>
      <c r="C249" s="9">
        <f>IFERROR(VLOOKUP(E250,Tabellen!A:F,5),0)</f>
        <v/>
      </c>
      <c r="D249" s="362">
        <f>IFERROR(VLOOKUP(E250,Tabellen!A:F,6),0)</f>
        <v/>
      </c>
      <c r="E249" s="356" t="n"/>
      <c r="F249" s="357">
        <f>IFERROR(VLOOKUP(E250,Tabellen!A:H,8),0)</f>
        <v/>
      </c>
      <c r="G249" s="363">
        <f>IFERROR(VLOOKUP(E250,Tabellen!A:F,2),0)</f>
        <v/>
      </c>
      <c r="H249" s="359" t="n"/>
      <c r="I249" s="359" t="n"/>
      <c r="J249" s="359" t="n"/>
      <c r="K249" s="359" t="n"/>
      <c r="L249" s="275">
        <f>IF(E250&gt;0,$H$4,0)</f>
        <v/>
      </c>
      <c r="M249" s="276">
        <f>IFERROR(VLOOKUP(F250,Tabellen!H:I,2),0)</f>
        <v/>
      </c>
      <c r="N249" s="360" t="n"/>
      <c r="O249" s="361" t="n"/>
      <c r="P249" s="83">
        <f>IF(E250&gt;0,COUNTIF($E$17:E250,"&gt;0"),0)</f>
        <v/>
      </c>
      <c r="Q249" s="124">
        <f>IF(OR(F250=47201,F250=47100,F250=47200,F250=47500),H250,0)</f>
        <v/>
      </c>
      <c r="R249" s="124">
        <f>IF(OR(F250=87201,F250=87100,F250=87200,F250=87500),H250,0)</f>
        <v/>
      </c>
      <c r="S249" s="83">
        <f>IF(E250&gt;0,COUNTIF($E$121:E250,"&gt;0"),0)</f>
        <v/>
      </c>
    </row>
    <row r="250" ht="15" customHeight="1" s="402">
      <c r="A250" s="355">
        <f>IFERROR(VLOOKUP(E251,Tabellen!A:F,4),0)</f>
        <v/>
      </c>
      <c r="B250" s="9" t="n"/>
      <c r="C250" s="9">
        <f>IFERROR(VLOOKUP(E251,Tabellen!A:F,5),0)</f>
        <v/>
      </c>
      <c r="D250" s="355">
        <f>IFERROR(VLOOKUP(E251,Tabellen!A:F,6),0)</f>
        <v/>
      </c>
      <c r="E250" s="356" t="n"/>
      <c r="F250" s="357">
        <f>IFERROR(VLOOKUP(E251,Tabellen!A:H,8),0)</f>
        <v/>
      </c>
      <c r="G250" s="358">
        <f>IFERROR(VLOOKUP(E251,Tabellen!A:F,2),0)</f>
        <v/>
      </c>
      <c r="H250" s="359" t="n"/>
      <c r="I250" s="359" t="n"/>
      <c r="J250" s="359" t="n"/>
      <c r="K250" s="359" t="n"/>
      <c r="L250" s="275">
        <f>IF(E251&gt;0,$H$4,0)</f>
        <v/>
      </c>
      <c r="M250" s="276">
        <f>IFERROR(VLOOKUP(F251,Tabellen!H:I,2),0)</f>
        <v/>
      </c>
      <c r="N250" s="360" t="n"/>
      <c r="O250" s="361" t="n"/>
      <c r="P250" s="83">
        <f>IF(E251&gt;0,COUNTIF($E$17:E251,"&gt;0"),0)</f>
        <v/>
      </c>
      <c r="Q250" s="124">
        <f>IF(OR(F251=47201,F251=47100,F251=47200,F251=47500),H251,0)</f>
        <v/>
      </c>
      <c r="R250" s="124">
        <f>IF(OR(F251=87201,F251=87100,F251=87200,F251=87500),H251,0)</f>
        <v/>
      </c>
      <c r="S250" s="83">
        <f>IF(E251&gt;0,COUNTIF($E$121:E251,"&gt;0"),0)</f>
        <v/>
      </c>
    </row>
    <row r="251" ht="15" customHeight="1" s="402">
      <c r="A251" s="362">
        <f>IFERROR(VLOOKUP(E252,Tabellen!A:F,4),0)</f>
        <v/>
      </c>
      <c r="B251" s="9" t="n"/>
      <c r="C251" s="9">
        <f>IFERROR(VLOOKUP(E252,Tabellen!A:F,5),0)</f>
        <v/>
      </c>
      <c r="D251" s="362">
        <f>IFERROR(VLOOKUP(E252,Tabellen!A:F,6),0)</f>
        <v/>
      </c>
      <c r="E251" s="356" t="n"/>
      <c r="F251" s="357">
        <f>IFERROR(VLOOKUP(E252,Tabellen!A:H,8),0)</f>
        <v/>
      </c>
      <c r="G251" s="363">
        <f>IFERROR(VLOOKUP(E252,Tabellen!A:F,2),0)</f>
        <v/>
      </c>
      <c r="H251" s="359" t="n"/>
      <c r="I251" s="359" t="n"/>
      <c r="J251" s="359" t="n"/>
      <c r="K251" s="359" t="n"/>
      <c r="L251" s="275">
        <f>IF(E252&gt;0,$H$4,0)</f>
        <v/>
      </c>
      <c r="M251" s="276">
        <f>IFERROR(VLOOKUP(F252,Tabellen!H:I,2),0)</f>
        <v/>
      </c>
      <c r="N251" s="360" t="n"/>
      <c r="O251" s="361" t="n"/>
      <c r="P251" s="83">
        <f>IF(E252&gt;0,COUNTIF($E$17:E252,"&gt;0"),0)</f>
        <v/>
      </c>
      <c r="Q251" s="124">
        <f>IF(OR(F252=47201,F252=47100,F252=47200,F252=47500),H252,0)</f>
        <v/>
      </c>
      <c r="R251" s="124">
        <f>IF(OR(F252=87201,F252=87100,F252=87200,F252=87500),H252,0)</f>
        <v/>
      </c>
      <c r="S251" s="83">
        <f>IF(E252&gt;0,COUNTIF($E$121:E252,"&gt;0"),0)</f>
        <v/>
      </c>
    </row>
    <row r="252" ht="15" customHeight="1" s="402">
      <c r="A252" s="355">
        <f>IFERROR(VLOOKUP(E253,Tabellen!A:F,4),0)</f>
        <v/>
      </c>
      <c r="B252" s="9" t="n"/>
      <c r="C252" s="9">
        <f>IFERROR(VLOOKUP(E253,Tabellen!A:F,5),0)</f>
        <v/>
      </c>
      <c r="D252" s="355">
        <f>IFERROR(VLOOKUP(E253,Tabellen!A:F,6),0)</f>
        <v/>
      </c>
      <c r="E252" s="356" t="n"/>
      <c r="F252" s="357">
        <f>IFERROR(VLOOKUP(E253,Tabellen!A:H,8),0)</f>
        <v/>
      </c>
      <c r="G252" s="358">
        <f>IFERROR(VLOOKUP(E253,Tabellen!A:F,2),0)</f>
        <v/>
      </c>
      <c r="H252" s="359" t="n"/>
      <c r="I252" s="359" t="n"/>
      <c r="J252" s="359" t="n"/>
      <c r="K252" s="359" t="n"/>
      <c r="L252" s="275">
        <f>IF(E253&gt;0,$H$4,0)</f>
        <v/>
      </c>
      <c r="M252" s="276">
        <f>IFERROR(VLOOKUP(F253,Tabellen!H:I,2),0)</f>
        <v/>
      </c>
      <c r="N252" s="360" t="n"/>
      <c r="O252" s="361" t="n"/>
      <c r="P252" s="83">
        <f>IF(E253&gt;0,COUNTIF($E$17:E253,"&gt;0"),0)</f>
        <v/>
      </c>
      <c r="Q252" s="124">
        <f>IF(OR(F253=47201,F253=47100,F253=47200,F253=47500),H253,0)</f>
        <v/>
      </c>
      <c r="R252" s="124">
        <f>IF(OR(F253=87201,F253=87100,F253=87200,F253=87500),H253,0)</f>
        <v/>
      </c>
      <c r="S252" s="83">
        <f>IF(E253&gt;0,COUNTIF($E$121:E253,"&gt;0"),0)</f>
        <v/>
      </c>
    </row>
    <row r="253" ht="15" customHeight="1" s="402">
      <c r="A253" s="362">
        <f>IFERROR(VLOOKUP(E254,Tabellen!A:F,4),0)</f>
        <v/>
      </c>
      <c r="B253" s="9" t="n"/>
      <c r="C253" s="9">
        <f>IFERROR(VLOOKUP(E254,Tabellen!A:F,5),0)</f>
        <v/>
      </c>
      <c r="D253" s="362">
        <f>IFERROR(VLOOKUP(E254,Tabellen!A:F,6),0)</f>
        <v/>
      </c>
      <c r="E253" s="356" t="n"/>
      <c r="F253" s="357">
        <f>IFERROR(VLOOKUP(E254,Tabellen!A:H,8),0)</f>
        <v/>
      </c>
      <c r="G253" s="363">
        <f>IFERROR(VLOOKUP(E254,Tabellen!A:F,2),0)</f>
        <v/>
      </c>
      <c r="H253" s="359" t="n"/>
      <c r="I253" s="359" t="n"/>
      <c r="J253" s="359" t="n"/>
      <c r="K253" s="359" t="n"/>
      <c r="L253" s="275">
        <f>IF(E254&gt;0,$H$4,0)</f>
        <v/>
      </c>
      <c r="M253" s="276">
        <f>IFERROR(VLOOKUP(F254,Tabellen!H:I,2),0)</f>
        <v/>
      </c>
      <c r="N253" s="360" t="n"/>
      <c r="O253" s="361" t="n"/>
      <c r="P253" s="83">
        <f>IF(E254&gt;0,COUNTIF($E$17:E254,"&gt;0"),0)</f>
        <v/>
      </c>
      <c r="Q253" s="124">
        <f>IF(OR(F254=47201,F254=47100,F254=47200,F254=47500),H254,0)</f>
        <v/>
      </c>
      <c r="R253" s="124">
        <f>IF(OR(F254=87201,F254=87100,F254=87200,F254=87500),H254,0)</f>
        <v/>
      </c>
      <c r="S253" s="83">
        <f>IF(E254&gt;0,COUNTIF($E$121:E254,"&gt;0"),0)</f>
        <v/>
      </c>
    </row>
    <row r="254" ht="15" customHeight="1" s="402">
      <c r="A254" s="355">
        <f>IFERROR(VLOOKUP(E255,Tabellen!A:F,4),0)</f>
        <v/>
      </c>
      <c r="B254" s="9" t="n"/>
      <c r="C254" s="9">
        <f>IFERROR(VLOOKUP(E255,Tabellen!A:F,5),0)</f>
        <v/>
      </c>
      <c r="D254" s="355">
        <f>IFERROR(VLOOKUP(E255,Tabellen!A:F,6),0)</f>
        <v/>
      </c>
      <c r="E254" s="356" t="n"/>
      <c r="F254" s="357">
        <f>IFERROR(VLOOKUP(E255,Tabellen!A:H,8),0)</f>
        <v/>
      </c>
      <c r="G254" s="358">
        <f>IFERROR(VLOOKUP(E255,Tabellen!A:F,2),0)</f>
        <v/>
      </c>
      <c r="H254" s="359" t="n"/>
      <c r="I254" s="359" t="n"/>
      <c r="J254" s="359" t="n"/>
      <c r="K254" s="359" t="n"/>
      <c r="L254" s="275">
        <f>IF(E255&gt;0,$H$4,0)</f>
        <v/>
      </c>
      <c r="M254" s="276">
        <f>IFERROR(VLOOKUP(F255,Tabellen!H:I,2),0)</f>
        <v/>
      </c>
      <c r="N254" s="360" t="n"/>
      <c r="O254" s="361" t="n"/>
      <c r="P254" s="83">
        <f>IF(E255&gt;0,COUNTIF($E$17:E255,"&gt;0"),0)</f>
        <v/>
      </c>
      <c r="Q254" s="124">
        <f>IF(OR(F255=47201,F255=47100,F255=47200,F255=47500),H255,0)</f>
        <v/>
      </c>
      <c r="R254" s="124">
        <f>IF(OR(F255=87201,F255=87100,F255=87200,F255=87500),H255,0)</f>
        <v/>
      </c>
      <c r="S254" s="83">
        <f>IF(E255&gt;0,COUNTIF($E$121:E255,"&gt;0"),0)</f>
        <v/>
      </c>
    </row>
    <row r="255" ht="15" customHeight="1" s="402">
      <c r="A255" s="362">
        <f>IFERROR(VLOOKUP(E256,Tabellen!A:F,4),0)</f>
        <v/>
      </c>
      <c r="B255" s="9" t="n"/>
      <c r="C255" s="9">
        <f>IFERROR(VLOOKUP(E256,Tabellen!A:F,5),0)</f>
        <v/>
      </c>
      <c r="D255" s="362">
        <f>IFERROR(VLOOKUP(E256,Tabellen!A:F,6),0)</f>
        <v/>
      </c>
      <c r="E255" s="356" t="n"/>
      <c r="F255" s="357">
        <f>IFERROR(VLOOKUP(E256,Tabellen!A:H,8),0)</f>
        <v/>
      </c>
      <c r="G255" s="363">
        <f>IFERROR(VLOOKUP(E256,Tabellen!A:F,2),0)</f>
        <v/>
      </c>
      <c r="H255" s="359" t="n"/>
      <c r="I255" s="359" t="n"/>
      <c r="J255" s="359" t="n"/>
      <c r="K255" s="359" t="n"/>
      <c r="L255" s="275">
        <f>IF(E256&gt;0,$H$4,0)</f>
        <v/>
      </c>
      <c r="M255" s="276">
        <f>IFERROR(VLOOKUP(F256,Tabellen!H:I,2),0)</f>
        <v/>
      </c>
      <c r="N255" s="360" t="n"/>
      <c r="O255" s="361" t="n"/>
      <c r="P255" s="83">
        <f>IF(E256&gt;0,COUNTIF($E$17:E256,"&gt;0"),0)</f>
        <v/>
      </c>
      <c r="Q255" s="124">
        <f>IF(OR(F256=47201,F256=47100,F256=47200,F256=47500),H256,0)</f>
        <v/>
      </c>
      <c r="R255" s="124">
        <f>IF(OR(F256=87201,F256=87100,F256=87200,F256=87500),H256,0)</f>
        <v/>
      </c>
      <c r="S255" s="83">
        <f>IF(E256&gt;0,COUNTIF($E$121:E256,"&gt;0"),0)</f>
        <v/>
      </c>
    </row>
    <row r="256" ht="15" customHeight="1" s="402">
      <c r="A256" s="355">
        <f>IFERROR(VLOOKUP(E257,Tabellen!A:F,4),0)</f>
        <v/>
      </c>
      <c r="B256" s="9" t="n"/>
      <c r="C256" s="9">
        <f>IFERROR(VLOOKUP(E257,Tabellen!A:F,5),0)</f>
        <v/>
      </c>
      <c r="D256" s="355">
        <f>IFERROR(VLOOKUP(E257,Tabellen!A:F,6),0)</f>
        <v/>
      </c>
      <c r="E256" s="356" t="n"/>
      <c r="F256" s="357">
        <f>IFERROR(VLOOKUP(E257,Tabellen!A:H,8),0)</f>
        <v/>
      </c>
      <c r="G256" s="358">
        <f>IFERROR(VLOOKUP(E257,Tabellen!A:F,2),0)</f>
        <v/>
      </c>
      <c r="H256" s="359" t="n"/>
      <c r="I256" s="359" t="n"/>
      <c r="J256" s="359" t="n"/>
      <c r="K256" s="359" t="n"/>
      <c r="L256" s="275">
        <f>IF(E257&gt;0,$H$4,0)</f>
        <v/>
      </c>
      <c r="M256" s="276">
        <f>IFERROR(VLOOKUP(F257,Tabellen!H:I,2),0)</f>
        <v/>
      </c>
      <c r="N256" s="360" t="n"/>
      <c r="O256" s="361" t="n"/>
      <c r="P256" s="83">
        <f>IF(E257&gt;0,COUNTIF($E$17:E257,"&gt;0"),0)</f>
        <v/>
      </c>
      <c r="Q256" s="124">
        <f>IF(OR(F257=47201,F257=47100,F257=47200,F257=47500),H257,0)</f>
        <v/>
      </c>
      <c r="R256" s="124">
        <f>IF(OR(F257=87201,F257=87100,F257=87200,F257=87500),H257,0)</f>
        <v/>
      </c>
      <c r="S256" s="83">
        <f>IF(E257&gt;0,COUNTIF($E$121:E257,"&gt;0"),0)</f>
        <v/>
      </c>
    </row>
    <row r="257" ht="15" customHeight="1" s="402">
      <c r="A257" s="362">
        <f>IFERROR(VLOOKUP(E258,Tabellen!A:F,4),0)</f>
        <v/>
      </c>
      <c r="B257" s="9" t="n"/>
      <c r="C257" s="9">
        <f>IFERROR(VLOOKUP(E258,Tabellen!A:F,5),0)</f>
        <v/>
      </c>
      <c r="D257" s="362">
        <f>IFERROR(VLOOKUP(E258,Tabellen!A:F,6),0)</f>
        <v/>
      </c>
      <c r="E257" s="356" t="n"/>
      <c r="F257" s="357">
        <f>IFERROR(VLOOKUP(E258,Tabellen!A:H,8),0)</f>
        <v/>
      </c>
      <c r="G257" s="363">
        <f>IFERROR(VLOOKUP(E258,Tabellen!A:F,2),0)</f>
        <v/>
      </c>
      <c r="H257" s="359" t="n"/>
      <c r="I257" s="359" t="n"/>
      <c r="J257" s="359" t="n"/>
      <c r="K257" s="359" t="n"/>
      <c r="L257" s="275">
        <f>IF(E258&gt;0,$H$4,0)</f>
        <v/>
      </c>
      <c r="M257" s="276">
        <f>IFERROR(VLOOKUP(F258,Tabellen!H:I,2),0)</f>
        <v/>
      </c>
      <c r="N257" s="360" t="n"/>
      <c r="O257" s="361" t="n"/>
      <c r="P257" s="83">
        <f>IF(E258&gt;0,COUNTIF($E$17:E258,"&gt;0"),0)</f>
        <v/>
      </c>
      <c r="Q257" s="124">
        <f>IF(OR(F258=47201,F258=47100,F258=47200,F258=47500),H258,0)</f>
        <v/>
      </c>
      <c r="R257" s="124">
        <f>IF(OR(F258=87201,F258=87100,F258=87200,F258=87500),H258,0)</f>
        <v/>
      </c>
      <c r="S257" s="83">
        <f>IF(E258&gt;0,COUNTIF($E$121:E258,"&gt;0"),0)</f>
        <v/>
      </c>
    </row>
    <row r="258" ht="15" customHeight="1" s="402">
      <c r="A258" s="355">
        <f>IFERROR(VLOOKUP(E259,Tabellen!A:F,4),0)</f>
        <v/>
      </c>
      <c r="B258" s="9" t="n"/>
      <c r="C258" s="9">
        <f>IFERROR(VLOOKUP(E259,Tabellen!A:F,5),0)</f>
        <v/>
      </c>
      <c r="D258" s="355">
        <f>IFERROR(VLOOKUP(E259,Tabellen!A:F,6),0)</f>
        <v/>
      </c>
      <c r="E258" s="356" t="n"/>
      <c r="F258" s="357">
        <f>IFERROR(VLOOKUP(E259,Tabellen!A:H,8),0)</f>
        <v/>
      </c>
      <c r="G258" s="358">
        <f>IFERROR(VLOOKUP(E259,Tabellen!A:F,2),0)</f>
        <v/>
      </c>
      <c r="H258" s="359" t="n"/>
      <c r="I258" s="359" t="n"/>
      <c r="J258" s="359" t="n"/>
      <c r="K258" s="359" t="n"/>
      <c r="L258" s="275">
        <f>IF(E259&gt;0,$H$4,0)</f>
        <v/>
      </c>
      <c r="M258" s="276">
        <f>IFERROR(VLOOKUP(F259,Tabellen!H:I,2),0)</f>
        <v/>
      </c>
      <c r="N258" s="360" t="n"/>
      <c r="O258" s="361" t="n"/>
      <c r="P258" s="83">
        <f>IF(E259&gt;0,COUNTIF($E$17:E259,"&gt;0"),0)</f>
        <v/>
      </c>
      <c r="Q258" s="124">
        <f>IF(OR(F259=47201,F259=47100,F259=47200,F259=47500),H259,0)</f>
        <v/>
      </c>
      <c r="R258" s="124">
        <f>IF(OR(F259=87201,F259=87100,F259=87200,F259=87500),H259,0)</f>
        <v/>
      </c>
      <c r="S258" s="83">
        <f>IF(E259&gt;0,COUNTIF($E$121:E259,"&gt;0"),0)</f>
        <v/>
      </c>
    </row>
    <row r="259" ht="15" customHeight="1" s="402">
      <c r="A259" s="362">
        <f>IFERROR(VLOOKUP(E260,Tabellen!A:F,4),0)</f>
        <v/>
      </c>
      <c r="B259" s="9" t="n"/>
      <c r="C259" s="9">
        <f>IFERROR(VLOOKUP(E260,Tabellen!A:F,5),0)</f>
        <v/>
      </c>
      <c r="D259" s="362">
        <f>IFERROR(VLOOKUP(E260,Tabellen!A:F,6),0)</f>
        <v/>
      </c>
      <c r="E259" s="356" t="n"/>
      <c r="F259" s="357">
        <f>IFERROR(VLOOKUP(E260,Tabellen!A:H,8),0)</f>
        <v/>
      </c>
      <c r="G259" s="363">
        <f>IFERROR(VLOOKUP(E260,Tabellen!A:F,2),0)</f>
        <v/>
      </c>
      <c r="H259" s="359" t="n"/>
      <c r="I259" s="359" t="n"/>
      <c r="J259" s="359" t="n"/>
      <c r="K259" s="359" t="n"/>
      <c r="L259" s="275">
        <f>IF(E260&gt;0,$H$4,0)</f>
        <v/>
      </c>
      <c r="M259" s="276">
        <f>IFERROR(VLOOKUP(F260,Tabellen!H:I,2),0)</f>
        <v/>
      </c>
      <c r="N259" s="360" t="n"/>
      <c r="O259" s="361" t="n"/>
      <c r="P259" s="83">
        <f>IF(E260&gt;0,COUNTIF($E$17:E260,"&gt;0"),0)</f>
        <v/>
      </c>
      <c r="Q259" s="124">
        <f>IF(OR(F260=47201,F260=47100,F260=47200,F260=47500),H260,0)</f>
        <v/>
      </c>
      <c r="R259" s="124">
        <f>IF(OR(F260=87201,F260=87100,F260=87200,F260=87500),H260,0)</f>
        <v/>
      </c>
      <c r="S259" s="83">
        <f>IF(E260&gt;0,COUNTIF($E$121:E260,"&gt;0"),0)</f>
        <v/>
      </c>
    </row>
    <row r="260" ht="15" customHeight="1" s="402">
      <c r="A260" s="355">
        <f>IFERROR(VLOOKUP(E261,Tabellen!A:F,4),0)</f>
        <v/>
      </c>
      <c r="B260" s="9" t="n"/>
      <c r="C260" s="9">
        <f>IFERROR(VLOOKUP(E261,Tabellen!A:F,5),0)</f>
        <v/>
      </c>
      <c r="D260" s="355">
        <f>IFERROR(VLOOKUP(E261,Tabellen!A:F,6),0)</f>
        <v/>
      </c>
      <c r="E260" s="356" t="n"/>
      <c r="F260" s="357">
        <f>IFERROR(VLOOKUP(E261,Tabellen!A:H,8),0)</f>
        <v/>
      </c>
      <c r="G260" s="358">
        <f>IFERROR(VLOOKUP(E261,Tabellen!A:F,2),0)</f>
        <v/>
      </c>
      <c r="H260" s="359" t="n"/>
      <c r="I260" s="359" t="n"/>
      <c r="J260" s="359" t="n"/>
      <c r="K260" s="359" t="n"/>
      <c r="L260" s="275">
        <f>IF(E261&gt;0,$H$4,0)</f>
        <v/>
      </c>
      <c r="M260" s="276">
        <f>IFERROR(VLOOKUP(F261,Tabellen!H:I,2),0)</f>
        <v/>
      </c>
      <c r="N260" s="360" t="n"/>
      <c r="O260" s="361" t="n"/>
      <c r="P260" s="83">
        <f>IF(E261&gt;0,COUNTIF($E$17:E261,"&gt;0"),0)</f>
        <v/>
      </c>
      <c r="Q260" s="124">
        <f>IF(OR(F261=47201,F261=47100,F261=47200,F261=47500),H261,0)</f>
        <v/>
      </c>
      <c r="R260" s="124">
        <f>IF(OR(F261=87201,F261=87100,F261=87200,F261=87500),H261,0)</f>
        <v/>
      </c>
      <c r="S260" s="83">
        <f>IF(E261&gt;0,COUNTIF($E$121:E261,"&gt;0"),0)</f>
        <v/>
      </c>
    </row>
    <row r="261" ht="15" customHeight="1" s="402">
      <c r="A261" s="362">
        <f>IFERROR(VLOOKUP(E262,Tabellen!A:F,4),0)</f>
        <v/>
      </c>
      <c r="B261" s="9" t="n"/>
      <c r="C261" s="9">
        <f>IFERROR(VLOOKUP(E262,Tabellen!A:F,5),0)</f>
        <v/>
      </c>
      <c r="D261" s="362">
        <f>IFERROR(VLOOKUP(E262,Tabellen!A:F,6),0)</f>
        <v/>
      </c>
      <c r="E261" s="356" t="n"/>
      <c r="F261" s="357">
        <f>IFERROR(VLOOKUP(E262,Tabellen!A:H,8),0)</f>
        <v/>
      </c>
      <c r="G261" s="363">
        <f>IFERROR(VLOOKUP(E262,Tabellen!A:F,2),0)</f>
        <v/>
      </c>
      <c r="H261" s="359" t="n"/>
      <c r="I261" s="359" t="n"/>
      <c r="J261" s="359" t="n"/>
      <c r="K261" s="359" t="n"/>
      <c r="L261" s="275">
        <f>IF(E262&gt;0,$H$4,0)</f>
        <v/>
      </c>
      <c r="M261" s="276">
        <f>IFERROR(VLOOKUP(F262,Tabellen!H:I,2),0)</f>
        <v/>
      </c>
      <c r="N261" s="360" t="n"/>
      <c r="O261" s="361" t="n"/>
      <c r="P261" s="83">
        <f>IF(E262&gt;0,COUNTIF($E$17:E262,"&gt;0"),0)</f>
        <v/>
      </c>
      <c r="Q261" s="124">
        <f>IF(OR(F262=47201,F262=47100,F262=47200,F262=47500),H262,0)</f>
        <v/>
      </c>
      <c r="R261" s="124">
        <f>IF(OR(F262=87201,F262=87100,F262=87200,F262=87500),H262,0)</f>
        <v/>
      </c>
      <c r="S261" s="83">
        <f>IF(E262&gt;0,COUNTIF($E$121:E262,"&gt;0"),0)</f>
        <v/>
      </c>
    </row>
    <row r="262" ht="15" customHeight="1" s="402">
      <c r="A262" s="355">
        <f>IFERROR(VLOOKUP(E263,Tabellen!A:F,4),0)</f>
        <v/>
      </c>
      <c r="B262" s="9" t="n"/>
      <c r="C262" s="9">
        <f>IFERROR(VLOOKUP(E263,Tabellen!A:F,5),0)</f>
        <v/>
      </c>
      <c r="D262" s="355">
        <f>IFERROR(VLOOKUP(E263,Tabellen!A:F,6),0)</f>
        <v/>
      </c>
      <c r="E262" s="356" t="n"/>
      <c r="F262" s="357">
        <f>IFERROR(VLOOKUP(E263,Tabellen!A:H,8),0)</f>
        <v/>
      </c>
      <c r="G262" s="358">
        <f>IFERROR(VLOOKUP(E263,Tabellen!A:F,2),0)</f>
        <v/>
      </c>
      <c r="H262" s="359" t="n"/>
      <c r="I262" s="359" t="n"/>
      <c r="J262" s="359" t="n"/>
      <c r="K262" s="359" t="n"/>
      <c r="L262" s="275">
        <f>IF(E263&gt;0,$H$4,0)</f>
        <v/>
      </c>
      <c r="M262" s="276">
        <f>IFERROR(VLOOKUP(F263,Tabellen!H:I,2),0)</f>
        <v/>
      </c>
      <c r="N262" s="360" t="n"/>
      <c r="O262" s="361" t="n"/>
      <c r="P262" s="83">
        <f>IF(E263&gt;0,COUNTIF($E$17:E263,"&gt;0"),0)</f>
        <v/>
      </c>
      <c r="Q262" s="124">
        <f>IF(OR(F263=47201,F263=47100,F263=47200,F263=47500),H263,0)</f>
        <v/>
      </c>
      <c r="R262" s="124">
        <f>IF(OR(F263=87201,F263=87100,F263=87200,F263=87500),H263,0)</f>
        <v/>
      </c>
      <c r="S262" s="83">
        <f>IF(E263&gt;0,COUNTIF($E$121:E263,"&gt;0"),0)</f>
        <v/>
      </c>
    </row>
    <row r="263" ht="15" customHeight="1" s="402">
      <c r="A263" s="362">
        <f>IFERROR(VLOOKUP(E264,Tabellen!A:F,4),0)</f>
        <v/>
      </c>
      <c r="B263" s="9" t="n"/>
      <c r="C263" s="9">
        <f>IFERROR(VLOOKUP(E264,Tabellen!A:F,5),0)</f>
        <v/>
      </c>
      <c r="D263" s="362">
        <f>IFERROR(VLOOKUP(E264,Tabellen!A:F,6),0)</f>
        <v/>
      </c>
      <c r="E263" s="356" t="n"/>
      <c r="F263" s="357">
        <f>IFERROR(VLOOKUP(E264,Tabellen!A:H,8),0)</f>
        <v/>
      </c>
      <c r="G263" s="363">
        <f>IFERROR(VLOOKUP(E264,Tabellen!A:F,2),0)</f>
        <v/>
      </c>
      <c r="H263" s="359" t="n"/>
      <c r="I263" s="359" t="n"/>
      <c r="J263" s="359" t="n"/>
      <c r="K263" s="359" t="n"/>
      <c r="L263" s="275">
        <f>IF(E264&gt;0,$H$4,0)</f>
        <v/>
      </c>
      <c r="M263" s="276">
        <f>IFERROR(VLOOKUP(F264,Tabellen!H:I,2),0)</f>
        <v/>
      </c>
      <c r="N263" s="360" t="n"/>
      <c r="O263" s="361" t="n"/>
      <c r="P263" s="83">
        <f>IF(E264&gt;0,COUNTIF($E$17:E264,"&gt;0"),0)</f>
        <v/>
      </c>
      <c r="Q263" s="124">
        <f>IF(OR(F264=47201,F264=47100,F264=47200,F264=47500),H264,0)</f>
        <v/>
      </c>
      <c r="R263" s="124">
        <f>IF(OR(F264=87201,F264=87100,F264=87200,F264=87500),H264,0)</f>
        <v/>
      </c>
      <c r="S263" s="83">
        <f>IF(E264&gt;0,COUNTIF($E$121:E264,"&gt;0"),0)</f>
        <v/>
      </c>
    </row>
    <row r="264" ht="15" customHeight="1" s="402">
      <c r="A264" s="355">
        <f>IFERROR(VLOOKUP(E265,Tabellen!A:F,4),0)</f>
        <v/>
      </c>
      <c r="B264" s="9" t="n"/>
      <c r="C264" s="9">
        <f>IFERROR(VLOOKUP(E265,Tabellen!A:F,5),0)</f>
        <v/>
      </c>
      <c r="D264" s="355">
        <f>IFERROR(VLOOKUP(E265,Tabellen!A:F,6),0)</f>
        <v/>
      </c>
      <c r="E264" s="356" t="n"/>
      <c r="F264" s="357">
        <f>IFERROR(VLOOKUP(E265,Tabellen!A:H,8),0)</f>
        <v/>
      </c>
      <c r="G264" s="358">
        <f>IFERROR(VLOOKUP(E265,Tabellen!A:F,2),0)</f>
        <v/>
      </c>
      <c r="H264" s="359" t="n"/>
      <c r="I264" s="359" t="n"/>
      <c r="J264" s="359" t="n"/>
      <c r="K264" s="359" t="n"/>
      <c r="L264" s="275">
        <f>IF(E265&gt;0,$H$4,0)</f>
        <v/>
      </c>
      <c r="M264" s="276">
        <f>IFERROR(VLOOKUP(F265,Tabellen!H:I,2),0)</f>
        <v/>
      </c>
      <c r="N264" s="360" t="n"/>
      <c r="O264" s="361" t="n"/>
      <c r="P264" s="83">
        <f>IF(E265&gt;0,COUNTIF($E$17:E265,"&gt;0"),0)</f>
        <v/>
      </c>
      <c r="Q264" s="124">
        <f>IF(OR(F265=47201,F265=47100,F265=47200,F265=47500),H265,0)</f>
        <v/>
      </c>
      <c r="R264" s="124">
        <f>IF(OR(F265=87201,F265=87100,F265=87200,F265=87500),H265,0)</f>
        <v/>
      </c>
      <c r="S264" s="83">
        <f>IF(E265&gt;0,COUNTIF($E$121:E265,"&gt;0"),0)</f>
        <v/>
      </c>
    </row>
    <row r="265" ht="15" customHeight="1" s="402">
      <c r="A265" s="362">
        <f>IFERROR(VLOOKUP(E266,Tabellen!A:F,4),0)</f>
        <v/>
      </c>
      <c r="B265" s="9" t="n"/>
      <c r="C265" s="9">
        <f>IFERROR(VLOOKUP(E266,Tabellen!A:F,5),0)</f>
        <v/>
      </c>
      <c r="D265" s="362">
        <f>IFERROR(VLOOKUP(E266,Tabellen!A:F,6),0)</f>
        <v/>
      </c>
      <c r="E265" s="356" t="n"/>
      <c r="F265" s="357">
        <f>IFERROR(VLOOKUP(E266,Tabellen!A:H,8),0)</f>
        <v/>
      </c>
      <c r="G265" s="363">
        <f>IFERROR(VLOOKUP(E266,Tabellen!A:F,2),0)</f>
        <v/>
      </c>
      <c r="H265" s="359" t="n"/>
      <c r="I265" s="359" t="n"/>
      <c r="J265" s="359" t="n"/>
      <c r="K265" s="359" t="n"/>
      <c r="L265" s="275">
        <f>IF(E266&gt;0,$H$4,0)</f>
        <v/>
      </c>
      <c r="M265" s="276">
        <f>IFERROR(VLOOKUP(F266,Tabellen!H:I,2),0)</f>
        <v/>
      </c>
      <c r="N265" s="360" t="n"/>
      <c r="O265" s="361" t="n"/>
      <c r="P265" s="83">
        <f>IF(E266&gt;0,COUNTIF($E$17:E266,"&gt;0"),0)</f>
        <v/>
      </c>
      <c r="Q265" s="124">
        <f>IF(OR(F266=47201,F266=47100,F266=47200,F266=47500),H266,0)</f>
        <v/>
      </c>
      <c r="R265" s="124">
        <f>IF(OR(F266=87201,F266=87100,F266=87200,F266=87500),H266,0)</f>
        <v/>
      </c>
      <c r="S265" s="83">
        <f>IF(E266&gt;0,COUNTIF($E$121:E266,"&gt;0"),0)</f>
        <v/>
      </c>
    </row>
    <row r="266" ht="15" customHeight="1" s="402">
      <c r="A266" s="355">
        <f>IFERROR(VLOOKUP(E267,Tabellen!A:F,4),0)</f>
        <v/>
      </c>
      <c r="B266" s="9" t="n"/>
      <c r="C266" s="9">
        <f>IFERROR(VLOOKUP(E267,Tabellen!A:F,5),0)</f>
        <v/>
      </c>
      <c r="D266" s="355">
        <f>IFERROR(VLOOKUP(E267,Tabellen!A:F,6),0)</f>
        <v/>
      </c>
      <c r="E266" s="356" t="n"/>
      <c r="F266" s="357">
        <f>IFERROR(VLOOKUP(E267,Tabellen!A:H,8),0)</f>
        <v/>
      </c>
      <c r="G266" s="358">
        <f>IFERROR(VLOOKUP(E267,Tabellen!A:F,2),0)</f>
        <v/>
      </c>
      <c r="H266" s="359" t="n"/>
      <c r="I266" s="359" t="n"/>
      <c r="J266" s="359" t="n"/>
      <c r="K266" s="359" t="n"/>
      <c r="L266" s="275">
        <f>IF(E267&gt;0,$H$4,0)</f>
        <v/>
      </c>
      <c r="M266" s="276">
        <f>IFERROR(VLOOKUP(F267,Tabellen!H:I,2),0)</f>
        <v/>
      </c>
      <c r="N266" s="360" t="n"/>
      <c r="O266" s="361" t="n"/>
      <c r="P266" s="83">
        <f>IF(E267&gt;0,COUNTIF($E$17:E267,"&gt;0"),0)</f>
        <v/>
      </c>
      <c r="Q266" s="124">
        <f>IF(OR(F267=47201,F267=47100,F267=47200,F267=47500),H267,0)</f>
        <v/>
      </c>
      <c r="R266" s="124">
        <f>IF(OR(F267=87201,F267=87100,F267=87200,F267=87500),H267,0)</f>
        <v/>
      </c>
      <c r="S266" s="83">
        <f>IF(E267&gt;0,COUNTIF($E$121:E267,"&gt;0"),0)</f>
        <v/>
      </c>
    </row>
    <row r="267" ht="15" customHeight="1" s="402">
      <c r="A267" s="362">
        <f>IFERROR(VLOOKUP(E268,Tabellen!A:F,4),0)</f>
        <v/>
      </c>
      <c r="B267" s="9" t="n"/>
      <c r="C267" s="9">
        <f>IFERROR(VLOOKUP(E268,Tabellen!A:F,5),0)</f>
        <v/>
      </c>
      <c r="D267" s="362">
        <f>IFERROR(VLOOKUP(E268,Tabellen!A:F,6),0)</f>
        <v/>
      </c>
      <c r="E267" s="356" t="n"/>
      <c r="F267" s="357">
        <f>IFERROR(VLOOKUP(E268,Tabellen!A:H,8),0)</f>
        <v/>
      </c>
      <c r="G267" s="363">
        <f>IFERROR(VLOOKUP(E268,Tabellen!A:F,2),0)</f>
        <v/>
      </c>
      <c r="H267" s="359" t="n"/>
      <c r="I267" s="359" t="n"/>
      <c r="J267" s="359" t="n"/>
      <c r="K267" s="359" t="n"/>
      <c r="L267" s="275">
        <f>IF(E268&gt;0,$H$4,0)</f>
        <v/>
      </c>
      <c r="M267" s="276">
        <f>IFERROR(VLOOKUP(F268,Tabellen!H:I,2),0)</f>
        <v/>
      </c>
      <c r="N267" s="360" t="n"/>
      <c r="O267" s="361" t="n"/>
      <c r="P267" s="83">
        <f>IF(E268&gt;0,COUNTIF($E$17:E268,"&gt;0"),0)</f>
        <v/>
      </c>
      <c r="Q267" s="124">
        <f>IF(OR(F268=47201,F268=47100,F268=47200,F268=47500),H268,0)</f>
        <v/>
      </c>
      <c r="R267" s="124">
        <f>IF(OR(F268=87201,F268=87100,F268=87200,F268=87500),H268,0)</f>
        <v/>
      </c>
      <c r="S267" s="83">
        <f>IF(E268&gt;0,COUNTIF($E$121:E268,"&gt;0"),0)</f>
        <v/>
      </c>
    </row>
    <row r="268" ht="15" customHeight="1" s="402">
      <c r="A268" s="355">
        <f>IFERROR(VLOOKUP(E269,Tabellen!A:F,4),0)</f>
        <v/>
      </c>
      <c r="B268" s="9" t="n"/>
      <c r="C268" s="9">
        <f>IFERROR(VLOOKUP(E269,Tabellen!A:F,5),0)</f>
        <v/>
      </c>
      <c r="D268" s="355">
        <f>IFERROR(VLOOKUP(E269,Tabellen!A:F,6),0)</f>
        <v/>
      </c>
      <c r="E268" s="356" t="n"/>
      <c r="F268" s="357">
        <f>IFERROR(VLOOKUP(E269,Tabellen!A:H,8),0)</f>
        <v/>
      </c>
      <c r="G268" s="358">
        <f>IFERROR(VLOOKUP(E269,Tabellen!A:F,2),0)</f>
        <v/>
      </c>
      <c r="H268" s="359" t="n"/>
      <c r="I268" s="359" t="n"/>
      <c r="J268" s="359" t="n"/>
      <c r="K268" s="359" t="n"/>
      <c r="L268" s="275">
        <f>IF(E269&gt;0,$H$4,0)</f>
        <v/>
      </c>
      <c r="M268" s="276">
        <f>IFERROR(VLOOKUP(F269,Tabellen!H:I,2),0)</f>
        <v/>
      </c>
      <c r="N268" s="360" t="n"/>
      <c r="O268" s="361" t="n"/>
      <c r="P268" s="83">
        <f>IF(E269&gt;0,COUNTIF($E$17:E269,"&gt;0"),0)</f>
        <v/>
      </c>
      <c r="Q268" s="124">
        <f>IF(OR(F269=47201,F269=47100,F269=47200,F269=47500),H269,0)</f>
        <v/>
      </c>
      <c r="R268" s="124">
        <f>IF(OR(F269=87201,F269=87100,F269=87200,F269=87500),H269,0)</f>
        <v/>
      </c>
      <c r="S268" s="83">
        <f>IF(E269&gt;0,COUNTIF($E$121:E269,"&gt;0"),0)</f>
        <v/>
      </c>
    </row>
    <row r="269" ht="15" customHeight="1" s="402">
      <c r="A269" s="362">
        <f>IFERROR(VLOOKUP(E270,Tabellen!A:F,4),0)</f>
        <v/>
      </c>
      <c r="B269" s="9" t="n"/>
      <c r="C269" s="9">
        <f>IFERROR(VLOOKUP(E270,Tabellen!A:F,5),0)</f>
        <v/>
      </c>
      <c r="D269" s="362">
        <f>IFERROR(VLOOKUP(E270,Tabellen!A:F,6),0)</f>
        <v/>
      </c>
      <c r="E269" s="356" t="n"/>
      <c r="F269" s="357">
        <f>IFERROR(VLOOKUP(E270,Tabellen!A:H,8),0)</f>
        <v/>
      </c>
      <c r="G269" s="363">
        <f>IFERROR(VLOOKUP(E270,Tabellen!A:F,2),0)</f>
        <v/>
      </c>
      <c r="H269" s="359" t="n"/>
      <c r="I269" s="359" t="n"/>
      <c r="J269" s="359" t="n"/>
      <c r="K269" s="359" t="n"/>
      <c r="L269" s="275">
        <f>IF(E270&gt;0,$H$4,0)</f>
        <v/>
      </c>
      <c r="M269" s="276">
        <f>IFERROR(VLOOKUP(F270,Tabellen!H:I,2),0)</f>
        <v/>
      </c>
      <c r="N269" s="360" t="n"/>
      <c r="O269" s="361" t="n"/>
      <c r="P269" s="83">
        <f>IF(E270&gt;0,COUNTIF($E$17:E270,"&gt;0"),0)</f>
        <v/>
      </c>
      <c r="Q269" s="124">
        <f>IF(OR(F270=47201,F270=47100,F270=47200,F270=47500),H270,0)</f>
        <v/>
      </c>
      <c r="R269" s="124">
        <f>IF(OR(F270=87201,F270=87100,F270=87200,F270=87500),H270,0)</f>
        <v/>
      </c>
      <c r="S269" s="83">
        <f>IF(E270&gt;0,COUNTIF($E$121:E270,"&gt;0"),0)</f>
        <v/>
      </c>
    </row>
    <row r="270" ht="15" customHeight="1" s="402">
      <c r="A270" s="355">
        <f>IFERROR(VLOOKUP(E271,Tabellen!A:F,4),0)</f>
        <v/>
      </c>
      <c r="B270" s="9" t="n"/>
      <c r="C270" s="9">
        <f>IFERROR(VLOOKUP(E271,Tabellen!A:F,5),0)</f>
        <v/>
      </c>
      <c r="D270" s="355">
        <f>IFERROR(VLOOKUP(E271,Tabellen!A:F,6),0)</f>
        <v/>
      </c>
      <c r="E270" s="356" t="n"/>
      <c r="F270" s="357">
        <f>IFERROR(VLOOKUP(E271,Tabellen!A:H,8),0)</f>
        <v/>
      </c>
      <c r="G270" s="358">
        <f>IFERROR(VLOOKUP(E271,Tabellen!A:F,2),0)</f>
        <v/>
      </c>
      <c r="H270" s="359" t="n"/>
      <c r="I270" s="359" t="n"/>
      <c r="J270" s="359" t="n"/>
      <c r="K270" s="359" t="n"/>
      <c r="L270" s="275">
        <f>IF(E271&gt;0,$H$4,0)</f>
        <v/>
      </c>
      <c r="M270" s="276">
        <f>IFERROR(VLOOKUP(F271,Tabellen!H:I,2),0)</f>
        <v/>
      </c>
      <c r="N270" s="360" t="n"/>
      <c r="O270" s="361" t="n"/>
      <c r="P270" s="83">
        <f>IF(E271&gt;0,COUNTIF($E$17:E271,"&gt;0"),0)</f>
        <v/>
      </c>
      <c r="Q270" s="124">
        <f>IF(OR(F271=47201,F271=47100,F271=47200,F271=47500),H271,0)</f>
        <v/>
      </c>
      <c r="R270" s="124">
        <f>IF(OR(F271=87201,F271=87100,F271=87200,F271=87500),H271,0)</f>
        <v/>
      </c>
      <c r="S270" s="83">
        <f>IF(E271&gt;0,COUNTIF($E$121:E271,"&gt;0"),0)</f>
        <v/>
      </c>
    </row>
    <row r="271" ht="15" customHeight="1" s="402">
      <c r="A271" s="362">
        <f>IFERROR(VLOOKUP(E272,Tabellen!A:F,4),0)</f>
        <v/>
      </c>
      <c r="B271" s="9" t="n"/>
      <c r="C271" s="9">
        <f>IFERROR(VLOOKUP(E272,Tabellen!A:F,5),0)</f>
        <v/>
      </c>
      <c r="D271" s="362">
        <f>IFERROR(VLOOKUP(E272,Tabellen!A:F,6),0)</f>
        <v/>
      </c>
      <c r="E271" s="356" t="n"/>
      <c r="F271" s="357">
        <f>IFERROR(VLOOKUP(E272,Tabellen!A:H,8),0)</f>
        <v/>
      </c>
      <c r="G271" s="363">
        <f>IFERROR(VLOOKUP(E272,Tabellen!A:F,2),0)</f>
        <v/>
      </c>
      <c r="H271" s="364" t="n"/>
      <c r="I271" s="364" t="n"/>
      <c r="J271" s="364" t="n"/>
      <c r="K271" s="364" t="n"/>
      <c r="L271" s="275">
        <f>IF(E272&gt;0,$H$4,0)</f>
        <v/>
      </c>
      <c r="M271" s="276">
        <f>IFERROR(VLOOKUP(F272,Tabellen!H:I,2),0)</f>
        <v/>
      </c>
      <c r="N271" s="360" t="n"/>
      <c r="O271" s="361" t="n"/>
      <c r="P271" s="83">
        <f>IF(E272&gt;0,COUNTIF($E$17:E272,"&gt;0"),0)</f>
        <v/>
      </c>
      <c r="Q271" s="124">
        <f>IF(OR(F272=47201,F272=47100,F272=47200,F272=47500),H272,0)</f>
        <v/>
      </c>
      <c r="R271" s="124">
        <f>IF(OR(F272=87201,F272=87100,F272=87200,F272=87500),H272,0)</f>
        <v/>
      </c>
      <c r="S271" s="83">
        <f>IF(E272&gt;0,COUNTIF($E$121:E272,"&gt;0"),0)</f>
        <v/>
      </c>
    </row>
    <row r="272" ht="15" customHeight="1" s="402">
      <c r="A272" s="365" t="inlineStr">
        <is>
          <t>Saldo mutaties voorzieningen</t>
        </is>
      </c>
      <c r="B272" s="366" t="n"/>
      <c r="C272" s="366" t="n"/>
      <c r="D272" s="365" t="n"/>
      <c r="E272" s="366" t="n"/>
      <c r="F272" s="367" t="n"/>
      <c r="G272" s="368" t="n"/>
      <c r="H272" s="369">
        <f>SUM(H220:H271)</f>
        <v/>
      </c>
      <c r="I272" s="369">
        <f>SUM(I220:I271)</f>
        <v/>
      </c>
      <c r="J272" s="369">
        <f>SUM(J220:J271)</f>
        <v/>
      </c>
      <c r="K272" s="369">
        <f>SUM(K220:K271)</f>
        <v/>
      </c>
      <c r="L272" s="370" t="n"/>
      <c r="M272" s="371" t="n"/>
      <c r="N272" s="367" t="n"/>
      <c r="O272" s="372" t="n"/>
      <c r="P272" s="373" t="n"/>
      <c r="Q272" s="373">
        <f>IF(OR(F273=47201,F273=47100,F273=47200,F273=47500),H273,0)</f>
        <v/>
      </c>
      <c r="R272" s="373">
        <f>IF(OR(F273=87201,F273=87100,F273=87200,F273=87500),H273,0)</f>
        <v/>
      </c>
      <c r="S272" s="373" t="n"/>
    </row>
    <row r="273" ht="15" customFormat="1" customHeight="1" s="22">
      <c r="A273" s="272" t="n"/>
      <c r="B273" s="9" t="n"/>
      <c r="C273" s="9" t="n"/>
      <c r="D273" s="272" t="n"/>
      <c r="E273" s="9" t="n"/>
      <c r="F273" s="273" t="n"/>
      <c r="G273" s="274" t="n"/>
      <c r="H273" s="11" t="n"/>
      <c r="I273" s="11" t="n"/>
      <c r="J273" s="11" t="n"/>
      <c r="K273" s="11" t="n"/>
      <c r="L273" s="275" t="n"/>
      <c r="M273" s="276" t="n"/>
      <c r="N273" s="277" t="n"/>
      <c r="O273" s="278" t="n"/>
      <c r="P273" s="124" t="n"/>
      <c r="Q273" s="262">
        <f>IF(OR(L274=47201,L274=47100,L274=47200,L274=47500),H274,0)</f>
        <v/>
      </c>
      <c r="R273" s="262">
        <f>IF(OR(L274=87201,L274=87100,L274=87200,L274=87500),H274,0)</f>
        <v/>
      </c>
      <c r="S273" s="124" t="n"/>
    </row>
    <row r="274" ht="15" customHeight="1" s="402">
      <c r="A274" s="272" t="n"/>
      <c r="B274" s="9" t="n"/>
      <c r="C274" s="9" t="n"/>
      <c r="D274" s="272" t="n"/>
      <c r="E274" s="9" t="n"/>
      <c r="F274" s="273" t="n"/>
      <c r="G274" s="274" t="n"/>
      <c r="H274" s="11" t="n"/>
      <c r="I274" s="11" t="n"/>
      <c r="J274" s="11" t="n"/>
      <c r="K274" s="11" t="n"/>
      <c r="L274" s="275" t="n"/>
      <c r="M274" s="276" t="n"/>
      <c r="N274" s="277" t="n"/>
      <c r="O274" s="278" t="n"/>
      <c r="P274" s="124" t="n"/>
      <c r="Q274" s="262">
        <f>IF(OR(L275=47201,L275=47100,L275=47200,L275=47500),H275,0)</f>
        <v/>
      </c>
      <c r="R274" s="262">
        <f>IF(OR(L275=87201,L275=87100,L275=87200,L275=87500),H275,0)</f>
        <v/>
      </c>
      <c r="S274" s="124" t="n"/>
    </row>
    <row r="275" ht="15" customHeight="1" s="402">
      <c r="A275" s="365" t="inlineStr">
        <is>
          <t>Sluitrekening balans</t>
        </is>
      </c>
      <c r="B275" s="9" t="n"/>
      <c r="C275" s="374" t="inlineStr">
        <is>
          <t>-</t>
        </is>
      </c>
      <c r="D275" s="272" t="n"/>
      <c r="E275" s="366" t="n"/>
      <c r="F275" s="367">
        <f>IF(E276&gt;0,$H$4,0)</f>
        <v/>
      </c>
      <c r="G275" s="368" t="inlineStr">
        <is>
          <t>Sluitrekening balans</t>
        </is>
      </c>
      <c r="H275" s="375">
        <f>+H75-H168-H217-H273</f>
        <v/>
      </c>
      <c r="I275" s="11">
        <f>+I75-I168-I217-I273</f>
        <v/>
      </c>
      <c r="J275" s="11">
        <f>+J75-J168-J217-J273</f>
        <v/>
      </c>
      <c r="K275" s="11">
        <f>+K75-K168-K217-K273</f>
        <v/>
      </c>
      <c r="L275" s="370" t="n">
        <v>86100</v>
      </c>
      <c r="M275" s="371">
        <f>IFERROR(VLOOKUP(L276,Tabellen!H:I,2),0)</f>
        <v/>
      </c>
      <c r="N275" s="367" t="n">
        <v>2999999</v>
      </c>
      <c r="O275" s="278" t="n"/>
      <c r="P275" s="124" t="n"/>
      <c r="Q275" s="373">
        <f>IF(OR(L276=47201,L276=47100,L276=47200,L276=47500),H276,0)</f>
        <v/>
      </c>
      <c r="R275" s="373">
        <f>IF(OR(L276=87201,L276=87100,L276=87200,L276=87500),H276,0)</f>
        <v/>
      </c>
      <c r="S275" s="124" t="n"/>
    </row>
    <row r="276" ht="15" customHeight="1" s="402">
      <c r="A276" s="272" t="n"/>
      <c r="B276" s="9" t="n"/>
      <c r="C276" s="9" t="n"/>
      <c r="D276" s="272" t="n"/>
      <c r="E276" s="8" t="n"/>
      <c r="F276" s="273" t="n"/>
      <c r="G276" s="274" t="n"/>
      <c r="H276" s="11" t="n"/>
      <c r="I276" s="11" t="n"/>
      <c r="J276" s="11" t="n"/>
      <c r="K276" s="11" t="n"/>
      <c r="L276" s="275" t="n"/>
      <c r="M276" s="276" t="n"/>
      <c r="N276" s="277" t="n"/>
      <c r="O276" s="278" t="n"/>
      <c r="P276" s="124" t="n"/>
      <c r="Q276" s="262">
        <f>IF(OR(L277=47201,L277=47100,L277=47200,L277=47500),H277,0)</f>
        <v/>
      </c>
      <c r="R276" s="262">
        <f>IF(OR(L277=87201,L277=87100,L277=87200,L277=87500),H277,0)</f>
        <v/>
      </c>
      <c r="S276" s="124" t="n"/>
    </row>
    <row r="277" ht="15" customHeight="1" s="402">
      <c r="A277" s="376" t="inlineStr">
        <is>
          <t>Controle balansmutaties (saldo mutaties -/- sluitrekening balans = leeg)</t>
        </is>
      </c>
      <c r="B277" s="377" t="n"/>
      <c r="C277" s="377" t="n"/>
      <c r="D277" s="376" t="n"/>
      <c r="E277" s="378" t="n"/>
      <c r="F277" s="379" t="n"/>
      <c r="G277" s="380" t="n"/>
      <c r="H277" s="381">
        <f>IF(H276=0,"✓  Balans = 0",H276)</f>
        <v/>
      </c>
      <c r="I277" s="381">
        <f>IF(I276=0,"✓  Balans = 0",I276)</f>
        <v/>
      </c>
      <c r="J277" s="381">
        <f>IF(J276=0,"✓  Balans = 0",J276)</f>
        <v/>
      </c>
      <c r="K277" s="381">
        <f>IF(K276=0,"✓  Balans = 0",K276)</f>
        <v/>
      </c>
      <c r="L277" s="382" t="n"/>
      <c r="M277" s="383" t="n"/>
      <c r="N277" s="384" t="n"/>
      <c r="O277" s="385" t="n"/>
      <c r="P277" s="86" t="n"/>
      <c r="Q277" s="139" t="inlineStr">
        <is>
          <t>Controle bugettair neutraal (=leeg)</t>
        </is>
      </c>
      <c r="R277" s="139">
        <f>SUM(Q17:R276)</f>
        <v/>
      </c>
      <c r="S277" s="86" t="n"/>
    </row>
    <row r="278" ht="15" customFormat="1" customHeight="1" s="292">
      <c r="A278" s="293" t="n"/>
      <c r="B278" s="145" t="n"/>
      <c r="C278" s="145" t="n"/>
      <c r="D278" s="293" t="n"/>
      <c r="E278" s="144" t="n"/>
      <c r="F278" s="145" t="n"/>
      <c r="G278" s="293" t="n"/>
      <c r="H278" s="143" t="n"/>
      <c r="I278" s="143" t="n"/>
      <c r="J278" s="143" t="n"/>
      <c r="K278" s="143" t="n"/>
      <c r="L278" s="143" t="n"/>
      <c r="M278" s="386" t="n"/>
      <c r="N278" s="145" t="n"/>
      <c r="O278" s="293" t="n"/>
      <c r="P278" s="124" t="n"/>
      <c r="Q278" s="124" t="n"/>
      <c r="R278" s="124" t="n"/>
      <c r="S278" s="124" t="n"/>
    </row>
    <row r="279" ht="15" customHeight="1" s="402">
      <c r="A279" s="293" t="n"/>
      <c r="B279" s="145" t="n"/>
      <c r="C279" s="145" t="n"/>
      <c r="D279" s="293" t="n"/>
      <c r="E279" s="144" t="n"/>
      <c r="F279" s="145" t="n"/>
      <c r="G279" s="293" t="n"/>
      <c r="H279" s="143" t="n"/>
      <c r="I279" s="143" t="n"/>
      <c r="J279" s="143" t="n"/>
      <c r="K279" s="143" t="n"/>
      <c r="L279" s="143" t="n"/>
      <c r="M279" s="386" t="n"/>
      <c r="N279" s="145" t="n"/>
      <c r="O279" s="293" t="n"/>
      <c r="P279" s="124" t="n"/>
      <c r="Q279" s="124" t="n"/>
      <c r="R279" s="124" t="n"/>
      <c r="S279" s="124" t="n"/>
    </row>
    <row r="280" ht="15" customHeight="1" s="402">
      <c r="A280" s="387" t="n"/>
      <c r="B280" s="388" t="n"/>
      <c r="C280" s="102" t="n"/>
      <c r="D280" s="389" t="n"/>
      <c r="E280" s="113" t="n"/>
      <c r="F280" s="154" t="n"/>
      <c r="G280" s="87" t="n"/>
      <c r="H280" s="390" t="n"/>
      <c r="I280" s="87" t="n"/>
      <c r="J280" s="154" t="n"/>
      <c r="K280" s="87" t="n"/>
      <c r="L280" s="114" t="n"/>
      <c r="M280" s="87" t="n"/>
      <c r="N280" s="83" t="n"/>
      <c r="O280" s="87" t="n"/>
      <c r="P280" s="124" t="n"/>
      <c r="Q280" s="124" t="n"/>
      <c r="R280" s="124" t="n"/>
      <c r="S280" s="124" t="n"/>
    </row>
    <row r="281" ht="15" customHeight="1" s="402">
      <c r="A281" s="387" t="n"/>
      <c r="B281" s="388" t="n"/>
      <c r="C281" s="391" t="n"/>
      <c r="D281" s="87" t="n"/>
      <c r="E281" s="113" t="n"/>
      <c r="F281" s="154" t="n"/>
      <c r="G281" s="87" t="n"/>
      <c r="H281" s="114" t="n"/>
      <c r="I281" s="87" t="n"/>
      <c r="J281" s="154" t="n"/>
      <c r="K281" s="87" t="n"/>
      <c r="L281" s="114" t="n"/>
      <c r="M281" s="87" t="n"/>
      <c r="N281" s="83" t="n"/>
      <c r="O281" s="87" t="n"/>
      <c r="P281" s="124" t="n"/>
      <c r="Q281" s="124" t="n"/>
      <c r="R281" s="124" t="n"/>
      <c r="S281" s="124" t="n"/>
    </row>
    <row r="282" ht="15" customHeight="1" s="402">
      <c r="A282" s="387" t="n"/>
      <c r="B282" s="388" t="n"/>
      <c r="C282" s="391" t="n"/>
      <c r="D282" s="87" t="n"/>
      <c r="E282" s="113" t="n"/>
      <c r="F282" s="154" t="n"/>
      <c r="G282" s="87" t="n"/>
      <c r="H282" s="390" t="n"/>
      <c r="I282" s="87" t="n"/>
      <c r="J282" s="154" t="n"/>
      <c r="K282" s="87" t="n"/>
      <c r="L282" s="114" t="n"/>
      <c r="M282" s="87" t="n"/>
      <c r="N282" s="83" t="n"/>
      <c r="O282" s="87" t="n"/>
      <c r="P282" s="124" t="n"/>
      <c r="Q282" s="124" t="n"/>
      <c r="R282" s="124" t="n"/>
      <c r="S282" s="124" t="n"/>
    </row>
    <row r="283" ht="15" customHeight="1" s="402">
      <c r="A283" s="392" t="n"/>
      <c r="B283" s="393" t="n"/>
      <c r="C283" s="393" t="n"/>
      <c r="D283" s="87" t="n"/>
      <c r="E283" s="113" t="n"/>
      <c r="F283" s="154" t="n"/>
      <c r="G283" s="87" t="n"/>
      <c r="H283" s="390" t="n"/>
      <c r="I283" s="87" t="n"/>
      <c r="J283" s="154" t="n"/>
      <c r="K283" s="87" t="n"/>
      <c r="L283" s="114" t="n"/>
      <c r="M283" s="87" t="n"/>
      <c r="N283" s="83" t="n"/>
      <c r="O283" s="87" t="n"/>
      <c r="P283" s="124" t="n"/>
      <c r="Q283" s="124" t="n"/>
      <c r="R283" s="124" t="n"/>
      <c r="S283" s="124" t="n"/>
    </row>
    <row r="284" ht="15" customHeight="1" s="402">
      <c r="A284" s="387" t="n"/>
      <c r="B284" s="388" t="n"/>
      <c r="C284" s="394" t="n"/>
      <c r="D284" s="87" t="n"/>
      <c r="E284" s="113" t="n"/>
      <c r="F284" s="154" t="n"/>
      <c r="G284" s="87" t="n"/>
      <c r="H284" s="390" t="n"/>
      <c r="I284" s="87" t="n"/>
      <c r="J284" s="154" t="n"/>
      <c r="K284" s="87" t="n"/>
      <c r="L284" s="114" t="n"/>
      <c r="M284" s="87" t="n"/>
      <c r="N284" s="83" t="n"/>
      <c r="O284" s="87" t="n"/>
      <c r="P284" s="124" t="n"/>
      <c r="Q284" s="124" t="n"/>
      <c r="R284" s="124" t="n"/>
      <c r="S284" s="124" t="n"/>
    </row>
    <row r="285" ht="15" customHeight="1" s="402">
      <c r="A285" s="392" t="n"/>
      <c r="B285" s="393" t="n"/>
      <c r="C285" s="393" t="n"/>
      <c r="D285" s="87" t="n"/>
      <c r="E285" s="113" t="n"/>
      <c r="F285" s="154" t="n"/>
      <c r="G285" s="87" t="n"/>
      <c r="H285" s="390" t="n"/>
      <c r="I285" s="87" t="n"/>
      <c r="J285" s="154" t="n"/>
      <c r="K285" s="87" t="n"/>
      <c r="L285" s="114" t="n"/>
      <c r="M285" s="87" t="n"/>
      <c r="N285" s="83" t="n"/>
      <c r="O285" s="87" t="n"/>
      <c r="P285" s="124" t="n"/>
      <c r="Q285" s="124" t="n"/>
      <c r="R285" s="124" t="n"/>
      <c r="S285" s="124" t="n"/>
    </row>
    <row r="286" ht="15" customHeight="1" s="402">
      <c r="A286" s="197" t="n"/>
      <c r="B286" s="83" t="n"/>
      <c r="C286" s="102" t="n"/>
      <c r="D286" s="87" t="n"/>
      <c r="E286" s="113" t="n"/>
      <c r="F286" s="154" t="n"/>
      <c r="G286" s="87" t="n"/>
      <c r="H286" s="390" t="n"/>
      <c r="I286" s="87" t="n"/>
      <c r="J286" s="154" t="n"/>
      <c r="K286" s="87" t="n"/>
      <c r="L286" s="114" t="n"/>
      <c r="M286" s="87" t="n"/>
      <c r="N286" s="83" t="n"/>
      <c r="O286" s="87" t="n"/>
      <c r="P286" s="124" t="n"/>
      <c r="Q286" s="124" t="n"/>
      <c r="R286" s="124" t="n"/>
      <c r="S286" s="124" t="n"/>
    </row>
    <row r="287" ht="15" customHeight="1" s="402">
      <c r="A287" s="197" t="n"/>
      <c r="B287" s="83" t="n"/>
      <c r="C287" s="102" t="n"/>
      <c r="D287" s="87" t="n"/>
      <c r="E287" s="113" t="n"/>
      <c r="F287" s="154" t="n"/>
      <c r="G287" s="87" t="n"/>
      <c r="H287" s="390" t="n"/>
      <c r="I287" s="87" t="n"/>
      <c r="J287" s="154" t="n"/>
      <c r="K287" s="87" t="n"/>
      <c r="L287" s="114" t="n"/>
      <c r="M287" s="87" t="n"/>
      <c r="N287" s="83" t="n"/>
      <c r="O287" s="87" t="n"/>
      <c r="P287" s="124" t="n"/>
      <c r="Q287" s="124" t="n"/>
      <c r="R287" s="124" t="n"/>
      <c r="S287" s="124" t="n"/>
    </row>
    <row r="288" ht="15" customHeight="1" s="402">
      <c r="A288" s="395" t="n"/>
      <c r="B288" s="396" t="n"/>
      <c r="C288" s="194" t="n"/>
      <c r="D288" s="397" t="n"/>
      <c r="E288" s="113" t="n"/>
      <c r="F288" s="154" t="n"/>
      <c r="G288" s="87" t="n"/>
      <c r="H288" s="390" t="n"/>
      <c r="I288" s="87" t="n"/>
      <c r="J288" s="154" t="n"/>
      <c r="K288" s="87" t="n"/>
      <c r="L288" s="114" t="n"/>
      <c r="M288" s="87" t="n"/>
      <c r="N288" s="83" t="n"/>
      <c r="O288" s="87" t="n"/>
    </row>
    <row r="289" ht="15" customHeight="1" s="402">
      <c r="A289" s="387" t="n"/>
      <c r="B289" s="388" t="n"/>
      <c r="C289" s="391" t="n"/>
      <c r="D289" s="87" t="n"/>
      <c r="E289" s="113" t="n"/>
      <c r="F289" s="154" t="n"/>
      <c r="G289" s="87" t="n"/>
      <c r="H289" s="390" t="n"/>
      <c r="I289" s="87" t="n"/>
      <c r="J289" s="154" t="n"/>
      <c r="K289" s="87" t="n"/>
      <c r="L289" s="114" t="n"/>
      <c r="M289" s="87" t="n"/>
      <c r="N289" s="83" t="n"/>
      <c r="O289" s="87" t="n"/>
    </row>
    <row r="290" ht="15" customHeight="1" s="402">
      <c r="A290" s="387" t="n"/>
      <c r="B290" s="388" t="n"/>
      <c r="C290" s="398" t="n"/>
      <c r="D290" s="87" t="n"/>
      <c r="E290" s="113" t="n"/>
      <c r="F290" s="154" t="n"/>
      <c r="G290" s="87" t="n"/>
      <c r="H290" s="390" t="n"/>
      <c r="I290" s="87" t="n"/>
      <c r="J290" s="154" t="n"/>
      <c r="K290" s="87" t="n"/>
      <c r="L290" s="114" t="n"/>
      <c r="M290" s="87" t="n"/>
      <c r="N290" s="83" t="n"/>
      <c r="O290" s="87" t="n"/>
    </row>
    <row r="291" ht="15" customHeight="1" s="402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 codeName="Blad2">
    <tabColor rgb="FF4A4A4A"/>
    <outlinePr summaryBelow="1" summaryRight="1"/>
    <pageSetUpPr/>
  </sheetPr>
  <dimension ref="A1:N251"/>
  <sheetViews>
    <sheetView workbookViewId="0">
      <pane ySplit="4" topLeftCell="A5" activePane="bottomLeft" state="frozen"/>
      <selection pane="bottomLeft" activeCell="C1" sqref="C1"/>
    </sheetView>
  </sheetViews>
  <sheetFormatPr baseColWidth="8" defaultRowHeight="15"/>
  <cols>
    <col width="12" customWidth="1" style="402" min="1" max="1"/>
    <col width="19.42578125" customWidth="1" style="402" min="2" max="2"/>
    <col width="14" customWidth="1" style="402" min="3" max="4"/>
    <col width="40" customWidth="1" style="402" min="5" max="5"/>
    <col width="14" customWidth="1" style="402" min="6" max="9"/>
    <col hidden="1" width="9.140625" customWidth="1" style="402" min="10" max="10"/>
    <col hidden="1" width="10.28515625" customWidth="1" style="402" min="11" max="11"/>
    <col hidden="1" width="5" customWidth="1" style="402" min="12" max="12"/>
    <col width="11.28515625" customWidth="1" style="402" min="13" max="13"/>
    <col width="9.140625" customWidth="1" style="402" min="15" max="15"/>
  </cols>
  <sheetData>
    <row r="1" ht="24" customHeight="1" s="402">
      <c r="A1" s="88" t="inlineStr">
        <is>
          <t>Coda import — Begrotingswijziging</t>
        </is>
      </c>
      <c r="B1" s="89" t="n"/>
      <c r="C1" s="89">
        <f>'Invullen groen'!H4</f>
        <v/>
      </c>
      <c r="D1" s="89" t="n"/>
      <c r="E1" s="89" t="n"/>
      <c r="F1" s="90" t="n"/>
      <c r="G1" s="90" t="n"/>
      <c r="H1" s="90" t="n"/>
      <c r="I1" s="90" t="n"/>
      <c r="J1" s="76" t="n"/>
      <c r="K1" s="76">
        <f>'Invullen groen'!H4</f>
        <v/>
      </c>
      <c r="L1" s="91" t="n"/>
      <c r="M1" s="92" t="n"/>
      <c r="N1" s="92" t="n"/>
    </row>
    <row r="2" ht="16.15" customHeight="1" s="402">
      <c r="A2" s="412" t="n"/>
      <c r="B2" s="93" t="n"/>
      <c r="C2" s="93" t="n"/>
      <c r="D2" s="93" t="n"/>
      <c r="E2" s="93" t="n"/>
      <c r="F2" s="94" t="inlineStr">
        <is>
          <t>Baten en lasten:</t>
        </is>
      </c>
      <c r="G2" s="94" t="inlineStr">
        <is>
          <t>Baten en lasten:</t>
        </is>
      </c>
      <c r="H2" s="94" t="inlineStr">
        <is>
          <t>Baten en lasten:</t>
        </is>
      </c>
      <c r="I2" s="94" t="inlineStr">
        <is>
          <t>Baten en lasten:</t>
        </is>
      </c>
      <c r="J2" s="95" t="n"/>
      <c r="K2" s="95" t="n"/>
      <c r="L2" s="96" t="n"/>
      <c r="M2" s="92" t="n"/>
      <c r="N2" s="92" t="n"/>
    </row>
    <row r="3" ht="16.15" customHeight="1" s="402">
      <c r="A3" s="97" t="n"/>
      <c r="B3" s="93" t="n"/>
      <c r="C3" s="93" t="n"/>
      <c r="D3" s="93" t="n"/>
      <c r="E3" s="93" t="n"/>
      <c r="F3" s="93" t="n">
        <v>2026</v>
      </c>
      <c r="G3" s="93" t="n">
        <v>2027</v>
      </c>
      <c r="H3" s="93" t="n">
        <v>2028</v>
      </c>
      <c r="I3" s="93" t="n">
        <v>2029</v>
      </c>
      <c r="J3" s="95" t="n"/>
      <c r="K3" s="95" t="n"/>
      <c r="L3" s="96" t="n"/>
      <c r="M3" s="92" t="n"/>
      <c r="N3" s="92" t="n"/>
    </row>
    <row r="4" ht="18" customHeight="1" s="402">
      <c r="A4" s="70" t="inlineStr">
        <is>
          <t>Grootboek</t>
        </is>
      </c>
      <c r="B4" s="71" t="inlineStr">
        <is>
          <t>Econ.Categorie</t>
        </is>
      </c>
      <c r="C4" s="71" t="inlineStr">
        <is>
          <t>Verbijzondering</t>
        </is>
      </c>
      <c r="D4" s="71" t="inlineStr">
        <is>
          <t>Verdere verbijz.</t>
        </is>
      </c>
      <c r="E4" s="71" t="inlineStr">
        <is>
          <t>Omschrijving</t>
        </is>
      </c>
      <c r="F4" s="72" t="inlineStr">
        <is>
          <t>Bedrag:</t>
        </is>
      </c>
      <c r="G4" s="72" t="inlineStr">
        <is>
          <t>Bedrag:</t>
        </is>
      </c>
      <c r="H4" s="72" t="inlineStr">
        <is>
          <t>Bedrag:</t>
        </is>
      </c>
      <c r="I4" s="72" t="inlineStr">
        <is>
          <t>Bedrag:</t>
        </is>
      </c>
      <c r="J4" s="98" t="n"/>
      <c r="K4" s="98" t="n"/>
      <c r="L4" s="99" t="n"/>
      <c r="M4" s="92" t="n"/>
      <c r="N4" s="92" t="n"/>
    </row>
    <row r="5" ht="15" customHeight="1" s="402">
      <c r="A5" s="78">
        <f>IFERROR(IF($L5&gt;0,INDEX('Invullen groen'!$E:$E,$L5),""),"")</f>
        <v/>
      </c>
      <c r="B5" s="78">
        <f>IFERROR(IF($L5&gt;0,IF(INDEX('Invullen groen'!$F:$F,$L5)&gt;0,INDEX('Invullen groen'!$F:$F,$L5),""),""),"")</f>
        <v/>
      </c>
      <c r="C5" s="78">
        <f>IFERROR(IF($L5&gt;0,IF(INDEX('Invullen groen'!$N:$N,$L5)&gt;0,INDEX('Invullen groen'!$N:$N,$L5),""),""),"")</f>
        <v/>
      </c>
      <c r="D5" s="78" t="n"/>
      <c r="E5" s="78">
        <f>IFERROR(IF(LEN(J5)&lt;=36,J5,IFERROR(LEFT(J5,FIND(CHAR(1),SUBSTITUTE(LEFT(J5,36)," ",CHAR(1),LEN(LEFT(J5,36))-LEN(SUBSTITUTE(LEFT(J5,36)," ",""))))-1),LEFT(O5,36))),"")</f>
        <v/>
      </c>
      <c r="F5" s="100">
        <f>IFERROR(IF($L5&gt;0,IF(INDEX('Invullen groen'!$H:$H,$L5)=0,"",INT(INDEX('Invullen groen'!$H:$H,$L5))),""),"")</f>
        <v/>
      </c>
      <c r="G5" s="100">
        <f>IFERROR(IF($L5&gt;0,IF(INDEX('Invullen groen'!$I:$I,$L5)=0,"",INT(INDEX('Invullen groen'!$I:$I,$L5))),""),"")</f>
        <v/>
      </c>
      <c r="H5" s="100">
        <f>IFERROR(IF($L5&gt;0,IF(INDEX('Invullen groen'!$J:$J,$L5)=0,"",INT(INDEX('Invullen groen'!$J:$J,$L5))),""),"")</f>
        <v/>
      </c>
      <c r="I5" s="100">
        <f>IFERROR(IF($L5&gt;0,IF(INDEX('Invullen groen'!$K:$K,$L5)=0,"",INT(INDEX('Invullen groen'!$K:$K,$L5))),""),"")</f>
        <v/>
      </c>
      <c r="J5" s="78">
        <f>IF($L5&gt;0,IFERROR($K$1&amp;" "&amp;TRIM(SUBSTITUTE(SUBSTITUTE(SUBSTITUTE(SUBSTITUTE(SUBSTITUTE(SUBSTITUTE(SUBSTITUTE(SUBSTITUTE(SUBSTITUTE(SUBSTITUTE(SUBSTITUTE(SUBSTITUTE(LOWER(INDEX('Invullen groen'!$O:$O,$L5)),"2024",""),"2025",""),"2026",""),"2027",""),"2028",""),"2029",""),"taakveld ",""),"installaties","inst"),"ruwbouw","ruwb"),"afbouw","afb"),"bijstelling","bijst"),"investeringen","invest")),""),"")</f>
        <v/>
      </c>
      <c r="K5" s="78" t="n"/>
      <c r="L5" s="37">
        <f>IFERROR(MATCH(ROW()-4,'Invullen groen'!$P$17:$P$109,0)+16,0)</f>
        <v/>
      </c>
      <c r="M5" s="37" t="n"/>
      <c r="N5" s="37" t="n"/>
    </row>
    <row r="6" ht="15" customHeight="1" s="402">
      <c r="A6" s="77">
        <f>IFERROR(IF($L6&gt;0,INDEX('Invullen groen'!$E:$E,$L6),""),"")</f>
        <v/>
      </c>
      <c r="B6" s="77">
        <f>IFERROR(IF($L6&gt;0,IF(INDEX('Invullen groen'!$F:$F,$L6)&gt;0,INDEX('Invullen groen'!$F:$F,$L6),""),""),"")</f>
        <v/>
      </c>
      <c r="C6" s="77">
        <f>IFERROR(IF($L6&gt;0,IF(INDEX('Invullen groen'!$N:$N,$L6)&gt;0,INDEX('Invullen groen'!$N:$N,$L6),""),""),"")</f>
        <v/>
      </c>
      <c r="D6" s="77" t="n"/>
      <c r="E6" s="77">
        <f>IFERROR(IF(LEN(J6)&lt;=36,J6,IFERROR(LEFT(J6,FIND(CHAR(1),SUBSTITUTE(LEFT(J6,36)," ",CHAR(1),LEN(LEFT(J6,36))-LEN(SUBSTITUTE(LEFT(J6,36)," ",""))))-1),LEFT(J6,36))),"")</f>
        <v/>
      </c>
      <c r="F6" s="101">
        <f>IFERROR(IF($L6&gt;0,IF(INDEX('Invullen groen'!$H:$H,$L6)=0,"",INT(INDEX('Invullen groen'!$H:$H,$L6))),""),"")</f>
        <v/>
      </c>
      <c r="G6" s="101">
        <f>IFERROR(IF($L6&gt;0,IF(INDEX('Invullen groen'!$I:$I,$L6)=0,"",INT(INDEX('Invullen groen'!$I:$I,$L6))),""),"")</f>
        <v/>
      </c>
      <c r="H6" s="101">
        <f>IFERROR(IF($L6&gt;0,IF(INDEX('Invullen groen'!$J:$J,$L6)=0,"",INT(INDEX('Invullen groen'!$J:$J,$L6))),""),"")</f>
        <v/>
      </c>
      <c r="I6" s="101">
        <f>IFERROR(IF($L6&gt;0,IF(INDEX('Invullen groen'!$K:$K,$L6)=0,"",INT(INDEX('Invullen groen'!$K:$K,$L6))),""),"")</f>
        <v/>
      </c>
      <c r="J6" s="77">
        <f>IF($L6&gt;0,IFERROR($K$1&amp;" "&amp;TRIM(SUBSTITUTE(SUBSTITUTE(SUBSTITUTE(SUBSTITUTE(SUBSTITUTE(SUBSTITUTE(SUBSTITUTE(SUBSTITUTE(SUBSTITUTE(SUBSTITUTE(SUBSTITUTE(SUBSTITUTE(LOWER(INDEX('Invullen groen'!$O:$O,$L6)),"2024",""),"2025",""),"2026",""),"2027",""),"2028",""),"2029",""),"taakveld ",""),"installaties","inst"),"ruwbouw","ruwb"),"afbouw","afb"),"bijstelling","bijst"),"investeringen","invest")),""),"")</f>
        <v/>
      </c>
      <c r="K6" s="77" t="n"/>
      <c r="L6" s="37">
        <f>IFERROR(MATCH(ROW()-4,'Invullen groen'!$P$17:$P$109,0)+16,0)</f>
        <v/>
      </c>
      <c r="M6" s="37" t="n"/>
      <c r="N6" s="37" t="n"/>
    </row>
    <row r="7" ht="15" customHeight="1" s="402">
      <c r="A7" s="78">
        <f>IFERROR(IF($L7&gt;0,INDEX('Invullen groen'!$E:$E,$L7),""),"")</f>
        <v/>
      </c>
      <c r="B7" s="78">
        <f>IFERROR(IF($L7&gt;0,IF(INDEX('Invullen groen'!$F:$F,$L7)&gt;0,INDEX('Invullen groen'!$F:$F,$L7),""),""),"")</f>
        <v/>
      </c>
      <c r="C7" s="78">
        <f>IFERROR(IF($L7&gt;0,IF(INDEX('Invullen groen'!$N:$N,$L7)&gt;0,INDEX('Invullen groen'!$N:$N,$L7),""),""),"")</f>
        <v/>
      </c>
      <c r="D7" s="78" t="n"/>
      <c r="E7" s="78">
        <f>IFERROR(IF(LEN(J7)&lt;=36,J7,IFERROR(LEFT(J7,FIND(CHAR(1),SUBSTITUTE(LEFT(J7,36)," ",CHAR(1),LEN(LEFT(J7,36))-LEN(SUBSTITUTE(LEFT(J7,36)," ",""))))-1),LEFT(J7,36))),"")</f>
        <v/>
      </c>
      <c r="F7" s="100">
        <f>IFERROR(IF($L7&gt;0,IF(INDEX('Invullen groen'!$H:$H,$L7)=0,"",INT(INDEX('Invullen groen'!$H:$H,$L7))),""),"")</f>
        <v/>
      </c>
      <c r="G7" s="100">
        <f>IFERROR(IF($L7&gt;0,IF(INDEX('Invullen groen'!$I:$I,$L7)=0,"",INT(INDEX('Invullen groen'!$I:$I,$L7))),""),"")</f>
        <v/>
      </c>
      <c r="H7" s="100">
        <f>IFERROR(IF($L7&gt;0,IF(INDEX('Invullen groen'!$J:$J,$L7)=0,"",INT(INDEX('Invullen groen'!$J:$J,$L7))),""),"")</f>
        <v/>
      </c>
      <c r="I7" s="100">
        <f>IFERROR(IF($L7&gt;0,IF(INDEX('Invullen groen'!$K:$K,$L7)=0,"",INT(INDEX('Invullen groen'!$K:$K,$L7))),""),"")</f>
        <v/>
      </c>
      <c r="J7" s="78">
        <f>IF($L7&gt;0,IFERROR($K$1&amp;" "&amp;TRIM(SUBSTITUTE(SUBSTITUTE(SUBSTITUTE(SUBSTITUTE(SUBSTITUTE(SUBSTITUTE(SUBSTITUTE(SUBSTITUTE(SUBSTITUTE(SUBSTITUTE(SUBSTITUTE(SUBSTITUTE(LOWER(INDEX('Invullen groen'!$O:$O,$L7)),"2024",""),"2025",""),"2026",""),"2027",""),"2028",""),"2029",""),"taakveld ",""),"installaties","inst"),"ruwbouw","ruwb"),"afbouw","afb"),"bijstelling","bijst"),"investeringen","invest")),""),"")</f>
        <v/>
      </c>
      <c r="K7" s="78" t="n"/>
      <c r="L7" s="37">
        <f>IFERROR(MATCH(ROW()-4,'Invullen groen'!$P$17:$P$109,0)+16,0)</f>
        <v/>
      </c>
      <c r="M7" s="37" t="n"/>
      <c r="N7" s="37" t="n"/>
    </row>
    <row r="8" ht="15" customHeight="1" s="402">
      <c r="A8" s="77">
        <f>IFERROR(IF($L8&gt;0,INDEX('Invullen groen'!$E:$E,$L8),""),"")</f>
        <v/>
      </c>
      <c r="B8" s="77">
        <f>IFERROR(IF($L8&gt;0,IF(INDEX('Invullen groen'!$F:$F,$L8)&gt;0,INDEX('Invullen groen'!$F:$F,$L8),""),""),"")</f>
        <v/>
      </c>
      <c r="C8" s="77">
        <f>IFERROR(IF($L8&gt;0,IF(INDEX('Invullen groen'!$N:$N,$L8)&gt;0,INDEX('Invullen groen'!$N:$N,$L8),""),""),"")</f>
        <v/>
      </c>
      <c r="D8" s="77" t="n"/>
      <c r="E8" s="77">
        <f>IFERROR(IF(LEN(J8)&lt;=36,J8,IFERROR(LEFT(J8,FIND(CHAR(1),SUBSTITUTE(LEFT(J8,36)," ",CHAR(1),LEN(LEFT(J8,36))-LEN(SUBSTITUTE(LEFT(J8,36)," ",""))))-1),LEFT(J8,36))),"")</f>
        <v/>
      </c>
      <c r="F8" s="101">
        <f>IFERROR(IF($L8&gt;0,IF(INDEX('Invullen groen'!$H:$H,$L8)=0,"",INT(INDEX('Invullen groen'!$H:$H,$L8))),""),"")</f>
        <v/>
      </c>
      <c r="G8" s="101">
        <f>IFERROR(IF($L8&gt;0,IF(INDEX('Invullen groen'!$I:$I,$L8)=0,"",INT(INDEX('Invullen groen'!$I:$I,$L8))),""),"")</f>
        <v/>
      </c>
      <c r="H8" s="101">
        <f>IFERROR(IF($L8&gt;0,IF(INDEX('Invullen groen'!$J:$J,$L8)=0,"",INT(INDEX('Invullen groen'!$J:$J,$L8))),""),"")</f>
        <v/>
      </c>
      <c r="I8" s="101">
        <f>IFERROR(IF($L8&gt;0,IF(INDEX('Invullen groen'!$K:$K,$L8)=0,"",INT(INDEX('Invullen groen'!$K:$K,$L8))),""),"")</f>
        <v/>
      </c>
      <c r="J8" s="77">
        <f>IF($L8&gt;0,IFERROR($K$1&amp;" "&amp;TRIM(SUBSTITUTE(SUBSTITUTE(SUBSTITUTE(SUBSTITUTE(SUBSTITUTE(SUBSTITUTE(SUBSTITUTE(SUBSTITUTE(SUBSTITUTE(SUBSTITUTE(SUBSTITUTE(SUBSTITUTE(LOWER(INDEX('Invullen groen'!$O:$O,$L8)),"2024",""),"2025",""),"2026",""),"2027",""),"2028",""),"2029",""),"taakveld ",""),"installaties","inst"),"ruwbouw","ruwb"),"afbouw","afb"),"bijstelling","bijst"),"investeringen","invest")),""),"")</f>
        <v/>
      </c>
      <c r="K8" s="77" t="n"/>
      <c r="L8" s="37">
        <f>IFERROR(MATCH(ROW()-4,'Invullen groen'!$P$17:$P$109,0)+16,0)</f>
        <v/>
      </c>
      <c r="M8" s="37" t="n"/>
      <c r="N8" s="37" t="n"/>
    </row>
    <row r="9" ht="15" customHeight="1" s="402">
      <c r="A9" s="78">
        <f>IFERROR(IF($L9&gt;0,INDEX('Invullen groen'!$E:$E,$L9),""),"")</f>
        <v/>
      </c>
      <c r="B9" s="78">
        <f>IFERROR(IF($L9&gt;0,IF(INDEX('Invullen groen'!$F:$F,$L9)&gt;0,INDEX('Invullen groen'!$F:$F,$L9),""),""),"")</f>
        <v/>
      </c>
      <c r="C9" s="78">
        <f>IFERROR(IF($L9&gt;0,IF(INDEX('Invullen groen'!$N:$N,$L9)&gt;0,INDEX('Invullen groen'!$N:$N,$L9),""),""),"")</f>
        <v/>
      </c>
      <c r="D9" s="78" t="n"/>
      <c r="E9" s="78">
        <f>IFERROR(IF(LEN(J9)&lt;=36,J9,IFERROR(LEFT(J9,FIND(CHAR(1),SUBSTITUTE(LEFT(J9,36)," ",CHAR(1),LEN(LEFT(J9,36))-LEN(SUBSTITUTE(LEFT(J9,36)," ",""))))-1),LEFT(J9,36))),"")</f>
        <v/>
      </c>
      <c r="F9" s="100">
        <f>IFERROR(IF($L9&gt;0,IF(INDEX('Invullen groen'!$H:$H,$L9)=0,"",INT(INDEX('Invullen groen'!$H:$H,$L9))),""),"")</f>
        <v/>
      </c>
      <c r="G9" s="100">
        <f>IFERROR(IF($L9&gt;0,IF(INDEX('Invullen groen'!$I:$I,$L9)=0,"",INT(INDEX('Invullen groen'!$I:$I,$L9))),""),"")</f>
        <v/>
      </c>
      <c r="H9" s="100">
        <f>IFERROR(IF($L9&gt;0,IF(INDEX('Invullen groen'!$J:$J,$L9)=0,"",INT(INDEX('Invullen groen'!$J:$J,$L9))),""),"")</f>
        <v/>
      </c>
      <c r="I9" s="100">
        <f>IFERROR(IF($L9&gt;0,IF(INDEX('Invullen groen'!$K:$K,$L9)=0,"",INT(INDEX('Invullen groen'!$K:$K,$L9))),""),"")</f>
        <v/>
      </c>
      <c r="J9" s="78">
        <f>IF($L9&gt;0,IFERROR($K$1&amp;" "&amp;TRIM(SUBSTITUTE(SUBSTITUTE(SUBSTITUTE(SUBSTITUTE(SUBSTITUTE(SUBSTITUTE(SUBSTITUTE(SUBSTITUTE(SUBSTITUTE(SUBSTITUTE(SUBSTITUTE(SUBSTITUTE(LOWER(INDEX('Invullen groen'!$O:$O,$L9)),"2024",""),"2025",""),"2026",""),"2027",""),"2028",""),"2029",""),"taakveld ",""),"installaties","inst"),"ruwbouw","ruwb"),"afbouw","afb"),"bijstelling","bijst"),"investeringen","invest")),""),"")</f>
        <v/>
      </c>
      <c r="K9" s="78" t="n"/>
      <c r="L9" s="37">
        <f>IFERROR(MATCH(ROW()-4,'Invullen groen'!$P$17:$P$109,0)+16,0)</f>
        <v/>
      </c>
      <c r="M9" s="37" t="n"/>
      <c r="N9" s="37" t="n"/>
    </row>
    <row r="10" ht="15" customHeight="1" s="402">
      <c r="A10" s="77">
        <f>IFERROR(IF($L10&gt;0,INDEX('Invullen groen'!$E:$E,$L10),""),"")</f>
        <v/>
      </c>
      <c r="B10" s="77">
        <f>IFERROR(IF($L10&gt;0,IF(INDEX('Invullen groen'!$F:$F,$L10)&gt;0,INDEX('Invullen groen'!$F:$F,$L10),""),""),"")</f>
        <v/>
      </c>
      <c r="C10" s="77">
        <f>IFERROR(IF($L10&gt;0,IF(INDEX('Invullen groen'!$N:$N,$L10)&gt;0,INDEX('Invullen groen'!$N:$N,$L10),""),""),"")</f>
        <v/>
      </c>
      <c r="D10" s="77" t="n"/>
      <c r="E10" s="77">
        <f>IFERROR(IF(LEN(J10)&lt;=36,J10,IFERROR(LEFT(J10,FIND(CHAR(1),SUBSTITUTE(LEFT(J10,36)," ",CHAR(1),LEN(LEFT(J10,36))-LEN(SUBSTITUTE(LEFT(J10,36)," ",""))))-1),LEFT(J10,36))),"")</f>
        <v/>
      </c>
      <c r="F10" s="101">
        <f>IFERROR(IF($L10&gt;0,IF(INDEX('Invullen groen'!$H:$H,$L10)=0,"",INT(INDEX('Invullen groen'!$H:$H,$L10))),""),"")</f>
        <v/>
      </c>
      <c r="G10" s="101">
        <f>IFERROR(IF($L10&gt;0,IF(INDEX('Invullen groen'!$I:$I,$L10)=0,"",INT(INDEX('Invullen groen'!$I:$I,$L10))),""),"")</f>
        <v/>
      </c>
      <c r="H10" s="101">
        <f>IFERROR(IF($L10&gt;0,IF(INDEX('Invullen groen'!$J:$J,$L10)=0,"",INT(INDEX('Invullen groen'!$J:$J,$L10))),""),"")</f>
        <v/>
      </c>
      <c r="I10" s="101">
        <f>IFERROR(IF($L10&gt;0,IF(INDEX('Invullen groen'!$K:$K,$L10)=0,"",INT(INDEX('Invullen groen'!$K:$K,$L10))),""),"")</f>
        <v/>
      </c>
      <c r="J10" s="77">
        <f>IF($L10&gt;0,IFERROR($K$1&amp;" "&amp;TRIM(SUBSTITUTE(SUBSTITUTE(SUBSTITUTE(SUBSTITUTE(SUBSTITUTE(SUBSTITUTE(SUBSTITUTE(SUBSTITUTE(SUBSTITUTE(SUBSTITUTE(SUBSTITUTE(SUBSTITUTE(LOWER(INDEX('Invullen groen'!$O:$O,$L10)),"2024",""),"2025",""),"2026",""),"2027",""),"2028",""),"2029",""),"taakveld ",""),"installaties","inst"),"ruwbouw","ruwb"),"afbouw","afb"),"bijstelling","bijst"),"investeringen","invest")),""),"")</f>
        <v/>
      </c>
      <c r="K10" s="77" t="n"/>
      <c r="L10" s="37">
        <f>IFERROR(MATCH(ROW()-4,'Invullen groen'!$P$17:$P$109,0)+16,0)</f>
        <v/>
      </c>
      <c r="M10" s="37" t="n"/>
      <c r="N10" s="37" t="n"/>
    </row>
    <row r="11" ht="15" customHeight="1" s="402">
      <c r="A11" s="78">
        <f>IFERROR(IF($L11&gt;0,INDEX('Invullen groen'!$E:$E,$L11),""),"")</f>
        <v/>
      </c>
      <c r="B11" s="78">
        <f>IFERROR(IF($L11&gt;0,IF(INDEX('Invullen groen'!$F:$F,$L11)&gt;0,INDEX('Invullen groen'!$F:$F,$L11),""),""),"")</f>
        <v/>
      </c>
      <c r="C11" s="78">
        <f>IFERROR(IF($L11&gt;0,IF(INDEX('Invullen groen'!$N:$N,$L11)&gt;0,INDEX('Invullen groen'!$N:$N,$L11),""),""),"")</f>
        <v/>
      </c>
      <c r="D11" s="78" t="n"/>
      <c r="E11" s="78">
        <f>IFERROR(IF(LEN(J11)&lt;=36,J11,IFERROR(LEFT(J11,FIND(CHAR(1),SUBSTITUTE(LEFT(J11,36)," ",CHAR(1),LEN(LEFT(J11,36))-LEN(SUBSTITUTE(LEFT(J11,36)," ",""))))-1),LEFT(J11,36))),"")</f>
        <v/>
      </c>
      <c r="F11" s="100">
        <f>IFERROR(IF($L11&gt;0,IF(INDEX('Invullen groen'!$H:$H,$L11)=0,"",INT(INDEX('Invullen groen'!$H:$H,$L11))),""),"")</f>
        <v/>
      </c>
      <c r="G11" s="100">
        <f>IFERROR(IF($L11&gt;0,IF(INDEX('Invullen groen'!$I:$I,$L11)=0,"",INT(INDEX('Invullen groen'!$I:$I,$L11))),""),"")</f>
        <v/>
      </c>
      <c r="H11" s="100">
        <f>IFERROR(IF($L11&gt;0,IF(INDEX('Invullen groen'!$J:$J,$L11)=0,"",INT(INDEX('Invullen groen'!$J:$J,$L11))),""),"")</f>
        <v/>
      </c>
      <c r="I11" s="100">
        <f>IFERROR(IF($L11&gt;0,IF(INDEX('Invullen groen'!$K:$K,$L11)=0,"",INT(INDEX('Invullen groen'!$K:$K,$L11))),""),"")</f>
        <v/>
      </c>
      <c r="J11" s="78">
        <f>IF($L11&gt;0,IFERROR($K$1&amp;" "&amp;TRIM(SUBSTITUTE(SUBSTITUTE(SUBSTITUTE(SUBSTITUTE(SUBSTITUTE(SUBSTITUTE(SUBSTITUTE(SUBSTITUTE(SUBSTITUTE(SUBSTITUTE(SUBSTITUTE(SUBSTITUTE(LOWER(INDEX('Invullen groen'!$O:$O,$L11)),"2024",""),"2025",""),"2026",""),"2027",""),"2028",""),"2029",""),"taakveld ",""),"installaties","inst"),"ruwbouw","ruwb"),"afbouw","afb"),"bijstelling","bijst"),"investeringen","invest")),""),"")</f>
        <v/>
      </c>
      <c r="K11" s="78" t="n"/>
      <c r="L11" s="37">
        <f>IFERROR(MATCH(ROW()-4,'Invullen groen'!$P$17:$P$109,0)+16,0)</f>
        <v/>
      </c>
      <c r="M11" s="37" t="n"/>
      <c r="N11" s="37" t="n"/>
    </row>
    <row r="12" ht="15" customHeight="1" s="402">
      <c r="A12" s="77">
        <f>IFERROR(IF($L12&gt;0,INDEX('Invullen groen'!$E:$E,$L12),""),"")</f>
        <v/>
      </c>
      <c r="B12" s="77">
        <f>IFERROR(IF($L12&gt;0,IF(INDEX('Invullen groen'!$F:$F,$L12)&gt;0,INDEX('Invullen groen'!$F:$F,$L12),""),""),"")</f>
        <v/>
      </c>
      <c r="C12" s="77">
        <f>IFERROR(IF($L12&gt;0,IF(INDEX('Invullen groen'!$N:$N,$L12)&gt;0,INDEX('Invullen groen'!$N:$N,$L12),""),""),"")</f>
        <v/>
      </c>
      <c r="D12" s="77" t="n"/>
      <c r="E12" s="77">
        <f>IFERROR(IF(LEN(J12)&lt;=36,J12,IFERROR(LEFT(J12,FIND(CHAR(1),SUBSTITUTE(LEFT(J12,36)," ",CHAR(1),LEN(LEFT(J12,36))-LEN(SUBSTITUTE(LEFT(J12,36)," ",""))))-1),LEFT(J12,36))),"")</f>
        <v/>
      </c>
      <c r="F12" s="101">
        <f>IFERROR(IF($L12&gt;0,IF(INDEX('Invullen groen'!$H:$H,$L12)=0,"",INT(INDEX('Invullen groen'!$H:$H,$L12))),""),"")</f>
        <v/>
      </c>
      <c r="G12" s="101">
        <f>IFERROR(IF($L12&gt;0,IF(INDEX('Invullen groen'!$I:$I,$L12)=0,"",INT(INDEX('Invullen groen'!$I:$I,$L12))),""),"")</f>
        <v/>
      </c>
      <c r="H12" s="101">
        <f>IFERROR(IF($L12&gt;0,IF(INDEX('Invullen groen'!$J:$J,$L12)=0,"",INT(INDEX('Invullen groen'!$J:$J,$L12))),""),"")</f>
        <v/>
      </c>
      <c r="I12" s="101">
        <f>IFERROR(IF($L12&gt;0,IF(INDEX('Invullen groen'!$K:$K,$L12)=0,"",INT(INDEX('Invullen groen'!$K:$K,$L12))),""),"")</f>
        <v/>
      </c>
      <c r="J12" s="77">
        <f>IF($L12&gt;0,IFERROR($K$1&amp;" "&amp;TRIM(SUBSTITUTE(SUBSTITUTE(SUBSTITUTE(SUBSTITUTE(SUBSTITUTE(SUBSTITUTE(SUBSTITUTE(SUBSTITUTE(SUBSTITUTE(SUBSTITUTE(SUBSTITUTE(SUBSTITUTE(LOWER(INDEX('Invullen groen'!$O:$O,$L12)),"2024",""),"2025",""),"2026",""),"2027",""),"2028",""),"2029",""),"taakveld ",""),"installaties","inst"),"ruwbouw","ruwb"),"afbouw","afb"),"bijstelling","bijst"),"investeringen","invest")),""),"")</f>
        <v/>
      </c>
      <c r="K12" s="77" t="n"/>
      <c r="L12" s="37">
        <f>IFERROR(MATCH(ROW()-4,'Invullen groen'!$P$17:$P$109,0)+16,0)</f>
        <v/>
      </c>
      <c r="M12" s="37" t="n"/>
      <c r="N12" s="37" t="n"/>
    </row>
    <row r="13" ht="15" customHeight="1" s="402">
      <c r="A13" s="78">
        <f>IFERROR(IF($L13&gt;0,INDEX('Invullen groen'!$E:$E,$L13),""),"")</f>
        <v/>
      </c>
      <c r="B13" s="78">
        <f>IFERROR(IF($L13&gt;0,IF(INDEX('Invullen groen'!$F:$F,$L13)&gt;0,INDEX('Invullen groen'!$F:$F,$L13),""),""),"")</f>
        <v/>
      </c>
      <c r="C13" s="78">
        <f>IFERROR(IF($L13&gt;0,IF(INDEX('Invullen groen'!$N:$N,$L13)&gt;0,INDEX('Invullen groen'!$N:$N,$L13),""),""),"")</f>
        <v/>
      </c>
      <c r="D13" s="78" t="n"/>
      <c r="E13" s="78">
        <f>IFERROR(IF(LEN(J13)&lt;=36,J13,IFERROR(LEFT(J13,FIND(CHAR(1),SUBSTITUTE(LEFT(J13,36)," ",CHAR(1),LEN(LEFT(J13,36))-LEN(SUBSTITUTE(LEFT(J13,36)," ",""))))-1),LEFT(J13,36))),"")</f>
        <v/>
      </c>
      <c r="F13" s="100">
        <f>IFERROR(IF($L13&gt;0,IF(INDEX('Invullen groen'!$H:$H,$L13)=0,"",INT(INDEX('Invullen groen'!$H:$H,$L13))),""),"")</f>
        <v/>
      </c>
      <c r="G13" s="100">
        <f>IFERROR(IF($L13&gt;0,IF(INDEX('Invullen groen'!$I:$I,$L13)=0,"",INT(INDEX('Invullen groen'!$I:$I,$L13))),""),"")</f>
        <v/>
      </c>
      <c r="H13" s="100">
        <f>IFERROR(IF($L13&gt;0,IF(INDEX('Invullen groen'!$J:$J,$L13)=0,"",INT(INDEX('Invullen groen'!$J:$J,$L13))),""),"")</f>
        <v/>
      </c>
      <c r="I13" s="100">
        <f>IFERROR(IF($L13&gt;0,IF(INDEX('Invullen groen'!$K:$K,$L13)=0,"",INT(INDEX('Invullen groen'!$K:$K,$L13))),""),"")</f>
        <v/>
      </c>
      <c r="J13" s="78">
        <f>IF($L13&gt;0,IFERROR($K$1&amp;" "&amp;TRIM(SUBSTITUTE(SUBSTITUTE(SUBSTITUTE(SUBSTITUTE(SUBSTITUTE(SUBSTITUTE(SUBSTITUTE(SUBSTITUTE(SUBSTITUTE(SUBSTITUTE(SUBSTITUTE(SUBSTITUTE(LOWER(INDEX('Invullen groen'!$O:$O,$L13)),"2024",""),"2025",""),"2026",""),"2027",""),"2028",""),"2029",""),"taakveld ",""),"installaties","inst"),"ruwbouw","ruwb"),"afbouw","afb"),"bijstelling","bijst"),"investeringen","invest")),""),"")</f>
        <v/>
      </c>
      <c r="K13" s="78" t="n"/>
      <c r="L13" s="37">
        <f>IFERROR(MATCH(ROW()-4,'Invullen groen'!$P$17:$P$109,0)+16,0)</f>
        <v/>
      </c>
      <c r="M13" s="37" t="n"/>
      <c r="N13" s="37" t="n"/>
    </row>
    <row r="14" ht="15" customHeight="1" s="402">
      <c r="A14" s="77">
        <f>IFERROR(IF($L14&gt;0,INDEX('Invullen groen'!$E:$E,$L14),""),"")</f>
        <v/>
      </c>
      <c r="B14" s="77">
        <f>IFERROR(IF($L14&gt;0,IF(INDEX('Invullen groen'!$F:$F,$L14)&gt;0,INDEX('Invullen groen'!$F:$F,$L14),""),""),"")</f>
        <v/>
      </c>
      <c r="C14" s="77">
        <f>IFERROR(IF($L14&gt;0,IF(INDEX('Invullen groen'!$N:$N,$L14)&gt;0,INDEX('Invullen groen'!$N:$N,$L14),""),""),"")</f>
        <v/>
      </c>
      <c r="D14" s="77" t="n"/>
      <c r="E14" s="77">
        <f>IFERROR(IF(LEN(J14)&lt;=36,J14,IFERROR(LEFT(J14,FIND(CHAR(1),SUBSTITUTE(LEFT(J14,36)," ",CHAR(1),LEN(LEFT(J14,36))-LEN(SUBSTITUTE(LEFT(J14,36)," ",""))))-1),LEFT(J14,36))),"")</f>
        <v/>
      </c>
      <c r="F14" s="101">
        <f>IFERROR(IF($L14&gt;0,IF(INDEX('Invullen groen'!$H:$H,$L14)=0,"",INT(INDEX('Invullen groen'!$H:$H,$L14))),""),"")</f>
        <v/>
      </c>
      <c r="G14" s="101">
        <f>IFERROR(IF($L14&gt;0,IF(INDEX('Invullen groen'!$I:$I,$L14)=0,"",INT(INDEX('Invullen groen'!$I:$I,$L14))),""),"")</f>
        <v/>
      </c>
      <c r="H14" s="101">
        <f>IFERROR(IF($L14&gt;0,IF(INDEX('Invullen groen'!$J:$J,$L14)=0,"",INT(INDEX('Invullen groen'!$J:$J,$L14))),""),"")</f>
        <v/>
      </c>
      <c r="I14" s="101">
        <f>IFERROR(IF($L14&gt;0,IF(INDEX('Invullen groen'!$K:$K,$L14)=0,"",INT(INDEX('Invullen groen'!$K:$K,$L14))),""),"")</f>
        <v/>
      </c>
      <c r="J14" s="77">
        <f>IF($L14&gt;0,IFERROR($K$1&amp;" "&amp;TRIM(SUBSTITUTE(SUBSTITUTE(SUBSTITUTE(SUBSTITUTE(SUBSTITUTE(SUBSTITUTE(SUBSTITUTE(SUBSTITUTE(SUBSTITUTE(SUBSTITUTE(SUBSTITUTE(SUBSTITUTE(LOWER(INDEX('Invullen groen'!$O:$O,$L14)),"2024",""),"2025",""),"2026",""),"2027",""),"2028",""),"2029",""),"taakveld ",""),"installaties","inst"),"ruwbouw","ruwb"),"afbouw","afb"),"bijstelling","bijst"),"investeringen","invest")),""),"")</f>
        <v/>
      </c>
      <c r="K14" s="77" t="n"/>
      <c r="L14" s="37">
        <f>IFERROR(MATCH(ROW()-4,'Invullen groen'!$P$17:$P$109,0)+16,0)</f>
        <v/>
      </c>
      <c r="M14" s="37" t="n"/>
      <c r="N14" s="37" t="n"/>
    </row>
    <row r="15" ht="15" customHeight="1" s="402">
      <c r="A15" s="78">
        <f>IFERROR(IF($L15&gt;0,INDEX('Invullen groen'!$E:$E,$L15),""),"")</f>
        <v/>
      </c>
      <c r="B15" s="78">
        <f>IFERROR(IF($L15&gt;0,IF(INDEX('Invullen groen'!$F:$F,$L15)&gt;0,INDEX('Invullen groen'!$F:$F,$L15),""),""),"")</f>
        <v/>
      </c>
      <c r="C15" s="78">
        <f>IFERROR(IF($L15&gt;0,IF(INDEX('Invullen groen'!$N:$N,$L15)&gt;0,INDEX('Invullen groen'!$N:$N,$L15),""),""),"")</f>
        <v/>
      </c>
      <c r="D15" s="78" t="n"/>
      <c r="E15" s="78">
        <f>IFERROR(IF(LEN(J15)&lt;=36,J15,IFERROR(LEFT(J15,FIND(CHAR(1),SUBSTITUTE(LEFT(J15,36)," ",CHAR(1),LEN(LEFT(J15,36))-LEN(SUBSTITUTE(LEFT(J15,36)," ",""))))-1),LEFT(J15,36))),"")</f>
        <v/>
      </c>
      <c r="F15" s="100">
        <f>IFERROR(IF($L15&gt;0,IF(INDEX('Invullen groen'!$H:$H,$L15)=0,"",INT(INDEX('Invullen groen'!$H:$H,$L15))),""),"")</f>
        <v/>
      </c>
      <c r="G15" s="100">
        <f>IFERROR(IF($L15&gt;0,IF(INDEX('Invullen groen'!$I:$I,$L15)=0,"",INT(INDEX('Invullen groen'!$I:$I,$L15))),""),"")</f>
        <v/>
      </c>
      <c r="H15" s="100">
        <f>IFERROR(IF($L15&gt;0,IF(INDEX('Invullen groen'!$J:$J,$L15)=0,"",INT(INDEX('Invullen groen'!$J:$J,$L15))),""),"")</f>
        <v/>
      </c>
      <c r="I15" s="100">
        <f>IFERROR(IF($L15&gt;0,IF(INDEX('Invullen groen'!$K:$K,$L15)=0,"",INT(INDEX('Invullen groen'!$K:$K,$L15))),""),"")</f>
        <v/>
      </c>
      <c r="J15" s="78">
        <f>IF($L15&gt;0,IFERROR($K$1&amp;" "&amp;TRIM(SUBSTITUTE(SUBSTITUTE(SUBSTITUTE(SUBSTITUTE(SUBSTITUTE(SUBSTITUTE(SUBSTITUTE(SUBSTITUTE(SUBSTITUTE(SUBSTITUTE(SUBSTITUTE(SUBSTITUTE(LOWER(INDEX('Invullen groen'!$O:$O,$L15)),"2024",""),"2025",""),"2026",""),"2027",""),"2028",""),"2029",""),"taakveld ",""),"installaties","inst"),"ruwbouw","ruwb"),"afbouw","afb"),"bijstelling","bijst"),"investeringen","invest")),""),"")</f>
        <v/>
      </c>
      <c r="K15" s="78" t="n"/>
      <c r="L15" s="37">
        <f>IFERROR(MATCH(ROW()-4,'Invullen groen'!$P$17:$P$109,0)+16,0)</f>
        <v/>
      </c>
      <c r="M15" s="37" t="n"/>
      <c r="N15" s="37" t="n"/>
    </row>
    <row r="16" ht="15" customHeight="1" s="402">
      <c r="A16" s="77">
        <f>IFERROR(IF($L16&gt;0,INDEX('Invullen groen'!$E:$E,$L16),""),"")</f>
        <v/>
      </c>
      <c r="B16" s="77">
        <f>IFERROR(IF($L16&gt;0,IF(INDEX('Invullen groen'!$F:$F,$L16)&gt;0,INDEX('Invullen groen'!$F:$F,$L16),""),""),"")</f>
        <v/>
      </c>
      <c r="C16" s="77">
        <f>IFERROR(IF($L16&gt;0,IF(INDEX('Invullen groen'!$N:$N,$L16)&gt;0,INDEX('Invullen groen'!$N:$N,$L16),""),""),"")</f>
        <v/>
      </c>
      <c r="D16" s="77" t="n"/>
      <c r="E16" s="77">
        <f>IFERROR(IF(LEN(J16)&lt;=36,J16,IFERROR(LEFT(J16,FIND(CHAR(1),SUBSTITUTE(LEFT(J16,36)," ",CHAR(1),LEN(LEFT(J16,36))-LEN(SUBSTITUTE(LEFT(J16,36)," ",""))))-1),LEFT(J16,36))),"")</f>
        <v/>
      </c>
      <c r="F16" s="101">
        <f>IFERROR(IF($L16&gt;0,IF(INDEX('Invullen groen'!$H:$H,$L16)=0,"",INT(INDEX('Invullen groen'!$H:$H,$L16))),""),"")</f>
        <v/>
      </c>
      <c r="G16" s="101">
        <f>IFERROR(IF($L16&gt;0,IF(INDEX('Invullen groen'!$I:$I,$L16)=0,"",INT(INDEX('Invullen groen'!$I:$I,$L16))),""),"")</f>
        <v/>
      </c>
      <c r="H16" s="101">
        <f>IFERROR(IF($L16&gt;0,IF(INDEX('Invullen groen'!$J:$J,$L16)=0,"",INT(INDEX('Invullen groen'!$J:$J,$L16))),""),"")</f>
        <v/>
      </c>
      <c r="I16" s="101">
        <f>IFERROR(IF($L16&gt;0,IF(INDEX('Invullen groen'!$K:$K,$L16)=0,"",INT(INDEX('Invullen groen'!$K:$K,$L16))),""),"")</f>
        <v/>
      </c>
      <c r="J16" s="77">
        <f>IF($L16&gt;0,IFERROR($K$1&amp;" "&amp;TRIM(SUBSTITUTE(SUBSTITUTE(SUBSTITUTE(SUBSTITUTE(SUBSTITUTE(SUBSTITUTE(SUBSTITUTE(SUBSTITUTE(SUBSTITUTE(SUBSTITUTE(SUBSTITUTE(SUBSTITUTE(LOWER(INDEX('Invullen groen'!$O:$O,$L16)),"2024",""),"2025",""),"2026",""),"2027",""),"2028",""),"2029",""),"taakveld ",""),"installaties","inst"),"ruwbouw","ruwb"),"afbouw","afb"),"bijstelling","bijst"),"investeringen","invest")),""),"")</f>
        <v/>
      </c>
      <c r="K16" s="77" t="n"/>
      <c r="L16" s="37">
        <f>IFERROR(MATCH(ROW()-4,'Invullen groen'!$P$17:$P$109,0)+16,0)</f>
        <v/>
      </c>
      <c r="M16" s="37" t="n"/>
      <c r="N16" s="37" t="n"/>
    </row>
    <row r="17" ht="15" customHeight="1" s="402">
      <c r="A17" s="78">
        <f>IFERROR(IF($L17&gt;0,INDEX('Invullen groen'!$E:$E,$L17),""),"")</f>
        <v/>
      </c>
      <c r="B17" s="78">
        <f>IFERROR(IF($L17&gt;0,IF(INDEX('Invullen groen'!$F:$F,$L17)&gt;0,INDEX('Invullen groen'!$F:$F,$L17),""),""),"")</f>
        <v/>
      </c>
      <c r="C17" s="78">
        <f>IFERROR(IF($L17&gt;0,IF(INDEX('Invullen groen'!$N:$N,$L17)&gt;0,INDEX('Invullen groen'!$N:$N,$L17),""),""),"")</f>
        <v/>
      </c>
      <c r="D17" s="78" t="n"/>
      <c r="E17" s="78">
        <f>IFERROR(IF(LEN(J17)&lt;=36,J17,IFERROR(LEFT(J17,FIND(CHAR(1),SUBSTITUTE(LEFT(J17,36)," ",CHAR(1),LEN(LEFT(J17,36))-LEN(SUBSTITUTE(LEFT(J17,36)," ",""))))-1),LEFT(J17,36))),"")</f>
        <v/>
      </c>
      <c r="F17" s="100">
        <f>IFERROR(IF($L17&gt;0,IF(INDEX('Invullen groen'!$H:$H,$L17)=0,"",INT(INDEX('Invullen groen'!$H:$H,$L17))),""),"")</f>
        <v/>
      </c>
      <c r="G17" s="100">
        <f>IFERROR(IF($L17&gt;0,IF(INDEX('Invullen groen'!$I:$I,$L17)=0,"",INT(INDEX('Invullen groen'!$I:$I,$L17))),""),"")</f>
        <v/>
      </c>
      <c r="H17" s="100">
        <f>IFERROR(IF($L17&gt;0,IF(INDEX('Invullen groen'!$J:$J,$L17)=0,"",INT(INDEX('Invullen groen'!$J:$J,$L17))),""),"")</f>
        <v/>
      </c>
      <c r="I17" s="100">
        <f>IFERROR(IF($L17&gt;0,IF(INDEX('Invullen groen'!$K:$K,$L17)=0,"",INT(INDEX('Invullen groen'!$K:$K,$L17))),""),"")</f>
        <v/>
      </c>
      <c r="J17" s="78">
        <f>IF($L17&gt;0,IFERROR($K$1&amp;" "&amp;TRIM(SUBSTITUTE(SUBSTITUTE(SUBSTITUTE(SUBSTITUTE(SUBSTITUTE(SUBSTITUTE(SUBSTITUTE(SUBSTITUTE(SUBSTITUTE(SUBSTITUTE(SUBSTITUTE(SUBSTITUTE(LOWER(INDEX('Invullen groen'!$O:$O,$L17)),"2024",""),"2025",""),"2026",""),"2027",""),"2028",""),"2029",""),"taakveld ",""),"installaties","inst"),"ruwbouw","ruwb"),"afbouw","afb"),"bijstelling","bijst"),"investeringen","invest")),""),"")</f>
        <v/>
      </c>
      <c r="K17" s="78" t="n"/>
      <c r="L17" s="37">
        <f>IFERROR(MATCH(ROW()-4,'Invullen groen'!$P$17:$P$109,0)+16,0)</f>
        <v/>
      </c>
      <c r="M17" s="37" t="n"/>
      <c r="N17" s="37" t="n"/>
    </row>
    <row r="18" ht="15" customHeight="1" s="402">
      <c r="A18" s="77">
        <f>IFERROR(IF($L18&gt;0,INDEX('Invullen groen'!$E:$E,$L18),""),"")</f>
        <v/>
      </c>
      <c r="B18" s="77">
        <f>IFERROR(IF($L18&gt;0,IF(INDEX('Invullen groen'!$F:$F,$L18)&gt;0,INDEX('Invullen groen'!$F:$F,$L18),""),""),"")</f>
        <v/>
      </c>
      <c r="C18" s="77">
        <f>IFERROR(IF($L18&gt;0,IF(INDEX('Invullen groen'!$N:$N,$L18)&gt;0,INDEX('Invullen groen'!$N:$N,$L18),""),""),"")</f>
        <v/>
      </c>
      <c r="D18" s="77" t="n"/>
      <c r="E18" s="77">
        <f>IFERROR(IF(LEN(J18)&lt;=36,J18,IFERROR(LEFT(J18,FIND(CHAR(1),SUBSTITUTE(LEFT(J18,36)," ",CHAR(1),LEN(LEFT(J18,36))-LEN(SUBSTITUTE(LEFT(J18,36)," ",""))))-1),LEFT(J18,36))),"")</f>
        <v/>
      </c>
      <c r="F18" s="101">
        <f>IFERROR(IF($L18&gt;0,IF(INDEX('Invullen groen'!$H:$H,$L18)=0,"",INT(INDEX('Invullen groen'!$H:$H,$L18))),""),"")</f>
        <v/>
      </c>
      <c r="G18" s="101">
        <f>IFERROR(IF($L18&gt;0,IF(INDEX('Invullen groen'!$I:$I,$L18)=0,"",INT(INDEX('Invullen groen'!$I:$I,$L18))),""),"")</f>
        <v/>
      </c>
      <c r="H18" s="101">
        <f>IFERROR(IF($L18&gt;0,IF(INDEX('Invullen groen'!$J:$J,$L18)=0,"",INT(INDEX('Invullen groen'!$J:$J,$L18))),""),"")</f>
        <v/>
      </c>
      <c r="I18" s="101">
        <f>IFERROR(IF($L18&gt;0,IF(INDEX('Invullen groen'!$K:$K,$L18)=0,"",INT(INDEX('Invullen groen'!$K:$K,$L18))),""),"")</f>
        <v/>
      </c>
      <c r="J18" s="77">
        <f>IF($L18&gt;0,IFERROR($K$1&amp;" "&amp;TRIM(SUBSTITUTE(SUBSTITUTE(SUBSTITUTE(SUBSTITUTE(SUBSTITUTE(SUBSTITUTE(SUBSTITUTE(SUBSTITUTE(SUBSTITUTE(SUBSTITUTE(SUBSTITUTE(SUBSTITUTE(LOWER(INDEX('Invullen groen'!$O:$O,$L18)),"2024",""),"2025",""),"2026",""),"2027",""),"2028",""),"2029",""),"taakveld ",""),"installaties","inst"),"ruwbouw","ruwb"),"afbouw","afb"),"bijstelling","bijst"),"investeringen","invest")),""),"")</f>
        <v/>
      </c>
      <c r="K18" s="77" t="n"/>
      <c r="L18" s="37">
        <f>IFERROR(MATCH(ROW()-4,'Invullen groen'!$P$17:$P$109,0)+16,0)</f>
        <v/>
      </c>
      <c r="M18" s="37" t="n"/>
      <c r="N18" s="37" t="n"/>
    </row>
    <row r="19" ht="15" customHeight="1" s="402">
      <c r="A19" s="78">
        <f>IFERROR(IF($L19&gt;0,INDEX('Invullen groen'!$E:$E,$L19),""),"")</f>
        <v/>
      </c>
      <c r="B19" s="78">
        <f>IFERROR(IF($L19&gt;0,IF(INDEX('Invullen groen'!$F:$F,$L19)&gt;0,INDEX('Invullen groen'!$F:$F,$L19),""),""),"")</f>
        <v/>
      </c>
      <c r="C19" s="78">
        <f>IFERROR(IF($L19&gt;0,IF(INDEX('Invullen groen'!$N:$N,$L19)&gt;0,INDEX('Invullen groen'!$N:$N,$L19),""),""),"")</f>
        <v/>
      </c>
      <c r="D19" s="78" t="n"/>
      <c r="E19" s="78">
        <f>IFERROR(IF(LEN(J19)&lt;=36,J19,IFERROR(LEFT(J19,FIND(CHAR(1),SUBSTITUTE(LEFT(J19,36)," ",CHAR(1),LEN(LEFT(J19,36))-LEN(SUBSTITUTE(LEFT(J19,36)," ",""))))-1),LEFT(J19,36))),"")</f>
        <v/>
      </c>
      <c r="F19" s="100">
        <f>IFERROR(IF($L19&gt;0,IF(INDEX('Invullen groen'!$H:$H,$L19)=0,"",INT(INDEX('Invullen groen'!$H:$H,$L19))),""),"")</f>
        <v/>
      </c>
      <c r="G19" s="100">
        <f>IFERROR(IF($L19&gt;0,IF(INDEX('Invullen groen'!$I:$I,$L19)=0,"",INT(INDEX('Invullen groen'!$I:$I,$L19))),""),"")</f>
        <v/>
      </c>
      <c r="H19" s="100">
        <f>IFERROR(IF($L19&gt;0,IF(INDEX('Invullen groen'!$J:$J,$L19)=0,"",INT(INDEX('Invullen groen'!$J:$J,$L19))),""),"")</f>
        <v/>
      </c>
      <c r="I19" s="100">
        <f>IFERROR(IF($L19&gt;0,IF(INDEX('Invullen groen'!$K:$K,$L19)=0,"",INT(INDEX('Invullen groen'!$K:$K,$L19))),""),"")</f>
        <v/>
      </c>
      <c r="J19" s="78">
        <f>IF($L19&gt;0,IFERROR($K$1&amp;" "&amp;TRIM(SUBSTITUTE(SUBSTITUTE(SUBSTITUTE(SUBSTITUTE(SUBSTITUTE(SUBSTITUTE(SUBSTITUTE(SUBSTITUTE(SUBSTITUTE(SUBSTITUTE(SUBSTITUTE(SUBSTITUTE(LOWER(INDEX('Invullen groen'!$O:$O,$L19)),"2024",""),"2025",""),"2026",""),"2027",""),"2028",""),"2029",""),"taakveld ",""),"installaties","inst"),"ruwbouw","ruwb"),"afbouw","afb"),"bijstelling","bijst"),"investeringen","invest")),""),"")</f>
        <v/>
      </c>
      <c r="K19" s="78" t="n"/>
      <c r="L19" s="37">
        <f>IFERROR(MATCH(ROW()-4,'Invullen groen'!$P$17:$P$109,0)+16,0)</f>
        <v/>
      </c>
      <c r="M19" s="37" t="n"/>
      <c r="N19" s="37" t="n"/>
    </row>
    <row r="20" ht="15" customHeight="1" s="402">
      <c r="A20" s="77">
        <f>IFERROR(IF($L20&gt;0,INDEX('Invullen groen'!$E:$E,$L20),""),"")</f>
        <v/>
      </c>
      <c r="B20" s="77">
        <f>IFERROR(IF($L20&gt;0,IF(INDEX('Invullen groen'!$F:$F,$L20)&gt;0,INDEX('Invullen groen'!$F:$F,$L20),""),""),"")</f>
        <v/>
      </c>
      <c r="C20" s="77">
        <f>IFERROR(IF($L20&gt;0,IF(INDEX('Invullen groen'!$N:$N,$L20)&gt;0,INDEX('Invullen groen'!$N:$N,$L20),""),""),"")</f>
        <v/>
      </c>
      <c r="D20" s="77" t="n"/>
      <c r="E20" s="77">
        <f>IFERROR(IF(LEN(J20)&lt;=36,J20,IFERROR(LEFT(J20,FIND(CHAR(1),SUBSTITUTE(LEFT(J20,36)," ",CHAR(1),LEN(LEFT(J20,36))-LEN(SUBSTITUTE(LEFT(J20,36)," ",""))))-1),LEFT(J20,36))),"")</f>
        <v/>
      </c>
      <c r="F20" s="101">
        <f>IFERROR(IF($L20&gt;0,IF(INDEX('Invullen groen'!$H:$H,$L20)=0,"",INT(INDEX('Invullen groen'!$H:$H,$L20))),""),"")</f>
        <v/>
      </c>
      <c r="G20" s="101">
        <f>IFERROR(IF($L20&gt;0,IF(INDEX('Invullen groen'!$I:$I,$L20)=0,"",INT(INDEX('Invullen groen'!$I:$I,$L20))),""),"")</f>
        <v/>
      </c>
      <c r="H20" s="101">
        <f>IFERROR(IF($L20&gt;0,IF(INDEX('Invullen groen'!$J:$J,$L20)=0,"",INT(INDEX('Invullen groen'!$J:$J,$L20))),""),"")</f>
        <v/>
      </c>
      <c r="I20" s="101">
        <f>IFERROR(IF($L20&gt;0,IF(INDEX('Invullen groen'!$K:$K,$L20)=0,"",INT(INDEX('Invullen groen'!$K:$K,$L20))),""),"")</f>
        <v/>
      </c>
      <c r="J20" s="77">
        <f>IF($L20&gt;0,IFERROR($K$1&amp;" "&amp;TRIM(SUBSTITUTE(SUBSTITUTE(SUBSTITUTE(SUBSTITUTE(SUBSTITUTE(SUBSTITUTE(SUBSTITUTE(SUBSTITUTE(SUBSTITUTE(SUBSTITUTE(SUBSTITUTE(SUBSTITUTE(LOWER(INDEX('Invullen groen'!$O:$O,$L20)),"2024",""),"2025",""),"2026",""),"2027",""),"2028",""),"2029",""),"taakveld ",""),"installaties","inst"),"ruwbouw","ruwb"),"afbouw","afb"),"bijstelling","bijst"),"investeringen","invest")),""),"")</f>
        <v/>
      </c>
      <c r="K20" s="77" t="n"/>
      <c r="L20" s="37">
        <f>IFERROR(MATCH(ROW()-4,'Invullen groen'!$P$17:$P$109,0)+16,0)</f>
        <v/>
      </c>
      <c r="M20" s="37" t="n"/>
      <c r="N20" s="37" t="n"/>
    </row>
    <row r="21" ht="15" customHeight="1" s="402">
      <c r="A21" s="78">
        <f>IFERROR(IF($L21&gt;0,INDEX('Invullen groen'!$E:$E,$L21),""),"")</f>
        <v/>
      </c>
      <c r="B21" s="78">
        <f>IFERROR(IF($L21&gt;0,IF(INDEX('Invullen groen'!$F:$F,$L21)&gt;0,INDEX('Invullen groen'!$F:$F,$L21),""),""),"")</f>
        <v/>
      </c>
      <c r="C21" s="78">
        <f>IFERROR(IF($L21&gt;0,IF(INDEX('Invullen groen'!$N:$N,$L21)&gt;0,INDEX('Invullen groen'!$N:$N,$L21),""),""),"")</f>
        <v/>
      </c>
      <c r="D21" s="78" t="n"/>
      <c r="E21" s="78">
        <f>IFERROR(IF(LEN(J21)&lt;=36,J21,IFERROR(LEFT(J21,FIND(CHAR(1),SUBSTITUTE(LEFT(J21,36)," ",CHAR(1),LEN(LEFT(J21,36))-LEN(SUBSTITUTE(LEFT(J21,36)," ",""))))-1),LEFT(J21,36))),"")</f>
        <v/>
      </c>
      <c r="F21" s="100">
        <f>IFERROR(IF($L21&gt;0,IF(INDEX('Invullen groen'!$H:$H,$L21)=0,"",INT(INDEX('Invullen groen'!$H:$H,$L21))),""),"")</f>
        <v/>
      </c>
      <c r="G21" s="100">
        <f>IFERROR(IF($L21&gt;0,IF(INDEX('Invullen groen'!$I:$I,$L21)=0,"",INT(INDEX('Invullen groen'!$I:$I,$L21))),""),"")</f>
        <v/>
      </c>
      <c r="H21" s="100">
        <f>IFERROR(IF($L21&gt;0,IF(INDEX('Invullen groen'!$J:$J,$L21)=0,"",INT(INDEX('Invullen groen'!$J:$J,$L21))),""),"")</f>
        <v/>
      </c>
      <c r="I21" s="100">
        <f>IFERROR(IF($L21&gt;0,IF(INDEX('Invullen groen'!$K:$K,$L21)=0,"",INT(INDEX('Invullen groen'!$K:$K,$L21))),""),"")</f>
        <v/>
      </c>
      <c r="J21" s="78">
        <f>IF($L21&gt;0,IFERROR($K$1&amp;" "&amp;TRIM(SUBSTITUTE(SUBSTITUTE(SUBSTITUTE(SUBSTITUTE(SUBSTITUTE(SUBSTITUTE(SUBSTITUTE(SUBSTITUTE(SUBSTITUTE(SUBSTITUTE(SUBSTITUTE(SUBSTITUTE(LOWER(INDEX('Invullen groen'!$O:$O,$L21)),"2024",""),"2025",""),"2026",""),"2027",""),"2028",""),"2029",""),"taakveld ",""),"installaties","inst"),"ruwbouw","ruwb"),"afbouw","afb"),"bijstelling","bijst"),"investeringen","invest")),""),"")</f>
        <v/>
      </c>
      <c r="K21" s="78" t="n"/>
      <c r="L21" s="37">
        <f>IFERROR(MATCH(ROW()-4,'Invullen groen'!$P$17:$P$109,0)+16,0)</f>
        <v/>
      </c>
      <c r="M21" s="37" t="n"/>
      <c r="N21" s="37" t="n"/>
    </row>
    <row r="22" ht="15" customHeight="1" s="402">
      <c r="A22" s="77">
        <f>IFERROR(IF($L22&gt;0,INDEX('Invullen groen'!$E:$E,$L22),""),"")</f>
        <v/>
      </c>
      <c r="B22" s="77">
        <f>IFERROR(IF($L22&gt;0,IF(INDEX('Invullen groen'!$F:$F,$L22)&gt;0,INDEX('Invullen groen'!$F:$F,$L22),""),""),"")</f>
        <v/>
      </c>
      <c r="C22" s="77">
        <f>IFERROR(IF($L22&gt;0,IF(INDEX('Invullen groen'!$N:$N,$L22)&gt;0,INDEX('Invullen groen'!$N:$N,$L22),""),""),"")</f>
        <v/>
      </c>
      <c r="D22" s="77" t="n"/>
      <c r="E22" s="77">
        <f>IFERROR(IF(LEN(J22)&lt;=36,J22,IFERROR(LEFT(J22,FIND(CHAR(1),SUBSTITUTE(LEFT(J22,36)," ",CHAR(1),LEN(LEFT(J22,36))-LEN(SUBSTITUTE(LEFT(J22,36)," ",""))))-1),LEFT(J22,36))),"")</f>
        <v/>
      </c>
      <c r="F22" s="101">
        <f>IFERROR(IF($L22&gt;0,IF(INDEX('Invullen groen'!$H:$H,$L22)=0,"",INT(INDEX('Invullen groen'!$H:$H,$L22))),""),"")</f>
        <v/>
      </c>
      <c r="G22" s="101">
        <f>IFERROR(IF($L22&gt;0,IF(INDEX('Invullen groen'!$I:$I,$L22)=0,"",INT(INDEX('Invullen groen'!$I:$I,$L22))),""),"")</f>
        <v/>
      </c>
      <c r="H22" s="101">
        <f>IFERROR(IF($L22&gt;0,IF(INDEX('Invullen groen'!$J:$J,$L22)=0,"",INT(INDEX('Invullen groen'!$J:$J,$L22))),""),"")</f>
        <v/>
      </c>
      <c r="I22" s="101">
        <f>IFERROR(IF($L22&gt;0,IF(INDEX('Invullen groen'!$K:$K,$L22)=0,"",INT(INDEX('Invullen groen'!$K:$K,$L22))),""),"")</f>
        <v/>
      </c>
      <c r="J22" s="77">
        <f>IF($L22&gt;0,IFERROR($K$1&amp;" "&amp;TRIM(SUBSTITUTE(SUBSTITUTE(SUBSTITUTE(SUBSTITUTE(SUBSTITUTE(SUBSTITUTE(SUBSTITUTE(SUBSTITUTE(SUBSTITUTE(SUBSTITUTE(SUBSTITUTE(SUBSTITUTE(LOWER(INDEX('Invullen groen'!$O:$O,$L22)),"2024",""),"2025",""),"2026",""),"2027",""),"2028",""),"2029",""),"taakveld ",""),"installaties","inst"),"ruwbouw","ruwb"),"afbouw","afb"),"bijstelling","bijst"),"investeringen","invest")),""),"")</f>
        <v/>
      </c>
      <c r="K22" s="77" t="n"/>
      <c r="L22" s="37">
        <f>IFERROR(MATCH(ROW()-4,'Invullen groen'!$P$17:$P$109,0)+16,0)</f>
        <v/>
      </c>
      <c r="M22" s="37" t="n"/>
      <c r="N22" s="37" t="n"/>
    </row>
    <row r="23" ht="15" customHeight="1" s="402">
      <c r="A23" s="78">
        <f>IFERROR(IF($L23&gt;0,INDEX('Invullen groen'!$E:$E,$L23),""),"")</f>
        <v/>
      </c>
      <c r="B23" s="78">
        <f>IFERROR(IF($L23&gt;0,IF(INDEX('Invullen groen'!$F:$F,$L23)&gt;0,INDEX('Invullen groen'!$F:$F,$L23),""),""),"")</f>
        <v/>
      </c>
      <c r="C23" s="78">
        <f>IFERROR(IF($L23&gt;0,IF(INDEX('Invullen groen'!$N:$N,$L23)&gt;0,INDEX('Invullen groen'!$N:$N,$L23),""),""),"")</f>
        <v/>
      </c>
      <c r="D23" s="78" t="n"/>
      <c r="E23" s="78">
        <f>IFERROR(IF(LEN(J23)&lt;=36,J23,IFERROR(LEFT(J23,FIND(CHAR(1),SUBSTITUTE(LEFT(J23,36)," ",CHAR(1),LEN(LEFT(J23,36))-LEN(SUBSTITUTE(LEFT(J23,36)," ",""))))-1),LEFT(J23,36))),"")</f>
        <v/>
      </c>
      <c r="F23" s="100">
        <f>IFERROR(IF($L23&gt;0,IF(INDEX('Invullen groen'!$H:$H,$L23)=0,"",INT(INDEX('Invullen groen'!$H:$H,$L23))),""),"")</f>
        <v/>
      </c>
      <c r="G23" s="100">
        <f>IFERROR(IF($L23&gt;0,IF(INDEX('Invullen groen'!$I:$I,$L23)=0,"",INT(INDEX('Invullen groen'!$I:$I,$L23))),""),"")</f>
        <v/>
      </c>
      <c r="H23" s="100">
        <f>IFERROR(IF($L23&gt;0,IF(INDEX('Invullen groen'!$J:$J,$L23)=0,"",INT(INDEX('Invullen groen'!$J:$J,$L23))),""),"")</f>
        <v/>
      </c>
      <c r="I23" s="100">
        <f>IFERROR(IF($L23&gt;0,IF(INDEX('Invullen groen'!$K:$K,$L23)=0,"",INT(INDEX('Invullen groen'!$K:$K,$L23))),""),"")</f>
        <v/>
      </c>
      <c r="J23" s="78">
        <f>IF($L23&gt;0,IFERROR($K$1&amp;" "&amp;TRIM(SUBSTITUTE(SUBSTITUTE(SUBSTITUTE(SUBSTITUTE(SUBSTITUTE(SUBSTITUTE(SUBSTITUTE(SUBSTITUTE(SUBSTITUTE(SUBSTITUTE(SUBSTITUTE(SUBSTITUTE(LOWER(INDEX('Invullen groen'!$O:$O,$L23)),"2024",""),"2025",""),"2026",""),"2027",""),"2028",""),"2029",""),"taakveld ",""),"installaties","inst"),"ruwbouw","ruwb"),"afbouw","afb"),"bijstelling","bijst"),"investeringen","invest")),""),"")</f>
        <v/>
      </c>
      <c r="K23" s="78" t="n"/>
      <c r="L23" s="37">
        <f>IFERROR(MATCH(ROW()-4,'Invullen groen'!$P$17:$P$109,0)+16,0)</f>
        <v/>
      </c>
      <c r="M23" s="37" t="n"/>
      <c r="N23" s="37" t="n"/>
    </row>
    <row r="24" ht="15" customHeight="1" s="402">
      <c r="A24" s="77">
        <f>IFERROR(IF($L24&gt;0,INDEX('Invullen groen'!$E:$E,$L24),""),"")</f>
        <v/>
      </c>
      <c r="B24" s="77">
        <f>IFERROR(IF($L24&gt;0,IF(INDEX('Invullen groen'!$F:$F,$L24)&gt;0,INDEX('Invullen groen'!$F:$F,$L24),""),""),"")</f>
        <v/>
      </c>
      <c r="C24" s="77">
        <f>IFERROR(IF($L24&gt;0,IF(INDEX('Invullen groen'!$N:$N,$L24)&gt;0,INDEX('Invullen groen'!$N:$N,$L24),""),""),"")</f>
        <v/>
      </c>
      <c r="D24" s="77" t="n"/>
      <c r="E24" s="77">
        <f>IFERROR(IF(LEN(J24)&lt;=36,J24,IFERROR(LEFT(J24,FIND(CHAR(1),SUBSTITUTE(LEFT(J24,36)," ",CHAR(1),LEN(LEFT(J24,36))-LEN(SUBSTITUTE(LEFT(J24,36)," ",""))))-1),LEFT(J24,36))),"")</f>
        <v/>
      </c>
      <c r="F24" s="101">
        <f>IFERROR(IF($L24&gt;0,IF(INDEX('Invullen groen'!$H:$H,$L24)=0,"",INT(INDEX('Invullen groen'!$H:$H,$L24))),""),"")</f>
        <v/>
      </c>
      <c r="G24" s="101">
        <f>IFERROR(IF($L24&gt;0,IF(INDEX('Invullen groen'!$I:$I,$L24)=0,"",INT(INDEX('Invullen groen'!$I:$I,$L24))),""),"")</f>
        <v/>
      </c>
      <c r="H24" s="101">
        <f>IFERROR(IF($L24&gt;0,IF(INDEX('Invullen groen'!$J:$J,$L24)=0,"",INT(INDEX('Invullen groen'!$J:$J,$L24))),""),"")</f>
        <v/>
      </c>
      <c r="I24" s="101">
        <f>IFERROR(IF($L24&gt;0,IF(INDEX('Invullen groen'!$K:$K,$L24)=0,"",INT(INDEX('Invullen groen'!$K:$K,$L24))),""),"")</f>
        <v/>
      </c>
      <c r="J24" s="77">
        <f>IF($L24&gt;0,IFERROR($K$1&amp;" "&amp;TRIM(SUBSTITUTE(SUBSTITUTE(SUBSTITUTE(SUBSTITUTE(SUBSTITUTE(SUBSTITUTE(SUBSTITUTE(SUBSTITUTE(SUBSTITUTE(SUBSTITUTE(SUBSTITUTE(SUBSTITUTE(LOWER(INDEX('Invullen groen'!$O:$O,$L24)),"2024",""),"2025",""),"2026",""),"2027",""),"2028",""),"2029",""),"taakveld ",""),"installaties","inst"),"ruwbouw","ruwb"),"afbouw","afb"),"bijstelling","bijst"),"investeringen","invest")),""),"")</f>
        <v/>
      </c>
      <c r="K24" s="77" t="n"/>
      <c r="L24" s="37">
        <f>IFERROR(MATCH(ROW()-4,'Invullen groen'!$P$17:$P$109,0)+16,0)</f>
        <v/>
      </c>
      <c r="M24" s="37" t="n"/>
      <c r="N24" s="37" t="n"/>
    </row>
    <row r="25" ht="15" customHeight="1" s="402">
      <c r="A25" s="78">
        <f>IFERROR(IF($L25&gt;0,INDEX('Invullen groen'!$E:$E,$L25),""),"")</f>
        <v/>
      </c>
      <c r="B25" s="78">
        <f>IFERROR(IF($L25&gt;0,IF(INDEX('Invullen groen'!$F:$F,$L25)&gt;0,INDEX('Invullen groen'!$F:$F,$L25),""),""),"")</f>
        <v/>
      </c>
      <c r="C25" s="78">
        <f>IFERROR(IF($L25&gt;0,IF(INDEX('Invullen groen'!$N:$N,$L25)&gt;0,INDEX('Invullen groen'!$N:$N,$L25),""),""),"")</f>
        <v/>
      </c>
      <c r="D25" s="78" t="n"/>
      <c r="E25" s="78">
        <f>IFERROR(IF(LEN(J25)&lt;=36,J25,IFERROR(LEFT(J25,FIND(CHAR(1),SUBSTITUTE(LEFT(J25,36)," ",CHAR(1),LEN(LEFT(J25,36))-LEN(SUBSTITUTE(LEFT(J25,36)," ",""))))-1),LEFT(J25,36))),"")</f>
        <v/>
      </c>
      <c r="F25" s="100">
        <f>IFERROR(IF($L25&gt;0,IF(INDEX('Invullen groen'!$H:$H,$L25)=0,"",INT(INDEX('Invullen groen'!$H:$H,$L25))),""),"")</f>
        <v/>
      </c>
      <c r="G25" s="100">
        <f>IFERROR(IF($L25&gt;0,IF(INDEX('Invullen groen'!$I:$I,$L25)=0,"",INT(INDEX('Invullen groen'!$I:$I,$L25))),""),"")</f>
        <v/>
      </c>
      <c r="H25" s="100">
        <f>IFERROR(IF($L25&gt;0,IF(INDEX('Invullen groen'!$J:$J,$L25)=0,"",INT(INDEX('Invullen groen'!$J:$J,$L25))),""),"")</f>
        <v/>
      </c>
      <c r="I25" s="100">
        <f>IFERROR(IF($L25&gt;0,IF(INDEX('Invullen groen'!$K:$K,$L25)=0,"",INT(INDEX('Invullen groen'!$K:$K,$L25))),""),"")</f>
        <v/>
      </c>
      <c r="J25" s="78">
        <f>IF($L25&gt;0,IFERROR($K$1&amp;" "&amp;TRIM(SUBSTITUTE(SUBSTITUTE(SUBSTITUTE(SUBSTITUTE(SUBSTITUTE(SUBSTITUTE(SUBSTITUTE(SUBSTITUTE(SUBSTITUTE(SUBSTITUTE(SUBSTITUTE(SUBSTITUTE(LOWER(INDEX('Invullen groen'!$O:$O,$L25)),"2024",""),"2025",""),"2026",""),"2027",""),"2028",""),"2029",""),"taakveld ",""),"installaties","inst"),"ruwbouw","ruwb"),"afbouw","afb"),"bijstelling","bijst"),"investeringen","invest")),""),"")</f>
        <v/>
      </c>
      <c r="K25" s="78" t="n"/>
      <c r="L25" s="37">
        <f>IFERROR(MATCH(ROW()-4,'Invullen groen'!$P$17:$P$109,0)+16,0)</f>
        <v/>
      </c>
      <c r="M25" s="37" t="n"/>
      <c r="N25" s="37" t="n"/>
    </row>
    <row r="26" ht="15" customHeight="1" s="402">
      <c r="A26" s="77">
        <f>IFERROR(IF($L26&gt;0,INDEX('Invullen groen'!$E:$E,$L26),""),"")</f>
        <v/>
      </c>
      <c r="B26" s="77">
        <f>IFERROR(IF($L26&gt;0,IF(INDEX('Invullen groen'!$F:$F,$L26)&gt;0,INDEX('Invullen groen'!$F:$F,$L26),""),""),"")</f>
        <v/>
      </c>
      <c r="C26" s="77">
        <f>IFERROR(IF($L26&gt;0,IF(INDEX('Invullen groen'!$N:$N,$L26)&gt;0,INDEX('Invullen groen'!$N:$N,$L26),""),""),"")</f>
        <v/>
      </c>
      <c r="D26" s="77" t="n"/>
      <c r="E26" s="77">
        <f>IFERROR(IF(LEN(J26)&lt;=36,J26,IFERROR(LEFT(J26,FIND(CHAR(1),SUBSTITUTE(LEFT(J26,36)," ",CHAR(1),LEN(LEFT(J26,36))-LEN(SUBSTITUTE(LEFT(J26,36)," ",""))))-1),LEFT(J26,36))),"")</f>
        <v/>
      </c>
      <c r="F26" s="101">
        <f>IFERROR(IF($L26&gt;0,IF(INDEX('Invullen groen'!$H:$H,$L26)=0,"",INT(INDEX('Invullen groen'!$H:$H,$L26))),""),"")</f>
        <v/>
      </c>
      <c r="G26" s="101">
        <f>IFERROR(IF($L26&gt;0,IF(INDEX('Invullen groen'!$I:$I,$L26)=0,"",INT(INDEX('Invullen groen'!$I:$I,$L26))),""),"")</f>
        <v/>
      </c>
      <c r="H26" s="101">
        <f>IFERROR(IF($L26&gt;0,IF(INDEX('Invullen groen'!$J:$J,$L26)=0,"",INT(INDEX('Invullen groen'!$J:$J,$L26))),""),"")</f>
        <v/>
      </c>
      <c r="I26" s="101">
        <f>IFERROR(IF($L26&gt;0,IF(INDEX('Invullen groen'!$K:$K,$L26)=0,"",INT(INDEX('Invullen groen'!$K:$K,$L26))),""),"")</f>
        <v/>
      </c>
      <c r="J26" s="77">
        <f>IF($L26&gt;0,IFERROR($K$1&amp;" "&amp;TRIM(SUBSTITUTE(SUBSTITUTE(SUBSTITUTE(SUBSTITUTE(SUBSTITUTE(SUBSTITUTE(SUBSTITUTE(SUBSTITUTE(SUBSTITUTE(SUBSTITUTE(SUBSTITUTE(SUBSTITUTE(LOWER(INDEX('Invullen groen'!$O:$O,$L26)),"2024",""),"2025",""),"2026",""),"2027",""),"2028",""),"2029",""),"taakveld ",""),"installaties","inst"),"ruwbouw","ruwb"),"afbouw","afb"),"bijstelling","bijst"),"investeringen","invest")),""),"")</f>
        <v/>
      </c>
      <c r="K26" s="77" t="n"/>
      <c r="L26" s="37">
        <f>IFERROR(MATCH(ROW()-4,'Invullen groen'!$P$17:$P$109,0)+16,0)</f>
        <v/>
      </c>
      <c r="M26" s="37" t="n"/>
      <c r="N26" s="37" t="n"/>
    </row>
    <row r="27" ht="15" customHeight="1" s="402">
      <c r="A27" s="78">
        <f>IFERROR(IF($L27&gt;0,INDEX('Invullen groen'!$E:$E,$L27),""),"")</f>
        <v/>
      </c>
      <c r="B27" s="78">
        <f>IFERROR(IF($L27&gt;0,IF(INDEX('Invullen groen'!$F:$F,$L27)&gt;0,INDEX('Invullen groen'!$F:$F,$L27),""),""),"")</f>
        <v/>
      </c>
      <c r="C27" s="78">
        <f>IFERROR(IF($L27&gt;0,IF(INDEX('Invullen groen'!$N:$N,$L27)&gt;0,INDEX('Invullen groen'!$N:$N,$L27),""),""),"")</f>
        <v/>
      </c>
      <c r="D27" s="78" t="n"/>
      <c r="E27" s="78">
        <f>IFERROR(IF(LEN(J27)&lt;=36,J27,IFERROR(LEFT(J27,FIND(CHAR(1),SUBSTITUTE(LEFT(J27,36)," ",CHAR(1),LEN(LEFT(J27,36))-LEN(SUBSTITUTE(LEFT(J27,36)," ",""))))-1),LEFT(J27,36))),"")</f>
        <v/>
      </c>
      <c r="F27" s="100">
        <f>IFERROR(IF($L27&gt;0,IF(INDEX('Invullen groen'!$H:$H,$L27)=0,"",INT(INDEX('Invullen groen'!$H:$H,$L27))),""),"")</f>
        <v/>
      </c>
      <c r="G27" s="100">
        <f>IFERROR(IF($L27&gt;0,IF(INDEX('Invullen groen'!$I:$I,$L27)=0,"",INT(INDEX('Invullen groen'!$I:$I,$L27))),""),"")</f>
        <v/>
      </c>
      <c r="H27" s="100">
        <f>IFERROR(IF($L27&gt;0,IF(INDEX('Invullen groen'!$J:$J,$L27)=0,"",INT(INDEX('Invullen groen'!$J:$J,$L27))),""),"")</f>
        <v/>
      </c>
      <c r="I27" s="100">
        <f>IFERROR(IF($L27&gt;0,IF(INDEX('Invullen groen'!$K:$K,$L27)=0,"",INT(INDEX('Invullen groen'!$K:$K,$L27))),""),"")</f>
        <v/>
      </c>
      <c r="J27" s="78">
        <f>IF($L27&gt;0,IFERROR($K$1&amp;" "&amp;TRIM(SUBSTITUTE(SUBSTITUTE(SUBSTITUTE(SUBSTITUTE(SUBSTITUTE(SUBSTITUTE(SUBSTITUTE(SUBSTITUTE(SUBSTITUTE(SUBSTITUTE(SUBSTITUTE(SUBSTITUTE(LOWER(INDEX('Invullen groen'!$O:$O,$L27)),"2024",""),"2025",""),"2026",""),"2027",""),"2028",""),"2029",""),"taakveld ",""),"installaties","inst"),"ruwbouw","ruwb"),"afbouw","afb"),"bijstelling","bijst"),"investeringen","invest")),""),"")</f>
        <v/>
      </c>
      <c r="K27" s="78" t="n"/>
      <c r="L27" s="37">
        <f>IFERROR(MATCH(ROW()-4,'Invullen groen'!$P$17:$P$109,0)+16,0)</f>
        <v/>
      </c>
      <c r="M27" s="37" t="n"/>
      <c r="N27" s="37" t="n"/>
    </row>
    <row r="28" ht="15" customHeight="1" s="402">
      <c r="A28" s="77">
        <f>IFERROR(IF($L28&gt;0,INDEX('Invullen groen'!$E:$E,$L28),""),"")</f>
        <v/>
      </c>
      <c r="B28" s="77">
        <f>IFERROR(IF($L28&gt;0,IF(INDEX('Invullen groen'!$F:$F,$L28)&gt;0,INDEX('Invullen groen'!$F:$F,$L28),""),""),"")</f>
        <v/>
      </c>
      <c r="C28" s="77">
        <f>IFERROR(IF($L28&gt;0,IF(INDEX('Invullen groen'!$N:$N,$L28)&gt;0,INDEX('Invullen groen'!$N:$N,$L28),""),""),"")</f>
        <v/>
      </c>
      <c r="D28" s="77" t="n"/>
      <c r="E28" s="77">
        <f>IFERROR(IF(LEN(J28)&lt;=36,J28,IFERROR(LEFT(J28,FIND(CHAR(1),SUBSTITUTE(LEFT(J28,36)," ",CHAR(1),LEN(LEFT(J28,36))-LEN(SUBSTITUTE(LEFT(J28,36)," ",""))))-1),LEFT(J28,36))),"")</f>
        <v/>
      </c>
      <c r="F28" s="101">
        <f>IFERROR(IF($L28&gt;0,IF(INDEX('Invullen groen'!$H:$H,$L28)=0,"",INT(INDEX('Invullen groen'!$H:$H,$L28))),""),"")</f>
        <v/>
      </c>
      <c r="G28" s="101">
        <f>IFERROR(IF($L28&gt;0,IF(INDEX('Invullen groen'!$I:$I,$L28)=0,"",INT(INDEX('Invullen groen'!$I:$I,$L28))),""),"")</f>
        <v/>
      </c>
      <c r="H28" s="101">
        <f>IFERROR(IF($L28&gt;0,IF(INDEX('Invullen groen'!$J:$J,$L28)=0,"",INT(INDEX('Invullen groen'!$J:$J,$L28))),""),"")</f>
        <v/>
      </c>
      <c r="I28" s="101">
        <f>IFERROR(IF($L28&gt;0,IF(INDEX('Invullen groen'!$K:$K,$L28)=0,"",INT(INDEX('Invullen groen'!$K:$K,$L28))),""),"")</f>
        <v/>
      </c>
      <c r="J28" s="77">
        <f>IF($L28&gt;0,IFERROR($K$1&amp;" "&amp;TRIM(SUBSTITUTE(SUBSTITUTE(SUBSTITUTE(SUBSTITUTE(SUBSTITUTE(SUBSTITUTE(SUBSTITUTE(SUBSTITUTE(SUBSTITUTE(SUBSTITUTE(SUBSTITUTE(SUBSTITUTE(LOWER(INDEX('Invullen groen'!$O:$O,$L28)),"2024",""),"2025",""),"2026",""),"2027",""),"2028",""),"2029",""),"taakveld ",""),"installaties","inst"),"ruwbouw","ruwb"),"afbouw","afb"),"bijstelling","bijst"),"investeringen","invest")),""),"")</f>
        <v/>
      </c>
      <c r="K28" s="77" t="n"/>
      <c r="L28" s="37">
        <f>IFERROR(MATCH(ROW()-4,'Invullen groen'!$P$17:$P$109,0)+16,0)</f>
        <v/>
      </c>
      <c r="M28" s="37" t="n"/>
      <c r="N28" s="37" t="n"/>
    </row>
    <row r="29" ht="15" customHeight="1" s="402">
      <c r="A29" s="78">
        <f>IFERROR(IF($L29&gt;0,INDEX('Invullen groen'!$E:$E,$L29),""),"")</f>
        <v/>
      </c>
      <c r="B29" s="78">
        <f>IFERROR(IF($L29&gt;0,IF(INDEX('Invullen groen'!$F:$F,$L29)&gt;0,INDEX('Invullen groen'!$F:$F,$L29),""),""),"")</f>
        <v/>
      </c>
      <c r="C29" s="78">
        <f>IFERROR(IF($L29&gt;0,IF(INDEX('Invullen groen'!$N:$N,$L29)&gt;0,INDEX('Invullen groen'!$N:$N,$L29),""),""),"")</f>
        <v/>
      </c>
      <c r="D29" s="78" t="n"/>
      <c r="E29" s="78">
        <f>IFERROR(IF(LEN(J29)&lt;=36,J29,IFERROR(LEFT(J29,FIND(CHAR(1),SUBSTITUTE(LEFT(J29,36)," ",CHAR(1),LEN(LEFT(J29,36))-LEN(SUBSTITUTE(LEFT(J29,36)," ",""))))-1),LEFT(J29,36))),"")</f>
        <v/>
      </c>
      <c r="F29" s="100">
        <f>IFERROR(IF($L29&gt;0,IF(INDEX('Invullen groen'!$H:$H,$L29)=0,"",INT(INDEX('Invullen groen'!$H:$H,$L29))),""),"")</f>
        <v/>
      </c>
      <c r="G29" s="100">
        <f>IFERROR(IF($L29&gt;0,IF(INDEX('Invullen groen'!$I:$I,$L29)=0,"",INT(INDEX('Invullen groen'!$I:$I,$L29))),""),"")</f>
        <v/>
      </c>
      <c r="H29" s="100">
        <f>IFERROR(IF($L29&gt;0,IF(INDEX('Invullen groen'!$J:$J,$L29)=0,"",INT(INDEX('Invullen groen'!$J:$J,$L29))),""),"")</f>
        <v/>
      </c>
      <c r="I29" s="100">
        <f>IFERROR(IF($L29&gt;0,IF(INDEX('Invullen groen'!$K:$K,$L29)=0,"",INT(INDEX('Invullen groen'!$K:$K,$L29))),""),"")</f>
        <v/>
      </c>
      <c r="J29" s="78">
        <f>IF($L29&gt;0,IFERROR($K$1&amp;" "&amp;TRIM(SUBSTITUTE(SUBSTITUTE(SUBSTITUTE(SUBSTITUTE(SUBSTITUTE(SUBSTITUTE(SUBSTITUTE(SUBSTITUTE(SUBSTITUTE(SUBSTITUTE(SUBSTITUTE(SUBSTITUTE(LOWER(INDEX('Invullen groen'!$O:$O,$L29)),"2024",""),"2025",""),"2026",""),"2027",""),"2028",""),"2029",""),"taakveld ",""),"installaties","inst"),"ruwbouw","ruwb"),"afbouw","afb"),"bijstelling","bijst"),"investeringen","invest")),""),"")</f>
        <v/>
      </c>
      <c r="K29" s="78" t="n"/>
      <c r="L29" s="37">
        <f>IFERROR(MATCH(ROW()-4,'Invullen groen'!$P$17:$P$109,0)+16,0)</f>
        <v/>
      </c>
      <c r="M29" s="37" t="n"/>
      <c r="N29" s="37" t="n"/>
    </row>
    <row r="30" ht="15" customHeight="1" s="402">
      <c r="A30" s="77">
        <f>IFERROR(IF($L30&gt;0,INDEX('Invullen groen'!$E:$E,$L30),""),"")</f>
        <v/>
      </c>
      <c r="B30" s="77">
        <f>IFERROR(IF($L30&gt;0,IF(INDEX('Invullen groen'!$F:$F,$L30)&gt;0,INDEX('Invullen groen'!$F:$F,$L30),""),""),"")</f>
        <v/>
      </c>
      <c r="C30" s="77">
        <f>IFERROR(IF($L30&gt;0,IF(INDEX('Invullen groen'!$N:$N,$L30)&gt;0,INDEX('Invullen groen'!$N:$N,$L30),""),""),"")</f>
        <v/>
      </c>
      <c r="D30" s="77" t="n"/>
      <c r="E30" s="77">
        <f>IFERROR(IF(LEN(J30)&lt;=36,J30,IFERROR(LEFT(J30,FIND(CHAR(1),SUBSTITUTE(LEFT(J30,36)," ",CHAR(1),LEN(LEFT(J30,36))-LEN(SUBSTITUTE(LEFT(J30,36)," ",""))))-1),LEFT(J30,36))),"")</f>
        <v/>
      </c>
      <c r="F30" s="101">
        <f>IFERROR(IF($L30&gt;0,IF(INDEX('Invullen groen'!$H:$H,$L30)=0,"",INT(INDEX('Invullen groen'!$H:$H,$L30))),""),"")</f>
        <v/>
      </c>
      <c r="G30" s="101">
        <f>IFERROR(IF($L30&gt;0,IF(INDEX('Invullen groen'!$I:$I,$L30)=0,"",INT(INDEX('Invullen groen'!$I:$I,$L30))),""),"")</f>
        <v/>
      </c>
      <c r="H30" s="101">
        <f>IFERROR(IF($L30&gt;0,IF(INDEX('Invullen groen'!$J:$J,$L30)=0,"",INT(INDEX('Invullen groen'!$J:$J,$L30))),""),"")</f>
        <v/>
      </c>
      <c r="I30" s="101">
        <f>IFERROR(IF($L30&gt;0,IF(INDEX('Invullen groen'!$K:$K,$L30)=0,"",INT(INDEX('Invullen groen'!$K:$K,$L30))),""),"")</f>
        <v/>
      </c>
      <c r="J30" s="77">
        <f>IF($L30&gt;0,IFERROR($K$1&amp;" "&amp;TRIM(SUBSTITUTE(SUBSTITUTE(SUBSTITUTE(SUBSTITUTE(SUBSTITUTE(SUBSTITUTE(SUBSTITUTE(SUBSTITUTE(SUBSTITUTE(SUBSTITUTE(SUBSTITUTE(SUBSTITUTE(LOWER(INDEX('Invullen groen'!$O:$O,$L30)),"2024",""),"2025",""),"2026",""),"2027",""),"2028",""),"2029",""),"taakveld ",""),"installaties","inst"),"ruwbouw","ruwb"),"afbouw","afb"),"bijstelling","bijst"),"investeringen","invest")),""),"")</f>
        <v/>
      </c>
      <c r="K30" s="77" t="n"/>
      <c r="L30" s="37">
        <f>IFERROR(MATCH(ROW()-4,'Invullen groen'!$P$17:$P$109,0)+16,0)</f>
        <v/>
      </c>
      <c r="M30" s="37" t="n"/>
      <c r="N30" s="37" t="n"/>
    </row>
    <row r="31" ht="15" customHeight="1" s="402">
      <c r="A31" s="78">
        <f>IFERROR(IF($L31&gt;0,INDEX('Invullen groen'!$E:$E,$L31),""),"")</f>
        <v/>
      </c>
      <c r="B31" s="78">
        <f>IFERROR(IF($L31&gt;0,IF(INDEX('Invullen groen'!$F:$F,$L31)&gt;0,INDEX('Invullen groen'!$F:$F,$L31),""),""),"")</f>
        <v/>
      </c>
      <c r="C31" s="78">
        <f>IFERROR(IF($L31&gt;0,IF(INDEX('Invullen groen'!$N:$N,$L31)&gt;0,INDEX('Invullen groen'!$N:$N,$L31),""),""),"")</f>
        <v/>
      </c>
      <c r="D31" s="78" t="n"/>
      <c r="E31" s="78">
        <f>IFERROR(IF(LEN(J31)&lt;=36,J31,IFERROR(LEFT(J31,FIND(CHAR(1),SUBSTITUTE(LEFT(J31,36)," ",CHAR(1),LEN(LEFT(J31,36))-LEN(SUBSTITUTE(LEFT(J31,36)," ",""))))-1),LEFT(J31,36))),"")</f>
        <v/>
      </c>
      <c r="F31" s="100">
        <f>IFERROR(IF($L31&gt;0,IF(INDEX('Invullen groen'!$H:$H,$L31)=0,"",INT(INDEX('Invullen groen'!$H:$H,$L31))),""),"")</f>
        <v/>
      </c>
      <c r="G31" s="100">
        <f>IFERROR(IF($L31&gt;0,IF(INDEX('Invullen groen'!$I:$I,$L31)=0,"",INT(INDEX('Invullen groen'!$I:$I,$L31))),""),"")</f>
        <v/>
      </c>
      <c r="H31" s="100">
        <f>IFERROR(IF($L31&gt;0,IF(INDEX('Invullen groen'!$J:$J,$L31)=0,"",INT(INDEX('Invullen groen'!$J:$J,$L31))),""),"")</f>
        <v/>
      </c>
      <c r="I31" s="100">
        <f>IFERROR(IF($L31&gt;0,IF(INDEX('Invullen groen'!$K:$K,$L31)=0,"",INT(INDEX('Invullen groen'!$K:$K,$L31))),""),"")</f>
        <v/>
      </c>
      <c r="J31" s="78">
        <f>IF($L31&gt;0,IFERROR($K$1&amp;" "&amp;TRIM(SUBSTITUTE(SUBSTITUTE(SUBSTITUTE(SUBSTITUTE(SUBSTITUTE(SUBSTITUTE(SUBSTITUTE(SUBSTITUTE(SUBSTITUTE(SUBSTITUTE(SUBSTITUTE(SUBSTITUTE(LOWER(INDEX('Invullen groen'!$O:$O,$L31)),"2024",""),"2025",""),"2026",""),"2027",""),"2028",""),"2029",""),"taakveld ",""),"installaties","inst"),"ruwbouw","ruwb"),"afbouw","afb"),"bijstelling","bijst"),"investeringen","invest")),""),"")</f>
        <v/>
      </c>
      <c r="K31" s="78" t="n"/>
      <c r="L31" s="37">
        <f>IFERROR(MATCH(ROW()-4,'Invullen groen'!$P$17:$P$109,0)+16,0)</f>
        <v/>
      </c>
      <c r="M31" s="37" t="n"/>
      <c r="N31" s="37" t="n"/>
    </row>
    <row r="32" ht="15" customHeight="1" s="402">
      <c r="A32" s="77">
        <f>IFERROR(IF($L32&gt;0,INDEX('Invullen groen'!$E:$E,$L32),""),"")</f>
        <v/>
      </c>
      <c r="B32" s="77">
        <f>IFERROR(IF($L32&gt;0,IF(INDEX('Invullen groen'!$F:$F,$L32)&gt;0,INDEX('Invullen groen'!$F:$F,$L32),""),""),"")</f>
        <v/>
      </c>
      <c r="C32" s="77">
        <f>IFERROR(IF($L32&gt;0,IF(INDEX('Invullen groen'!$N:$N,$L32)&gt;0,INDEX('Invullen groen'!$N:$N,$L32),""),""),"")</f>
        <v/>
      </c>
      <c r="D32" s="77" t="n"/>
      <c r="E32" s="77">
        <f>IFERROR(IF(LEN(J32)&lt;=36,J32,IFERROR(LEFT(J32,FIND(CHAR(1),SUBSTITUTE(LEFT(J32,36)," ",CHAR(1),LEN(LEFT(J32,36))-LEN(SUBSTITUTE(LEFT(J32,36)," ",""))))-1),LEFT(J32,36))),"")</f>
        <v/>
      </c>
      <c r="F32" s="101">
        <f>IFERROR(IF($L32&gt;0,IF(INDEX('Invullen groen'!$H:$H,$L32)=0,"",INT(INDEX('Invullen groen'!$H:$H,$L32))),""),"")</f>
        <v/>
      </c>
      <c r="G32" s="101">
        <f>IFERROR(IF($L32&gt;0,IF(INDEX('Invullen groen'!$I:$I,$L32)=0,"",INT(INDEX('Invullen groen'!$I:$I,$L32))),""),"")</f>
        <v/>
      </c>
      <c r="H32" s="101">
        <f>IFERROR(IF($L32&gt;0,IF(INDEX('Invullen groen'!$J:$J,$L32)=0,"",INT(INDEX('Invullen groen'!$J:$J,$L32))),""),"")</f>
        <v/>
      </c>
      <c r="I32" s="101">
        <f>IFERROR(IF($L32&gt;0,IF(INDEX('Invullen groen'!$K:$K,$L32)=0,"",INT(INDEX('Invullen groen'!$K:$K,$L32))),""),"")</f>
        <v/>
      </c>
      <c r="J32" s="77">
        <f>IF($L32&gt;0,IFERROR($K$1&amp;" "&amp;TRIM(SUBSTITUTE(SUBSTITUTE(SUBSTITUTE(SUBSTITUTE(SUBSTITUTE(SUBSTITUTE(SUBSTITUTE(SUBSTITUTE(SUBSTITUTE(SUBSTITUTE(SUBSTITUTE(SUBSTITUTE(LOWER(INDEX('Invullen groen'!$O:$O,$L32)),"2024",""),"2025",""),"2026",""),"2027",""),"2028",""),"2029",""),"taakveld ",""),"installaties","inst"),"ruwbouw","ruwb"),"afbouw","afb"),"bijstelling","bijst"),"investeringen","invest")),""),"")</f>
        <v/>
      </c>
      <c r="K32" s="77" t="n"/>
      <c r="L32" s="37">
        <f>IFERROR(MATCH(ROW()-4,'Invullen groen'!$P$17:$P$109,0)+16,0)</f>
        <v/>
      </c>
      <c r="M32" s="37" t="n"/>
      <c r="N32" s="37" t="n"/>
    </row>
    <row r="33" ht="15" customHeight="1" s="402">
      <c r="A33" s="78">
        <f>IFERROR(IF($L33&gt;0,INDEX('Invullen groen'!$E:$E,$L33),""),"")</f>
        <v/>
      </c>
      <c r="B33" s="78">
        <f>IFERROR(IF($L33&gt;0,IF(INDEX('Invullen groen'!$F:$F,$L33)&gt;0,INDEX('Invullen groen'!$F:$F,$L33),""),""),"")</f>
        <v/>
      </c>
      <c r="C33" s="78">
        <f>IFERROR(IF($L33&gt;0,IF(INDEX('Invullen groen'!$N:$N,$L33)&gt;0,INDEX('Invullen groen'!$N:$N,$L33),""),""),"")</f>
        <v/>
      </c>
      <c r="D33" s="78" t="n"/>
      <c r="E33" s="78">
        <f>IFERROR(IF(LEN(J33)&lt;=36,J33,IFERROR(LEFT(J33,FIND(CHAR(1),SUBSTITUTE(LEFT(J33,36)," ",CHAR(1),LEN(LEFT(J33,36))-LEN(SUBSTITUTE(LEFT(J33,36)," ",""))))-1),LEFT(J33,36))),"")</f>
        <v/>
      </c>
      <c r="F33" s="100">
        <f>IFERROR(IF($L33&gt;0,IF(INDEX('Invullen groen'!$H:$H,$L33)=0,"",INT(INDEX('Invullen groen'!$H:$H,$L33))),""),"")</f>
        <v/>
      </c>
      <c r="G33" s="100">
        <f>IFERROR(IF($L33&gt;0,IF(INDEX('Invullen groen'!$I:$I,$L33)=0,"",INT(INDEX('Invullen groen'!$I:$I,$L33))),""),"")</f>
        <v/>
      </c>
      <c r="H33" s="100">
        <f>IFERROR(IF($L33&gt;0,IF(INDEX('Invullen groen'!$J:$J,$L33)=0,"",INT(INDEX('Invullen groen'!$J:$J,$L33))),""),"")</f>
        <v/>
      </c>
      <c r="I33" s="100">
        <f>IFERROR(IF($L33&gt;0,IF(INDEX('Invullen groen'!$K:$K,$L33)=0,"",INT(INDEX('Invullen groen'!$K:$K,$L33))),""),"")</f>
        <v/>
      </c>
      <c r="J33" s="78">
        <f>IF($L33&gt;0,IFERROR($K$1&amp;" "&amp;TRIM(SUBSTITUTE(SUBSTITUTE(SUBSTITUTE(SUBSTITUTE(SUBSTITUTE(SUBSTITUTE(SUBSTITUTE(SUBSTITUTE(SUBSTITUTE(SUBSTITUTE(SUBSTITUTE(SUBSTITUTE(LOWER(INDEX('Invullen groen'!$O:$O,$L33)),"2024",""),"2025",""),"2026",""),"2027",""),"2028",""),"2029",""),"taakveld ",""),"installaties","inst"),"ruwbouw","ruwb"),"afbouw","afb"),"bijstelling","bijst"),"investeringen","invest")),""),"")</f>
        <v/>
      </c>
      <c r="K33" s="78" t="n"/>
      <c r="L33" s="37">
        <f>IFERROR(MATCH(ROW()-4,'Invullen groen'!$P$17:$P$109,0)+16,0)</f>
        <v/>
      </c>
      <c r="M33" s="37" t="n"/>
      <c r="N33" s="37" t="n"/>
    </row>
    <row r="34" ht="15" customHeight="1" s="402">
      <c r="A34" s="77">
        <f>IFERROR(IF($L34&gt;0,INDEX('Invullen groen'!$E:$E,$L34),""),"")</f>
        <v/>
      </c>
      <c r="B34" s="77">
        <f>IFERROR(IF($L34&gt;0,IF(INDEX('Invullen groen'!$F:$F,$L34)&gt;0,INDEX('Invullen groen'!$F:$F,$L34),""),""),"")</f>
        <v/>
      </c>
      <c r="C34" s="77">
        <f>IFERROR(IF($L34&gt;0,IF(INDEX('Invullen groen'!$N:$N,$L34)&gt;0,INDEX('Invullen groen'!$N:$N,$L34),""),""),"")</f>
        <v/>
      </c>
      <c r="D34" s="77" t="n"/>
      <c r="E34" s="77">
        <f>IFERROR(IF(LEN(J34)&lt;=36,J34,IFERROR(LEFT(J34,FIND(CHAR(1),SUBSTITUTE(LEFT(J34,36)," ",CHAR(1),LEN(LEFT(J34,36))-LEN(SUBSTITUTE(LEFT(J34,36)," ",""))))-1),LEFT(J34,36))),"")</f>
        <v/>
      </c>
      <c r="F34" s="101">
        <f>IFERROR(IF($L34&gt;0,IF(INDEX('Invullen groen'!$H:$H,$L34)=0,"",INT(INDEX('Invullen groen'!$H:$H,$L34))),""),"")</f>
        <v/>
      </c>
      <c r="G34" s="101">
        <f>IFERROR(IF($L34&gt;0,IF(INDEX('Invullen groen'!$I:$I,$L34)=0,"",INT(INDEX('Invullen groen'!$I:$I,$L34))),""),"")</f>
        <v/>
      </c>
      <c r="H34" s="101">
        <f>IFERROR(IF($L34&gt;0,IF(INDEX('Invullen groen'!$J:$J,$L34)=0,"",INT(INDEX('Invullen groen'!$J:$J,$L34))),""),"")</f>
        <v/>
      </c>
      <c r="I34" s="101">
        <f>IFERROR(IF($L34&gt;0,IF(INDEX('Invullen groen'!$K:$K,$L34)=0,"",INT(INDEX('Invullen groen'!$K:$K,$L34))),""),"")</f>
        <v/>
      </c>
      <c r="J34" s="77">
        <f>IF($L34&gt;0,IFERROR($K$1&amp;" "&amp;TRIM(SUBSTITUTE(SUBSTITUTE(SUBSTITUTE(SUBSTITUTE(SUBSTITUTE(SUBSTITUTE(SUBSTITUTE(SUBSTITUTE(SUBSTITUTE(SUBSTITUTE(SUBSTITUTE(SUBSTITUTE(LOWER(INDEX('Invullen groen'!$O:$O,$L34)),"2024",""),"2025",""),"2026",""),"2027",""),"2028",""),"2029",""),"taakveld ",""),"installaties","inst"),"ruwbouw","ruwb"),"afbouw","afb"),"bijstelling","bijst"),"investeringen","invest")),""),"")</f>
        <v/>
      </c>
      <c r="K34" s="77" t="n"/>
      <c r="L34" s="37">
        <f>IFERROR(MATCH(ROW()-4,'Invullen groen'!$P$17:$P$109,0)+16,0)</f>
        <v/>
      </c>
      <c r="M34" s="37" t="n"/>
      <c r="N34" s="37" t="n"/>
    </row>
    <row r="35" hidden="1" ht="15" customHeight="1" s="402">
      <c r="A35" s="78">
        <f>IFERROR(IF($L35&gt;0,INDEX('Invullen groen'!$E:$E,$L35),""),"")</f>
        <v/>
      </c>
      <c r="B35" s="78">
        <f>IFERROR(IF($L35&gt;0,IF(INDEX('Invullen groen'!$F:$F,$L35)&gt;0,INDEX('Invullen groen'!$F:$F,$L35),""),""),"")</f>
        <v/>
      </c>
      <c r="C35" s="78">
        <f>IFERROR(IF($L35&gt;0,IF(INDEX('Invullen groen'!$N:$N,$L35)&gt;0,INDEX('Invullen groen'!$N:$N,$L35),""),""),"")</f>
        <v/>
      </c>
      <c r="D35" s="78" t="n"/>
      <c r="E35" s="78">
        <f>IFERROR(IF(LEN(J35)&lt;=36,J35,IFERROR(LEFT(J35,FIND(CHAR(1),SUBSTITUTE(LEFT(J35,36)," ",CHAR(1),LEN(LEFT(J35,36))-LEN(SUBSTITUTE(LEFT(J35,36)," ",""))))-1),LEFT(J35,36))),"")</f>
        <v/>
      </c>
      <c r="F35" s="100">
        <f>IFERROR(IF($L35&gt;0,IF(INDEX('Invullen groen'!$H:$H,$L35)=0,"",INT(INDEX('Invullen groen'!$H:$H,$L35))),""),"")</f>
        <v/>
      </c>
      <c r="G35" s="100">
        <f>IFERROR(IF($L35&gt;0,IF(INDEX('Invullen groen'!$I:$I,$L35)=0,"",INT(INDEX('Invullen groen'!$I:$I,$L35))),""),"")</f>
        <v/>
      </c>
      <c r="H35" s="100">
        <f>IFERROR(IF($L35&gt;0,IF(INDEX('Invullen groen'!$J:$J,$L35)=0,"",INT(INDEX('Invullen groen'!$J:$J,$L35))),""),"")</f>
        <v/>
      </c>
      <c r="I35" s="100">
        <f>IFERROR(IF($L35&gt;0,IF(INDEX('Invullen groen'!$K:$K,$L35)=0,"",INT(INDEX('Invullen groen'!$K:$K,$L35))),""),"")</f>
        <v/>
      </c>
      <c r="J35" s="78">
        <f>IF($L35&gt;0,IFERROR($K$1&amp;" "&amp;TRIM(SUBSTITUTE(SUBSTITUTE(SUBSTITUTE(SUBSTITUTE(SUBSTITUTE(SUBSTITUTE(SUBSTITUTE(SUBSTITUTE(SUBSTITUTE(SUBSTITUTE(SUBSTITUTE(SUBSTITUTE(LOWER(INDEX('Invullen groen'!$O:$O,$L35)),"2024",""),"2025",""),"2026",""),"2027",""),"2028",""),"2029",""),"taakveld ",""),"installaties","inst"),"ruwbouw","ruwb"),"afbouw","afb"),"bijstelling","bijst"),"investeringen","invest")),""),"")</f>
        <v/>
      </c>
      <c r="K35" s="78" t="n"/>
      <c r="L35" s="37">
        <f>IFERROR(MATCH(ROW()-4,'Invullen groen'!$P$17:$P$109,0)+16,0)</f>
        <v/>
      </c>
      <c r="M35" s="37" t="n"/>
      <c r="N35" s="37" t="n"/>
    </row>
    <row r="36" hidden="1" ht="15" customHeight="1" s="402">
      <c r="A36" s="77">
        <f>IFERROR(IF($L36&gt;0,INDEX('Invullen groen'!$E:$E,$L36),""),"")</f>
        <v/>
      </c>
      <c r="B36" s="77">
        <f>IFERROR(IF($L36&gt;0,IF(INDEX('Invullen groen'!$F:$F,$L36)&gt;0,INDEX('Invullen groen'!$F:$F,$L36),""),""),"")</f>
        <v/>
      </c>
      <c r="C36" s="77">
        <f>IFERROR(IF($L36&gt;0,IF(INDEX('Invullen groen'!$N:$N,$L36)&gt;0,INDEX('Invullen groen'!$N:$N,$L36),""),""),"")</f>
        <v/>
      </c>
      <c r="D36" s="77" t="n"/>
      <c r="E36" s="77">
        <f>IFERROR(IF(LEN(J36)&lt;=36,J36,IFERROR(LEFT(J36,FIND(CHAR(1),SUBSTITUTE(LEFT(J36,36)," ",CHAR(1),LEN(LEFT(J36,36))-LEN(SUBSTITUTE(LEFT(J36,36)," ",""))))-1),LEFT(J36,36))),"")</f>
        <v/>
      </c>
      <c r="F36" s="101">
        <f>IFERROR(IF($L36&gt;0,IF(INDEX('Invullen groen'!$H:$H,$L36)=0,"",INT(INDEX('Invullen groen'!$H:$H,$L36))),""),"")</f>
        <v/>
      </c>
      <c r="G36" s="101">
        <f>IFERROR(IF($L36&gt;0,IF(INDEX('Invullen groen'!$I:$I,$L36)=0,"",INT(INDEX('Invullen groen'!$I:$I,$L36))),""),"")</f>
        <v/>
      </c>
      <c r="H36" s="101">
        <f>IFERROR(IF($L36&gt;0,IF(INDEX('Invullen groen'!$J:$J,$L36)=0,"",INT(INDEX('Invullen groen'!$J:$J,$L36))),""),"")</f>
        <v/>
      </c>
      <c r="I36" s="101">
        <f>IFERROR(IF($L36&gt;0,IF(INDEX('Invullen groen'!$K:$K,$L36)=0,"",INT(INDEX('Invullen groen'!$K:$K,$L36))),""),"")</f>
        <v/>
      </c>
      <c r="J36" s="77">
        <f>IF($L36&gt;0,IFERROR($K$1&amp;" "&amp;TRIM(SUBSTITUTE(SUBSTITUTE(SUBSTITUTE(SUBSTITUTE(SUBSTITUTE(SUBSTITUTE(SUBSTITUTE(SUBSTITUTE(SUBSTITUTE(SUBSTITUTE(SUBSTITUTE(SUBSTITUTE(LOWER(INDEX('Invullen groen'!$O:$O,$L36)),"2024",""),"2025",""),"2026",""),"2027",""),"2028",""),"2029",""),"taakveld ",""),"installaties","inst"),"ruwbouw","ruwb"),"afbouw","afb"),"bijstelling","bijst"),"investeringen","invest")),""),"")</f>
        <v/>
      </c>
      <c r="K36" s="77" t="n"/>
      <c r="L36" s="37">
        <f>IFERROR(MATCH(ROW()-4,'Invullen groen'!$P$17:$P$109,0)+16,0)</f>
        <v/>
      </c>
      <c r="M36" s="37" t="n"/>
      <c r="N36" s="37" t="n"/>
    </row>
    <row r="37" hidden="1" ht="15" customHeight="1" s="402">
      <c r="A37" s="78">
        <f>IFERROR(IF($L37&gt;0,INDEX('Invullen groen'!$E:$E,$L37),""),"")</f>
        <v/>
      </c>
      <c r="B37" s="78">
        <f>IFERROR(IF($L37&gt;0,IF(INDEX('Invullen groen'!$F:$F,$L37)&gt;0,INDEX('Invullen groen'!$F:$F,$L37),""),""),"")</f>
        <v/>
      </c>
      <c r="C37" s="78">
        <f>IFERROR(IF($L37&gt;0,IF(INDEX('Invullen groen'!$N:$N,$L37)&gt;0,INDEX('Invullen groen'!$N:$N,$L37),""),""),"")</f>
        <v/>
      </c>
      <c r="D37" s="78" t="n"/>
      <c r="E37" s="78">
        <f>IFERROR(IF(LEN(J37)&lt;=36,J37,IFERROR(LEFT(J37,FIND(CHAR(1),SUBSTITUTE(LEFT(J37,36)," ",CHAR(1),LEN(LEFT(J37,36))-LEN(SUBSTITUTE(LEFT(J37,36)," ",""))))-1),LEFT(J37,36))),"")</f>
        <v/>
      </c>
      <c r="F37" s="100">
        <f>IFERROR(IF($L37&gt;0,IF(INDEX('Invullen groen'!$H:$H,$L37)=0,"",INT(INDEX('Invullen groen'!$H:$H,$L37))),""),"")</f>
        <v/>
      </c>
      <c r="G37" s="100">
        <f>IFERROR(IF($L37&gt;0,IF(INDEX('Invullen groen'!$I:$I,$L37)=0,"",INT(INDEX('Invullen groen'!$I:$I,$L37))),""),"")</f>
        <v/>
      </c>
      <c r="H37" s="100">
        <f>IFERROR(IF($L37&gt;0,IF(INDEX('Invullen groen'!$J:$J,$L37)=0,"",INT(INDEX('Invullen groen'!$J:$J,$L37))),""),"")</f>
        <v/>
      </c>
      <c r="I37" s="100">
        <f>IFERROR(IF($L37&gt;0,IF(INDEX('Invullen groen'!$K:$K,$L37)=0,"",INT(INDEX('Invullen groen'!$K:$K,$L37))),""),"")</f>
        <v/>
      </c>
      <c r="J37" s="78">
        <f>IF($L37&gt;0,IFERROR($K$1&amp;" "&amp;TRIM(SUBSTITUTE(SUBSTITUTE(SUBSTITUTE(SUBSTITUTE(SUBSTITUTE(SUBSTITUTE(SUBSTITUTE(SUBSTITUTE(SUBSTITUTE(SUBSTITUTE(SUBSTITUTE(SUBSTITUTE(LOWER(INDEX('Invullen groen'!$O:$O,$L37)),"2024",""),"2025",""),"2026",""),"2027",""),"2028",""),"2029",""),"taakveld ",""),"installaties","inst"),"ruwbouw","ruwb"),"afbouw","afb"),"bijstelling","bijst"),"investeringen","invest")),""),"")</f>
        <v/>
      </c>
      <c r="K37" s="78" t="n"/>
      <c r="L37" s="37">
        <f>IFERROR(MATCH(ROW()-4,'Invullen groen'!$P$17:$P$109,0)+16,0)</f>
        <v/>
      </c>
      <c r="M37" s="37" t="n"/>
      <c r="N37" s="37" t="n"/>
    </row>
    <row r="38" hidden="1" ht="15" customHeight="1" s="402">
      <c r="A38" s="77">
        <f>IFERROR(IF($L38&gt;0,INDEX('Invullen groen'!$E:$E,$L38),""),"")</f>
        <v/>
      </c>
      <c r="B38" s="77">
        <f>IFERROR(IF($L38&gt;0,IF(INDEX('Invullen groen'!$F:$F,$L38)&gt;0,INDEX('Invullen groen'!$F:$F,$L38),""),""),"")</f>
        <v/>
      </c>
      <c r="C38" s="77">
        <f>IFERROR(IF($L38&gt;0,IF(INDEX('Invullen groen'!$N:$N,$L38)&gt;0,INDEX('Invullen groen'!$N:$N,$L38),""),""),"")</f>
        <v/>
      </c>
      <c r="D38" s="77" t="n"/>
      <c r="E38" s="77">
        <f>IFERROR(IF(LEN(J38)&lt;=36,J38,IFERROR(LEFT(J38,FIND(CHAR(1),SUBSTITUTE(LEFT(J38,36)," ",CHAR(1),LEN(LEFT(J38,36))-LEN(SUBSTITUTE(LEFT(J38,36)," ",""))))-1),LEFT(J38,36))),"")</f>
        <v/>
      </c>
      <c r="F38" s="101">
        <f>IFERROR(IF($L38&gt;0,IF(INDEX('Invullen groen'!$H:$H,$L38)=0,"",INT(INDEX('Invullen groen'!$H:$H,$L38))),""),"")</f>
        <v/>
      </c>
      <c r="G38" s="101">
        <f>IFERROR(IF($L38&gt;0,IF(INDEX('Invullen groen'!$I:$I,$L38)=0,"",INT(INDEX('Invullen groen'!$I:$I,$L38))),""),"")</f>
        <v/>
      </c>
      <c r="H38" s="101">
        <f>IFERROR(IF($L38&gt;0,IF(INDEX('Invullen groen'!$J:$J,$L38)=0,"",INT(INDEX('Invullen groen'!$J:$J,$L38))),""),"")</f>
        <v/>
      </c>
      <c r="I38" s="101">
        <f>IFERROR(IF($L38&gt;0,IF(INDEX('Invullen groen'!$K:$K,$L38)=0,"",INT(INDEX('Invullen groen'!$K:$K,$L38))),""),"")</f>
        <v/>
      </c>
      <c r="J38" s="77">
        <f>IF($L38&gt;0,IFERROR($K$1&amp;" "&amp;TRIM(SUBSTITUTE(SUBSTITUTE(SUBSTITUTE(SUBSTITUTE(SUBSTITUTE(SUBSTITUTE(SUBSTITUTE(SUBSTITUTE(SUBSTITUTE(SUBSTITUTE(SUBSTITUTE(SUBSTITUTE(LOWER(INDEX('Invullen groen'!$O:$O,$L38)),"2024",""),"2025",""),"2026",""),"2027",""),"2028",""),"2029",""),"taakveld ",""),"installaties","inst"),"ruwbouw","ruwb"),"afbouw","afb"),"bijstelling","bijst"),"investeringen","invest")),""),"")</f>
        <v/>
      </c>
      <c r="K38" s="77" t="n"/>
      <c r="L38" s="37">
        <f>IFERROR(MATCH(ROW()-4,'Invullen groen'!$P$17:$P$109,0)+16,0)</f>
        <v/>
      </c>
      <c r="M38" s="37" t="n"/>
      <c r="N38" s="37" t="n"/>
    </row>
    <row r="39" hidden="1" ht="15" customHeight="1" s="402">
      <c r="A39" s="78">
        <f>IFERROR(IF($L39&gt;0,INDEX('Invullen groen'!$E:$E,$L39),""),"")</f>
        <v/>
      </c>
      <c r="B39" s="78">
        <f>IFERROR(IF($L39&gt;0,IF(INDEX('Invullen groen'!$F:$F,$L39)&gt;0,INDEX('Invullen groen'!$F:$F,$L39),""),""),"")</f>
        <v/>
      </c>
      <c r="C39" s="78">
        <f>IFERROR(IF($L39&gt;0,IF(INDEX('Invullen groen'!$N:$N,$L39)&gt;0,INDEX('Invullen groen'!$N:$N,$L39),""),""),"")</f>
        <v/>
      </c>
      <c r="D39" s="78" t="n"/>
      <c r="E39" s="78">
        <f>IFERROR(IF(LEN(J39)&lt;=36,J39,IFERROR(LEFT(J39,FIND(CHAR(1),SUBSTITUTE(LEFT(J39,36)," ",CHAR(1),LEN(LEFT(J39,36))-LEN(SUBSTITUTE(LEFT(J39,36)," ",""))))-1),LEFT(J39,36))),"")</f>
        <v/>
      </c>
      <c r="F39" s="100">
        <f>IFERROR(IF($L39&gt;0,IF(INDEX('Invullen groen'!$H:$H,$L39)=0,"",INT(INDEX('Invullen groen'!$H:$H,$L39))),""),"")</f>
        <v/>
      </c>
      <c r="G39" s="100">
        <f>IFERROR(IF($L39&gt;0,IF(INDEX('Invullen groen'!$I:$I,$L39)=0,"",INT(INDEX('Invullen groen'!$I:$I,$L39))),""),"")</f>
        <v/>
      </c>
      <c r="H39" s="100">
        <f>IFERROR(IF($L39&gt;0,IF(INDEX('Invullen groen'!$J:$J,$L39)=0,"",INT(INDEX('Invullen groen'!$J:$J,$L39))),""),"")</f>
        <v/>
      </c>
      <c r="I39" s="100">
        <f>IFERROR(IF($L39&gt;0,IF(INDEX('Invullen groen'!$K:$K,$L39)=0,"",INT(INDEX('Invullen groen'!$K:$K,$L39))),""),"")</f>
        <v/>
      </c>
      <c r="J39" s="78">
        <f>IF($L39&gt;0,IFERROR($K$1&amp;" "&amp;TRIM(SUBSTITUTE(SUBSTITUTE(SUBSTITUTE(SUBSTITUTE(SUBSTITUTE(SUBSTITUTE(SUBSTITUTE(SUBSTITUTE(SUBSTITUTE(SUBSTITUTE(SUBSTITUTE(SUBSTITUTE(LOWER(INDEX('Invullen groen'!$O:$O,$L39)),"2024",""),"2025",""),"2026",""),"2027",""),"2028",""),"2029",""),"taakveld ",""),"installaties","inst"),"ruwbouw","ruwb"),"afbouw","afb"),"bijstelling","bijst"),"investeringen","invest")),""),"")</f>
        <v/>
      </c>
      <c r="K39" s="78" t="n"/>
      <c r="L39" s="37">
        <f>IFERROR(MATCH(ROW()-4,'Invullen groen'!$P$17:$P$109,0)+16,0)</f>
        <v/>
      </c>
      <c r="M39" s="37" t="n"/>
      <c r="N39" s="37" t="n"/>
    </row>
    <row r="40" hidden="1" ht="15" customHeight="1" s="402">
      <c r="A40" s="77">
        <f>IFERROR(IF($L40&gt;0,INDEX('Invullen groen'!$E:$E,$L40),""),"")</f>
        <v/>
      </c>
      <c r="B40" s="77">
        <f>IFERROR(IF($L40&gt;0,IF(INDEX('Invullen groen'!$F:$F,$L40)&gt;0,INDEX('Invullen groen'!$F:$F,$L40),""),""),"")</f>
        <v/>
      </c>
      <c r="C40" s="77">
        <f>IFERROR(IF($L40&gt;0,IF(INDEX('Invullen groen'!$N:$N,$L40)&gt;0,INDEX('Invullen groen'!$N:$N,$L40),""),""),"")</f>
        <v/>
      </c>
      <c r="D40" s="77" t="n"/>
      <c r="E40" s="77">
        <f>IFERROR(IF(LEN(J40)&lt;=36,J40,IFERROR(LEFT(J40,FIND(CHAR(1),SUBSTITUTE(LEFT(J40,36)," ",CHAR(1),LEN(LEFT(J40,36))-LEN(SUBSTITUTE(LEFT(J40,36)," ",""))))-1),LEFT(J40,36))),"")</f>
        <v/>
      </c>
      <c r="F40" s="101">
        <f>IFERROR(IF($L40&gt;0,IF(INDEX('Invullen groen'!$H:$H,$L40)=0,"",INT(INDEX('Invullen groen'!$H:$H,$L40))),""),"")</f>
        <v/>
      </c>
      <c r="G40" s="101">
        <f>IFERROR(IF($L40&gt;0,IF(INDEX('Invullen groen'!$I:$I,$L40)=0,"",INT(INDEX('Invullen groen'!$I:$I,$L40))),""),"")</f>
        <v/>
      </c>
      <c r="H40" s="101">
        <f>IFERROR(IF($L40&gt;0,IF(INDEX('Invullen groen'!$J:$J,$L40)=0,"",INT(INDEX('Invullen groen'!$J:$J,$L40))),""),"")</f>
        <v/>
      </c>
      <c r="I40" s="101">
        <f>IFERROR(IF($L40&gt;0,IF(INDEX('Invullen groen'!$K:$K,$L40)=0,"",INT(INDEX('Invullen groen'!$K:$K,$L40))),""),"")</f>
        <v/>
      </c>
      <c r="J40" s="77">
        <f>IF($L40&gt;0,IFERROR($K$1&amp;" "&amp;TRIM(SUBSTITUTE(SUBSTITUTE(SUBSTITUTE(SUBSTITUTE(SUBSTITUTE(SUBSTITUTE(SUBSTITUTE(SUBSTITUTE(SUBSTITUTE(SUBSTITUTE(SUBSTITUTE(SUBSTITUTE(LOWER(INDEX('Invullen groen'!$O:$O,$L40)),"2024",""),"2025",""),"2026",""),"2027",""),"2028",""),"2029",""),"taakveld ",""),"installaties","inst"),"ruwbouw","ruwb"),"afbouw","afb"),"bijstelling","bijst"),"investeringen","invest")),""),"")</f>
        <v/>
      </c>
      <c r="K40" s="77" t="n"/>
      <c r="L40" s="37">
        <f>IFERROR(MATCH(ROW()-4,'Invullen groen'!$P$17:$P$109,0)+16,0)</f>
        <v/>
      </c>
      <c r="M40" s="37" t="n"/>
      <c r="N40" s="37" t="n"/>
    </row>
    <row r="41" hidden="1" ht="15" customHeight="1" s="402">
      <c r="A41" s="78">
        <f>IFERROR(IF($L41&gt;0,INDEX('Invullen groen'!$E:$E,$L41),""),"")</f>
        <v/>
      </c>
      <c r="B41" s="78">
        <f>IFERROR(IF($L41&gt;0,IF(INDEX('Invullen groen'!$F:$F,$L41)&gt;0,INDEX('Invullen groen'!$F:$F,$L41),""),""),"")</f>
        <v/>
      </c>
      <c r="C41" s="78">
        <f>IFERROR(IF($L41&gt;0,IF(INDEX('Invullen groen'!$N:$N,$L41)&gt;0,INDEX('Invullen groen'!$N:$N,$L41),""),""),"")</f>
        <v/>
      </c>
      <c r="D41" s="78" t="n"/>
      <c r="E41" s="78">
        <f>IFERROR(IF(LEN(J41)&lt;=36,J41,IFERROR(LEFT(J41,FIND(CHAR(1),SUBSTITUTE(LEFT(J41,36)," ",CHAR(1),LEN(LEFT(J41,36))-LEN(SUBSTITUTE(LEFT(J41,36)," ",""))))-1),LEFT(J41,36))),"")</f>
        <v/>
      </c>
      <c r="F41" s="100">
        <f>IFERROR(IF($L41&gt;0,IF(INDEX('Invullen groen'!$H:$H,$L41)=0,"",INT(INDEX('Invullen groen'!$H:$H,$L41))),""),"")</f>
        <v/>
      </c>
      <c r="G41" s="100">
        <f>IFERROR(IF($L41&gt;0,IF(INDEX('Invullen groen'!$I:$I,$L41)=0,"",INT(INDEX('Invullen groen'!$I:$I,$L41))),""),"")</f>
        <v/>
      </c>
      <c r="H41" s="100">
        <f>IFERROR(IF($L41&gt;0,IF(INDEX('Invullen groen'!$J:$J,$L41)=0,"",INT(INDEX('Invullen groen'!$J:$J,$L41))),""),"")</f>
        <v/>
      </c>
      <c r="I41" s="100">
        <f>IFERROR(IF($L41&gt;0,IF(INDEX('Invullen groen'!$K:$K,$L41)=0,"",INT(INDEX('Invullen groen'!$K:$K,$L41))),""),"")</f>
        <v/>
      </c>
      <c r="J41" s="78">
        <f>IF($L41&gt;0,IFERROR($K$1&amp;" "&amp;TRIM(SUBSTITUTE(SUBSTITUTE(SUBSTITUTE(SUBSTITUTE(SUBSTITUTE(SUBSTITUTE(SUBSTITUTE(SUBSTITUTE(SUBSTITUTE(SUBSTITUTE(SUBSTITUTE(SUBSTITUTE(LOWER(INDEX('Invullen groen'!$O:$O,$L41)),"2024",""),"2025",""),"2026",""),"2027",""),"2028",""),"2029",""),"taakveld ",""),"installaties","inst"),"ruwbouw","ruwb"),"afbouw","afb"),"bijstelling","bijst"),"investeringen","invest")),""),"")</f>
        <v/>
      </c>
      <c r="K41" s="78" t="n"/>
      <c r="L41" s="37">
        <f>IFERROR(MATCH(ROW()-4,'Invullen groen'!$P$17:$P$109,0)+16,0)</f>
        <v/>
      </c>
      <c r="M41" s="37" t="n"/>
      <c r="N41" s="37" t="n"/>
    </row>
    <row r="42" hidden="1" ht="15" customHeight="1" s="402">
      <c r="A42" s="77">
        <f>IFERROR(IF($L42&gt;0,INDEX('Invullen groen'!$E:$E,$L42),""),"")</f>
        <v/>
      </c>
      <c r="B42" s="77">
        <f>IFERROR(IF($L42&gt;0,IF(INDEX('Invullen groen'!$F:$F,$L42)&gt;0,INDEX('Invullen groen'!$F:$F,$L42),""),""),"")</f>
        <v/>
      </c>
      <c r="C42" s="77">
        <f>IFERROR(IF($L42&gt;0,IF(INDEX('Invullen groen'!$N:$N,$L42)&gt;0,INDEX('Invullen groen'!$N:$N,$L42),""),""),"")</f>
        <v/>
      </c>
      <c r="D42" s="77" t="n"/>
      <c r="E42" s="77">
        <f>IFERROR(IF(LEN(J42)&lt;=36,J42,IFERROR(LEFT(J42,FIND(CHAR(1),SUBSTITUTE(LEFT(J42,36)," ",CHAR(1),LEN(LEFT(J42,36))-LEN(SUBSTITUTE(LEFT(J42,36)," ",""))))-1),LEFT(J42,36))),"")</f>
        <v/>
      </c>
      <c r="F42" s="101">
        <f>IFERROR(IF($L42&gt;0,IF(INDEX('Invullen groen'!$H:$H,$L42)=0,"",INT(INDEX('Invullen groen'!$H:$H,$L42))),""),"")</f>
        <v/>
      </c>
      <c r="G42" s="101">
        <f>IFERROR(IF($L42&gt;0,IF(INDEX('Invullen groen'!$I:$I,$L42)=0,"",INT(INDEX('Invullen groen'!$I:$I,$L42))),""),"")</f>
        <v/>
      </c>
      <c r="H42" s="101">
        <f>IFERROR(IF($L42&gt;0,IF(INDEX('Invullen groen'!$J:$J,$L42)=0,"",INT(INDEX('Invullen groen'!$J:$J,$L42))),""),"")</f>
        <v/>
      </c>
      <c r="I42" s="101">
        <f>IFERROR(IF($L42&gt;0,IF(INDEX('Invullen groen'!$K:$K,$L42)=0,"",INT(INDEX('Invullen groen'!$K:$K,$L42))),""),"")</f>
        <v/>
      </c>
      <c r="J42" s="77">
        <f>IF($L42&gt;0,IFERROR($K$1&amp;" "&amp;TRIM(SUBSTITUTE(SUBSTITUTE(SUBSTITUTE(SUBSTITUTE(SUBSTITUTE(SUBSTITUTE(SUBSTITUTE(SUBSTITUTE(SUBSTITUTE(SUBSTITUTE(SUBSTITUTE(SUBSTITUTE(LOWER(INDEX('Invullen groen'!$O:$O,$L42)),"2024",""),"2025",""),"2026",""),"2027",""),"2028",""),"2029",""),"taakveld ",""),"installaties","inst"),"ruwbouw","ruwb"),"afbouw","afb"),"bijstelling","bijst"),"investeringen","invest")),""),"")</f>
        <v/>
      </c>
      <c r="K42" s="77" t="n"/>
      <c r="L42" s="37">
        <f>IFERROR(MATCH(ROW()-4,'Invullen groen'!$P$17:$P$109,0)+16,0)</f>
        <v/>
      </c>
      <c r="M42" s="37" t="n"/>
      <c r="N42" s="37" t="n"/>
    </row>
    <row r="43" hidden="1" ht="15" customHeight="1" s="402">
      <c r="A43" s="78">
        <f>IFERROR(IF($L43&gt;0,INDEX('Invullen groen'!$E:$E,$L43),""),"")</f>
        <v/>
      </c>
      <c r="B43" s="78">
        <f>IFERROR(IF($L43&gt;0,IF(INDEX('Invullen groen'!$F:$F,$L43)&gt;0,INDEX('Invullen groen'!$F:$F,$L43),""),""),"")</f>
        <v/>
      </c>
      <c r="C43" s="78">
        <f>IFERROR(IF($L43&gt;0,IF(INDEX('Invullen groen'!$N:$N,$L43)&gt;0,INDEX('Invullen groen'!$N:$N,$L43),""),""),"")</f>
        <v/>
      </c>
      <c r="D43" s="78" t="n"/>
      <c r="E43" s="78">
        <f>IFERROR(IF(LEN(J43)&lt;=36,J43,IFERROR(LEFT(J43,FIND(CHAR(1),SUBSTITUTE(LEFT(J43,36)," ",CHAR(1),LEN(LEFT(J43,36))-LEN(SUBSTITUTE(LEFT(J43,36)," ",""))))-1),LEFT(J43,36))),"")</f>
        <v/>
      </c>
      <c r="F43" s="100">
        <f>IFERROR(IF($L43&gt;0,IF(INDEX('Invullen groen'!$H:$H,$L43)=0,"",INT(INDEX('Invullen groen'!$H:$H,$L43))),""),"")</f>
        <v/>
      </c>
      <c r="G43" s="100">
        <f>IFERROR(IF($L43&gt;0,IF(INDEX('Invullen groen'!$I:$I,$L43)=0,"",INT(INDEX('Invullen groen'!$I:$I,$L43))),""),"")</f>
        <v/>
      </c>
      <c r="H43" s="100">
        <f>IFERROR(IF($L43&gt;0,IF(INDEX('Invullen groen'!$J:$J,$L43)=0,"",INT(INDEX('Invullen groen'!$J:$J,$L43))),""),"")</f>
        <v/>
      </c>
      <c r="I43" s="100">
        <f>IFERROR(IF($L43&gt;0,IF(INDEX('Invullen groen'!$K:$K,$L43)=0,"",INT(INDEX('Invullen groen'!$K:$K,$L43))),""),"")</f>
        <v/>
      </c>
      <c r="J43" s="78">
        <f>IF($L43&gt;0,IFERROR($K$1&amp;" "&amp;TRIM(SUBSTITUTE(SUBSTITUTE(SUBSTITUTE(SUBSTITUTE(SUBSTITUTE(SUBSTITUTE(SUBSTITUTE(SUBSTITUTE(SUBSTITUTE(SUBSTITUTE(SUBSTITUTE(SUBSTITUTE(LOWER(INDEX('Invullen groen'!$O:$O,$L43)),"2024",""),"2025",""),"2026",""),"2027",""),"2028",""),"2029",""),"taakveld ",""),"installaties","inst"),"ruwbouw","ruwb"),"afbouw","afb"),"bijstelling","bijst"),"investeringen","invest")),""),"")</f>
        <v/>
      </c>
      <c r="K43" s="78" t="n"/>
      <c r="L43" s="37">
        <f>IFERROR(MATCH(ROW()-4,'Invullen groen'!$P$17:$P$109,0)+16,0)</f>
        <v/>
      </c>
      <c r="M43" s="37" t="n"/>
      <c r="N43" s="37" t="n"/>
    </row>
    <row r="44" hidden="1" ht="15" customHeight="1" s="402">
      <c r="A44" s="77">
        <f>IFERROR(IF($L44&gt;0,INDEX('Invullen groen'!$E:$E,$L44),""),"")</f>
        <v/>
      </c>
      <c r="B44" s="77">
        <f>IFERROR(IF($L44&gt;0,IF(INDEX('Invullen groen'!$F:$F,$L44)&gt;0,INDEX('Invullen groen'!$F:$F,$L44),""),""),"")</f>
        <v/>
      </c>
      <c r="C44" s="77">
        <f>IFERROR(IF($L44&gt;0,IF(INDEX('Invullen groen'!$N:$N,$L44)&gt;0,INDEX('Invullen groen'!$N:$N,$L44),""),""),"")</f>
        <v/>
      </c>
      <c r="D44" s="77" t="n"/>
      <c r="E44" s="77">
        <f>IFERROR(IF(LEN(J44)&lt;=36,J44,IFERROR(LEFT(J44,FIND(CHAR(1),SUBSTITUTE(LEFT(J44,36)," ",CHAR(1),LEN(LEFT(J44,36))-LEN(SUBSTITUTE(LEFT(J44,36)," ",""))))-1),LEFT(J44,36))),"")</f>
        <v/>
      </c>
      <c r="F44" s="101">
        <f>IFERROR(IF($L44&gt;0,IF(INDEX('Invullen groen'!$H:$H,$L44)=0,"",INT(INDEX('Invullen groen'!$H:$H,$L44))),""),"")</f>
        <v/>
      </c>
      <c r="G44" s="101">
        <f>IFERROR(IF($L44&gt;0,IF(INDEX('Invullen groen'!$I:$I,$L44)=0,"",INT(INDEX('Invullen groen'!$I:$I,$L44))),""),"")</f>
        <v/>
      </c>
      <c r="H44" s="101">
        <f>IFERROR(IF($L44&gt;0,IF(INDEX('Invullen groen'!$J:$J,$L44)=0,"",INT(INDEX('Invullen groen'!$J:$J,$L44))),""),"")</f>
        <v/>
      </c>
      <c r="I44" s="101">
        <f>IFERROR(IF($L44&gt;0,IF(INDEX('Invullen groen'!$K:$K,$L44)=0,"",INT(INDEX('Invullen groen'!$K:$K,$L44))),""),"")</f>
        <v/>
      </c>
      <c r="J44" s="77">
        <f>IF($L44&gt;0,IFERROR($K$1&amp;" "&amp;TRIM(SUBSTITUTE(SUBSTITUTE(SUBSTITUTE(SUBSTITUTE(SUBSTITUTE(SUBSTITUTE(SUBSTITUTE(SUBSTITUTE(SUBSTITUTE(SUBSTITUTE(SUBSTITUTE(SUBSTITUTE(LOWER(INDEX('Invullen groen'!$O:$O,$L44)),"2024",""),"2025",""),"2026",""),"2027",""),"2028",""),"2029",""),"taakveld ",""),"installaties","inst"),"ruwbouw","ruwb"),"afbouw","afb"),"bijstelling","bijst"),"investeringen","invest")),""),"")</f>
        <v/>
      </c>
      <c r="K44" s="77" t="n"/>
      <c r="L44" s="37">
        <f>IFERROR(MATCH(ROW()-4,'Invullen groen'!$P$17:$P$109,0)+16,0)</f>
        <v/>
      </c>
      <c r="M44" s="37" t="n"/>
      <c r="N44" s="37" t="n"/>
    </row>
    <row r="45" hidden="1" ht="15" customHeight="1" s="402">
      <c r="A45" s="78">
        <f>IFERROR(IF($L45&gt;0,INDEX('Invullen groen'!$E:$E,$L45),""),"")</f>
        <v/>
      </c>
      <c r="B45" s="78">
        <f>IFERROR(IF($L45&gt;0,IF(INDEX('Invullen groen'!$F:$F,$L45)&gt;0,INDEX('Invullen groen'!$F:$F,$L45),""),""),"")</f>
        <v/>
      </c>
      <c r="C45" s="78">
        <f>IFERROR(IF($L45&gt;0,IF(INDEX('Invullen groen'!$N:$N,$L45)&gt;0,INDEX('Invullen groen'!$N:$N,$L45),""),""),"")</f>
        <v/>
      </c>
      <c r="D45" s="78" t="n"/>
      <c r="E45" s="78">
        <f>IFERROR(IF(LEN(J45)&lt;=36,J45,IFERROR(LEFT(J45,FIND(CHAR(1),SUBSTITUTE(LEFT(J45,36)," ",CHAR(1),LEN(LEFT(J45,36))-LEN(SUBSTITUTE(LEFT(J45,36)," ",""))))-1),LEFT(J45,36))),"")</f>
        <v/>
      </c>
      <c r="F45" s="100">
        <f>IFERROR(IF($L45&gt;0,IF(INDEX('Invullen groen'!$H:$H,$L45)=0,"",INT(INDEX('Invullen groen'!$H:$H,$L45))),""),"")</f>
        <v/>
      </c>
      <c r="G45" s="100">
        <f>IFERROR(IF($L45&gt;0,IF(INDEX('Invullen groen'!$I:$I,$L45)=0,"",INT(INDEX('Invullen groen'!$I:$I,$L45))),""),"")</f>
        <v/>
      </c>
      <c r="H45" s="100">
        <f>IFERROR(IF($L45&gt;0,IF(INDEX('Invullen groen'!$J:$J,$L45)=0,"",INT(INDEX('Invullen groen'!$J:$J,$L45))),""),"")</f>
        <v/>
      </c>
      <c r="I45" s="100">
        <f>IFERROR(IF($L45&gt;0,IF(INDEX('Invullen groen'!$K:$K,$L45)=0,"",INT(INDEX('Invullen groen'!$K:$K,$L45))),""),"")</f>
        <v/>
      </c>
      <c r="J45" s="78">
        <f>IF($L45&gt;0,IFERROR($K$1&amp;" "&amp;TRIM(SUBSTITUTE(SUBSTITUTE(SUBSTITUTE(SUBSTITUTE(SUBSTITUTE(SUBSTITUTE(SUBSTITUTE(SUBSTITUTE(SUBSTITUTE(SUBSTITUTE(SUBSTITUTE(SUBSTITUTE(LOWER(INDEX('Invullen groen'!$O:$O,$L45)),"2024",""),"2025",""),"2026",""),"2027",""),"2028",""),"2029",""),"taakveld ",""),"installaties","inst"),"ruwbouw","ruwb"),"afbouw","afb"),"bijstelling","bijst"),"investeringen","invest")),""),"")</f>
        <v/>
      </c>
      <c r="K45" s="78" t="n"/>
      <c r="L45" s="37">
        <f>IFERROR(MATCH(ROW()-4,'Invullen groen'!$P$17:$P$109,0)+16,0)</f>
        <v/>
      </c>
      <c r="M45" s="37" t="n"/>
      <c r="N45" s="37" t="n"/>
    </row>
    <row r="46" hidden="1" ht="15" customHeight="1" s="402">
      <c r="A46" s="77">
        <f>IFERROR(IF($L46&gt;0,INDEX('Invullen groen'!$E:$E,$L46),""),"")</f>
        <v/>
      </c>
      <c r="B46" s="77">
        <f>IFERROR(IF($L46&gt;0,IF(INDEX('Invullen groen'!$F:$F,$L46)&gt;0,INDEX('Invullen groen'!$F:$F,$L46),""),""),"")</f>
        <v/>
      </c>
      <c r="C46" s="77">
        <f>IFERROR(IF($L46&gt;0,IF(INDEX('Invullen groen'!$N:$N,$L46)&gt;0,INDEX('Invullen groen'!$N:$N,$L46),""),""),"")</f>
        <v/>
      </c>
      <c r="D46" s="77" t="n"/>
      <c r="E46" s="77">
        <f>IFERROR(IF(LEN(J46)&lt;=36,J46,IFERROR(LEFT(J46,FIND(CHAR(1),SUBSTITUTE(LEFT(J46,36)," ",CHAR(1),LEN(LEFT(J46,36))-LEN(SUBSTITUTE(LEFT(J46,36)," ",""))))-1),LEFT(J46,36))),"")</f>
        <v/>
      </c>
      <c r="F46" s="101">
        <f>IFERROR(IF($L46&gt;0,IF(INDEX('Invullen groen'!$H:$H,$L46)=0,"",INT(INDEX('Invullen groen'!$H:$H,$L46))),""),"")</f>
        <v/>
      </c>
      <c r="G46" s="101">
        <f>IFERROR(IF($L46&gt;0,IF(INDEX('Invullen groen'!$I:$I,$L46)=0,"",INT(INDEX('Invullen groen'!$I:$I,$L46))),""),"")</f>
        <v/>
      </c>
      <c r="H46" s="101">
        <f>IFERROR(IF($L46&gt;0,IF(INDEX('Invullen groen'!$J:$J,$L46)=0,"",INT(INDEX('Invullen groen'!$J:$J,$L46))),""),"")</f>
        <v/>
      </c>
      <c r="I46" s="101">
        <f>IFERROR(IF($L46&gt;0,IF(INDEX('Invullen groen'!$K:$K,$L46)=0,"",INT(INDEX('Invullen groen'!$K:$K,$L46))),""),"")</f>
        <v/>
      </c>
      <c r="J46" s="77">
        <f>IF($L46&gt;0,IFERROR($K$1&amp;" "&amp;TRIM(SUBSTITUTE(SUBSTITUTE(SUBSTITUTE(SUBSTITUTE(SUBSTITUTE(SUBSTITUTE(SUBSTITUTE(SUBSTITUTE(SUBSTITUTE(SUBSTITUTE(SUBSTITUTE(SUBSTITUTE(LOWER(INDEX('Invullen groen'!$O:$O,$L46)),"2024",""),"2025",""),"2026",""),"2027",""),"2028",""),"2029",""),"taakveld ",""),"installaties","inst"),"ruwbouw","ruwb"),"afbouw","afb"),"bijstelling","bijst"),"investeringen","invest")),""),"")</f>
        <v/>
      </c>
      <c r="K46" s="77" t="n"/>
      <c r="L46" s="37">
        <f>IFERROR(MATCH(ROW()-4,'Invullen groen'!$P$17:$P$109,0)+16,0)</f>
        <v/>
      </c>
      <c r="M46" s="37" t="n"/>
      <c r="N46" s="37" t="n"/>
    </row>
    <row r="47" hidden="1" ht="15" customHeight="1" s="402">
      <c r="A47" s="78">
        <f>IFERROR(IF($L47&gt;0,INDEX('Invullen groen'!$E:$E,$L47),""),"")</f>
        <v/>
      </c>
      <c r="B47" s="78">
        <f>IFERROR(IF($L47&gt;0,IF(INDEX('Invullen groen'!$F:$F,$L47)&gt;0,INDEX('Invullen groen'!$F:$F,$L47),""),""),"")</f>
        <v/>
      </c>
      <c r="C47" s="78">
        <f>IFERROR(IF($L47&gt;0,IF(INDEX('Invullen groen'!$N:$N,$L47)&gt;0,INDEX('Invullen groen'!$N:$N,$L47),""),""),"")</f>
        <v/>
      </c>
      <c r="D47" s="78" t="n"/>
      <c r="E47" s="78">
        <f>IFERROR(IF(LEN(J47)&lt;=36,J47,IFERROR(LEFT(J47,FIND(CHAR(1),SUBSTITUTE(LEFT(J47,36)," ",CHAR(1),LEN(LEFT(J47,36))-LEN(SUBSTITUTE(LEFT(J47,36)," ",""))))-1),LEFT(J47,36))),"")</f>
        <v/>
      </c>
      <c r="F47" s="100">
        <f>IFERROR(IF($L47&gt;0,IF(INDEX('Invullen groen'!$H:$H,$L47)=0,"",INT(INDEX('Invullen groen'!$H:$H,$L47))),""),"")</f>
        <v/>
      </c>
      <c r="G47" s="100">
        <f>IFERROR(IF($L47&gt;0,IF(INDEX('Invullen groen'!$I:$I,$L47)=0,"",INT(INDEX('Invullen groen'!$I:$I,$L47))),""),"")</f>
        <v/>
      </c>
      <c r="H47" s="100">
        <f>IFERROR(IF($L47&gt;0,IF(INDEX('Invullen groen'!$J:$J,$L47)=0,"",INT(INDEX('Invullen groen'!$J:$J,$L47))),""),"")</f>
        <v/>
      </c>
      <c r="I47" s="100">
        <f>IFERROR(IF($L47&gt;0,IF(INDEX('Invullen groen'!$K:$K,$L47)=0,"",INT(INDEX('Invullen groen'!$K:$K,$L47))),""),"")</f>
        <v/>
      </c>
      <c r="J47" s="78">
        <f>IF($L47&gt;0,IFERROR($K$1&amp;" "&amp;TRIM(SUBSTITUTE(SUBSTITUTE(SUBSTITUTE(SUBSTITUTE(SUBSTITUTE(SUBSTITUTE(SUBSTITUTE(SUBSTITUTE(SUBSTITUTE(SUBSTITUTE(SUBSTITUTE(SUBSTITUTE(LOWER(INDEX('Invullen groen'!$O:$O,$L47)),"2024",""),"2025",""),"2026",""),"2027",""),"2028",""),"2029",""),"taakveld ",""),"installaties","inst"),"ruwbouw","ruwb"),"afbouw","afb"),"bijstelling","bijst"),"investeringen","invest")),""),"")</f>
        <v/>
      </c>
      <c r="K47" s="78" t="n"/>
      <c r="L47" s="37">
        <f>IFERROR(MATCH(ROW()-4,'Invullen groen'!$P$17:$P$109,0)+16,0)</f>
        <v/>
      </c>
      <c r="M47" s="37" t="n"/>
      <c r="N47" s="37" t="n"/>
    </row>
    <row r="48" hidden="1" ht="15" customHeight="1" s="402">
      <c r="A48" s="77">
        <f>IFERROR(IF($L48&gt;0,INDEX('Invullen groen'!$E:$E,$L48),""),"")</f>
        <v/>
      </c>
      <c r="B48" s="77">
        <f>IFERROR(IF($L48&gt;0,IF(INDEX('Invullen groen'!$F:$F,$L48)&gt;0,INDEX('Invullen groen'!$F:$F,$L48),""),""),"")</f>
        <v/>
      </c>
      <c r="C48" s="77">
        <f>IFERROR(IF($L48&gt;0,IF(INDEX('Invullen groen'!$N:$N,$L48)&gt;0,INDEX('Invullen groen'!$N:$N,$L48),""),""),"")</f>
        <v/>
      </c>
      <c r="D48" s="77" t="n"/>
      <c r="E48" s="77">
        <f>IFERROR(IF(LEN(J48)&lt;=36,J48,IFERROR(LEFT(J48,FIND(CHAR(1),SUBSTITUTE(LEFT(J48,36)," ",CHAR(1),LEN(LEFT(J48,36))-LEN(SUBSTITUTE(LEFT(J48,36)," ",""))))-1),LEFT(J48,36))),"")</f>
        <v/>
      </c>
      <c r="F48" s="101">
        <f>IFERROR(IF($L48&gt;0,IF(INDEX('Invullen groen'!$H:$H,$L48)=0,"",INT(INDEX('Invullen groen'!$H:$H,$L48))),""),"")</f>
        <v/>
      </c>
      <c r="G48" s="101">
        <f>IFERROR(IF($L48&gt;0,IF(INDEX('Invullen groen'!$I:$I,$L48)=0,"",INT(INDEX('Invullen groen'!$I:$I,$L48))),""),"")</f>
        <v/>
      </c>
      <c r="H48" s="101">
        <f>IFERROR(IF($L48&gt;0,IF(INDEX('Invullen groen'!$J:$J,$L48)=0,"",INT(INDEX('Invullen groen'!$J:$J,$L48))),""),"")</f>
        <v/>
      </c>
      <c r="I48" s="101">
        <f>IFERROR(IF($L48&gt;0,IF(INDEX('Invullen groen'!$K:$K,$L48)=0,"",INT(INDEX('Invullen groen'!$K:$K,$L48))),""),"")</f>
        <v/>
      </c>
      <c r="J48" s="77">
        <f>IF($L48&gt;0,IFERROR($K$1&amp;" "&amp;TRIM(SUBSTITUTE(SUBSTITUTE(SUBSTITUTE(SUBSTITUTE(SUBSTITUTE(SUBSTITUTE(SUBSTITUTE(SUBSTITUTE(SUBSTITUTE(SUBSTITUTE(SUBSTITUTE(SUBSTITUTE(LOWER(INDEX('Invullen groen'!$O:$O,$L48)),"2024",""),"2025",""),"2026",""),"2027",""),"2028",""),"2029",""),"taakveld ",""),"installaties","inst"),"ruwbouw","ruwb"),"afbouw","afb"),"bijstelling","bijst"),"investeringen","invest")),""),"")</f>
        <v/>
      </c>
      <c r="K48" s="77" t="n"/>
      <c r="L48" s="37">
        <f>IFERROR(MATCH(ROW()-4,'Invullen groen'!$P$17:$P$109,0)+16,0)</f>
        <v/>
      </c>
      <c r="M48" s="37" t="n"/>
      <c r="N48" s="37" t="n"/>
    </row>
    <row r="49" hidden="1" ht="15" customHeight="1" s="402">
      <c r="A49" s="78">
        <f>IFERROR(IF($L49&gt;0,INDEX('Invullen groen'!$E:$E,$L49),""),"")</f>
        <v/>
      </c>
      <c r="B49" s="78">
        <f>IFERROR(IF($L49&gt;0,IF(INDEX('Invullen groen'!$F:$F,$L49)&gt;0,INDEX('Invullen groen'!$F:$F,$L49),""),""),"")</f>
        <v/>
      </c>
      <c r="C49" s="78">
        <f>IFERROR(IF($L49&gt;0,IF(INDEX('Invullen groen'!$N:$N,$L49)&gt;0,INDEX('Invullen groen'!$N:$N,$L49),""),""),"")</f>
        <v/>
      </c>
      <c r="D49" s="78" t="n"/>
      <c r="E49" s="78">
        <f>IFERROR(IF(LEN(J49)&lt;=36,J49,IFERROR(LEFT(J49,FIND(CHAR(1),SUBSTITUTE(LEFT(J49,36)," ",CHAR(1),LEN(LEFT(J49,36))-LEN(SUBSTITUTE(LEFT(J49,36)," ",""))))-1),LEFT(J49,36))),"")</f>
        <v/>
      </c>
      <c r="F49" s="100">
        <f>IFERROR(IF($L49&gt;0,IF(INDEX('Invullen groen'!$H:$H,$L49)=0,"",INT(INDEX('Invullen groen'!$H:$H,$L49))),""),"")</f>
        <v/>
      </c>
      <c r="G49" s="100">
        <f>IFERROR(IF($L49&gt;0,IF(INDEX('Invullen groen'!$I:$I,$L49)=0,"",INT(INDEX('Invullen groen'!$I:$I,$L49))),""),"")</f>
        <v/>
      </c>
      <c r="H49" s="100">
        <f>IFERROR(IF($L49&gt;0,IF(INDEX('Invullen groen'!$J:$J,$L49)=0,"",INT(INDEX('Invullen groen'!$J:$J,$L49))),""),"")</f>
        <v/>
      </c>
      <c r="I49" s="100">
        <f>IFERROR(IF($L49&gt;0,IF(INDEX('Invullen groen'!$K:$K,$L49)=0,"",INT(INDEX('Invullen groen'!$K:$K,$L49))),""),"")</f>
        <v/>
      </c>
      <c r="J49" s="78">
        <f>IF($L49&gt;0,IFERROR($K$1&amp;" "&amp;TRIM(SUBSTITUTE(SUBSTITUTE(SUBSTITUTE(SUBSTITUTE(SUBSTITUTE(SUBSTITUTE(SUBSTITUTE(SUBSTITUTE(SUBSTITUTE(SUBSTITUTE(SUBSTITUTE(SUBSTITUTE(LOWER(INDEX('Invullen groen'!$O:$O,$L49)),"2024",""),"2025",""),"2026",""),"2027",""),"2028",""),"2029",""),"taakveld ",""),"installaties","inst"),"ruwbouw","ruwb"),"afbouw","afb"),"bijstelling","bijst"),"investeringen","invest")),""),"")</f>
        <v/>
      </c>
      <c r="K49" s="78" t="n"/>
      <c r="L49" s="37">
        <f>IFERROR(MATCH(ROW()-4,'Invullen groen'!$P$17:$P$109,0)+16,0)</f>
        <v/>
      </c>
      <c r="M49" s="37" t="n"/>
      <c r="N49" s="37" t="n"/>
    </row>
    <row r="50" hidden="1" ht="15" customHeight="1" s="402">
      <c r="A50" s="77">
        <f>IFERROR(IF($L50&gt;0,INDEX('Invullen groen'!$E:$E,$L50),""),"")</f>
        <v/>
      </c>
      <c r="B50" s="77">
        <f>IFERROR(IF($L50&gt;0,IF(INDEX('Invullen groen'!$F:$F,$L50)&gt;0,INDEX('Invullen groen'!$F:$F,$L50),""),""),"")</f>
        <v/>
      </c>
      <c r="C50" s="77">
        <f>IFERROR(IF($L50&gt;0,IF(INDEX('Invullen groen'!$N:$N,$L50)&gt;0,INDEX('Invullen groen'!$N:$N,$L50),""),""),"")</f>
        <v/>
      </c>
      <c r="D50" s="77" t="n"/>
      <c r="E50" s="77">
        <f>IFERROR(IF(LEN(J50)&lt;=36,J50,IFERROR(LEFT(J50,FIND(CHAR(1),SUBSTITUTE(LEFT(J50,36)," ",CHAR(1),LEN(LEFT(J50,36))-LEN(SUBSTITUTE(LEFT(J50,36)," ",""))))-1),LEFT(J50,36))),"")</f>
        <v/>
      </c>
      <c r="F50" s="101">
        <f>IFERROR(IF($L50&gt;0,IF(INDEX('Invullen groen'!$H:$H,$L50)=0,"",INT(INDEX('Invullen groen'!$H:$H,$L50))),""),"")</f>
        <v/>
      </c>
      <c r="G50" s="101">
        <f>IFERROR(IF($L50&gt;0,IF(INDEX('Invullen groen'!$I:$I,$L50)=0,"",INT(INDEX('Invullen groen'!$I:$I,$L50))),""),"")</f>
        <v/>
      </c>
      <c r="H50" s="101">
        <f>IFERROR(IF($L50&gt;0,IF(INDEX('Invullen groen'!$J:$J,$L50)=0,"",INT(INDEX('Invullen groen'!$J:$J,$L50))),""),"")</f>
        <v/>
      </c>
      <c r="I50" s="101">
        <f>IFERROR(IF($L50&gt;0,IF(INDEX('Invullen groen'!$K:$K,$L50)=0,"",INT(INDEX('Invullen groen'!$K:$K,$L50))),""),"")</f>
        <v/>
      </c>
      <c r="J50" s="77">
        <f>IF($L50&gt;0,IFERROR($K$1&amp;" "&amp;TRIM(SUBSTITUTE(SUBSTITUTE(SUBSTITUTE(SUBSTITUTE(SUBSTITUTE(SUBSTITUTE(SUBSTITUTE(SUBSTITUTE(SUBSTITUTE(SUBSTITUTE(SUBSTITUTE(SUBSTITUTE(LOWER(INDEX('Invullen groen'!$O:$O,$L50)),"2024",""),"2025",""),"2026",""),"2027",""),"2028",""),"2029",""),"taakveld ",""),"installaties","inst"),"ruwbouw","ruwb"),"afbouw","afb"),"bijstelling","bijst"),"investeringen","invest")),""),"")</f>
        <v/>
      </c>
      <c r="K50" s="77" t="n"/>
      <c r="L50" s="37">
        <f>IFERROR(MATCH(ROW()-4,'Invullen groen'!$P$17:$P$109,0)+16,0)</f>
        <v/>
      </c>
      <c r="M50" s="37" t="n"/>
      <c r="N50" s="37" t="n"/>
    </row>
    <row r="51" hidden="1" ht="15" customHeight="1" s="402">
      <c r="A51" s="78">
        <f>IFERROR(IF($L51&gt;0,INDEX('Invullen groen'!$E:$E,$L51),""),"")</f>
        <v/>
      </c>
      <c r="B51" s="78">
        <f>IFERROR(IF($L51&gt;0,IF(INDEX('Invullen groen'!$F:$F,$L51)&gt;0,INDEX('Invullen groen'!$F:$F,$L51),""),""),"")</f>
        <v/>
      </c>
      <c r="C51" s="78">
        <f>IFERROR(IF($L51&gt;0,IF(INDEX('Invullen groen'!$N:$N,$L51)&gt;0,INDEX('Invullen groen'!$N:$N,$L51),""),""),"")</f>
        <v/>
      </c>
      <c r="D51" s="78" t="n"/>
      <c r="E51" s="78">
        <f>IFERROR(IF(LEN(J51)&lt;=36,J51,IFERROR(LEFT(J51,FIND(CHAR(1),SUBSTITUTE(LEFT(J51,36)," ",CHAR(1),LEN(LEFT(J51,36))-LEN(SUBSTITUTE(LEFT(J51,36)," ",""))))-1),LEFT(J51,36))),"")</f>
        <v/>
      </c>
      <c r="F51" s="100">
        <f>IFERROR(IF($L51&gt;0,IF(INDEX('Invullen groen'!$H:$H,$L51)=0,"",INT(INDEX('Invullen groen'!$H:$H,$L51))),""),"")</f>
        <v/>
      </c>
      <c r="G51" s="100">
        <f>IFERROR(IF($L51&gt;0,IF(INDEX('Invullen groen'!$I:$I,$L51)=0,"",INT(INDEX('Invullen groen'!$I:$I,$L51))),""),"")</f>
        <v/>
      </c>
      <c r="H51" s="100">
        <f>IFERROR(IF($L51&gt;0,IF(INDEX('Invullen groen'!$J:$J,$L51)=0,"",INT(INDEX('Invullen groen'!$J:$J,$L51))),""),"")</f>
        <v/>
      </c>
      <c r="I51" s="100">
        <f>IFERROR(IF($L51&gt;0,IF(INDEX('Invullen groen'!$K:$K,$L51)=0,"",INT(INDEX('Invullen groen'!$K:$K,$L51))),""),"")</f>
        <v/>
      </c>
      <c r="J51" s="78">
        <f>IF($L51&gt;0,IFERROR($K$1&amp;" "&amp;TRIM(SUBSTITUTE(SUBSTITUTE(SUBSTITUTE(SUBSTITUTE(SUBSTITUTE(SUBSTITUTE(SUBSTITUTE(SUBSTITUTE(SUBSTITUTE(SUBSTITUTE(SUBSTITUTE(SUBSTITUTE(LOWER(INDEX('Invullen groen'!$O:$O,$L51)),"2024",""),"2025",""),"2026",""),"2027",""),"2028",""),"2029",""),"taakveld ",""),"installaties","inst"),"ruwbouw","ruwb"),"afbouw","afb"),"bijstelling","bijst"),"investeringen","invest")),""),"")</f>
        <v/>
      </c>
      <c r="K51" s="78" t="n"/>
      <c r="L51" s="37">
        <f>IFERROR(MATCH(ROW()-4,'Invullen groen'!$P$17:$P$109,0)+16,0)</f>
        <v/>
      </c>
      <c r="M51" s="37" t="n"/>
      <c r="N51" s="37" t="n"/>
    </row>
    <row r="52" hidden="1" ht="15" customHeight="1" s="402">
      <c r="A52" s="77">
        <f>IFERROR(IF($L52&gt;0,INDEX('Invullen groen'!$E:$E,$L52),""),"")</f>
        <v/>
      </c>
      <c r="B52" s="77">
        <f>IFERROR(IF($L52&gt;0,IF(INDEX('Invullen groen'!$F:$F,$L52)&gt;0,INDEX('Invullen groen'!$F:$F,$L52),""),""),"")</f>
        <v/>
      </c>
      <c r="C52" s="77">
        <f>IFERROR(IF($L52&gt;0,IF(INDEX('Invullen groen'!$N:$N,$L52)&gt;0,INDEX('Invullen groen'!$N:$N,$L52),""),""),"")</f>
        <v/>
      </c>
      <c r="D52" s="77" t="n"/>
      <c r="E52" s="77">
        <f>IFERROR(IF(LEN(J52)&lt;=36,J52,IFERROR(LEFT(J52,FIND(CHAR(1),SUBSTITUTE(LEFT(J52,36)," ",CHAR(1),LEN(LEFT(J52,36))-LEN(SUBSTITUTE(LEFT(J52,36)," ",""))))-1),LEFT(J52,36))),"")</f>
        <v/>
      </c>
      <c r="F52" s="101">
        <f>IFERROR(IF($L52&gt;0,IF(INDEX('Invullen groen'!$H:$H,$L52)=0,"",INT(INDEX('Invullen groen'!$H:$H,$L52))),""),"")</f>
        <v/>
      </c>
      <c r="G52" s="101">
        <f>IFERROR(IF($L52&gt;0,IF(INDEX('Invullen groen'!$I:$I,$L52)=0,"",INT(INDEX('Invullen groen'!$I:$I,$L52))),""),"")</f>
        <v/>
      </c>
      <c r="H52" s="101">
        <f>IFERROR(IF($L52&gt;0,IF(INDEX('Invullen groen'!$J:$J,$L52)=0,"",INT(INDEX('Invullen groen'!$J:$J,$L52))),""),"")</f>
        <v/>
      </c>
      <c r="I52" s="101">
        <f>IFERROR(IF($L52&gt;0,IF(INDEX('Invullen groen'!$K:$K,$L52)=0,"",INT(INDEX('Invullen groen'!$K:$K,$L52))),""),"")</f>
        <v/>
      </c>
      <c r="J52" s="77">
        <f>IF($L52&gt;0,IFERROR($K$1&amp;" "&amp;TRIM(SUBSTITUTE(SUBSTITUTE(SUBSTITUTE(SUBSTITUTE(SUBSTITUTE(SUBSTITUTE(SUBSTITUTE(SUBSTITUTE(SUBSTITUTE(SUBSTITUTE(SUBSTITUTE(SUBSTITUTE(LOWER(INDEX('Invullen groen'!$O:$O,$L52)),"2024",""),"2025",""),"2026",""),"2027",""),"2028",""),"2029",""),"taakveld ",""),"installaties","inst"),"ruwbouw","ruwb"),"afbouw","afb"),"bijstelling","bijst"),"investeringen","invest")),""),"")</f>
        <v/>
      </c>
      <c r="K52" s="77" t="n"/>
      <c r="L52" s="37">
        <f>IFERROR(MATCH(ROW()-4,'Invullen groen'!$P$17:$P$109,0)+16,0)</f>
        <v/>
      </c>
      <c r="M52" s="37" t="n"/>
      <c r="N52" s="37" t="n"/>
    </row>
    <row r="53" hidden="1" ht="15" customHeight="1" s="402">
      <c r="A53" s="78">
        <f>IFERROR(IF($L53&gt;0,INDEX('Invullen groen'!$E:$E,$L53),""),"")</f>
        <v/>
      </c>
      <c r="B53" s="78">
        <f>IFERROR(IF($L53&gt;0,IF(INDEX('Invullen groen'!$F:$F,$L53)&gt;0,INDEX('Invullen groen'!$F:$F,$L53),""),""),"")</f>
        <v/>
      </c>
      <c r="C53" s="78">
        <f>IFERROR(IF($L53&gt;0,IF(INDEX('Invullen groen'!$N:$N,$L53)&gt;0,INDEX('Invullen groen'!$N:$N,$L53),""),""),"")</f>
        <v/>
      </c>
      <c r="D53" s="78" t="n"/>
      <c r="E53" s="78">
        <f>IFERROR(IF(LEN(J53)&lt;=36,J53,IFERROR(LEFT(J53,FIND(CHAR(1),SUBSTITUTE(LEFT(J53,36)," ",CHAR(1),LEN(LEFT(J53,36))-LEN(SUBSTITUTE(LEFT(J53,36)," ",""))))-1),LEFT(J53,36))),"")</f>
        <v/>
      </c>
      <c r="F53" s="100">
        <f>IFERROR(IF($L53&gt;0,IF(INDEX('Invullen groen'!$H:$H,$L53)=0,"",INT(INDEX('Invullen groen'!$H:$H,$L53))),""),"")</f>
        <v/>
      </c>
      <c r="G53" s="100">
        <f>IFERROR(IF($L53&gt;0,IF(INDEX('Invullen groen'!$I:$I,$L53)=0,"",INT(INDEX('Invullen groen'!$I:$I,$L53))),""),"")</f>
        <v/>
      </c>
      <c r="H53" s="100">
        <f>IFERROR(IF($L53&gt;0,IF(INDEX('Invullen groen'!$J:$J,$L53)=0,"",INT(INDEX('Invullen groen'!$J:$J,$L53))),""),"")</f>
        <v/>
      </c>
      <c r="I53" s="100">
        <f>IFERROR(IF($L53&gt;0,IF(INDEX('Invullen groen'!$K:$K,$L53)=0,"",INT(INDEX('Invullen groen'!$K:$K,$L53))),""),"")</f>
        <v/>
      </c>
      <c r="J53" s="78">
        <f>IF($L53&gt;0,IFERROR($K$1&amp;" "&amp;TRIM(SUBSTITUTE(SUBSTITUTE(SUBSTITUTE(SUBSTITUTE(SUBSTITUTE(SUBSTITUTE(SUBSTITUTE(SUBSTITUTE(SUBSTITUTE(SUBSTITUTE(SUBSTITUTE(SUBSTITUTE(LOWER(INDEX('Invullen groen'!$O:$O,$L53)),"2024",""),"2025",""),"2026",""),"2027",""),"2028",""),"2029",""),"taakveld ",""),"installaties","inst"),"ruwbouw","ruwb"),"afbouw","afb"),"bijstelling","bijst"),"investeringen","invest")),""),"")</f>
        <v/>
      </c>
      <c r="K53" s="78" t="n"/>
      <c r="L53" s="37">
        <f>IFERROR(MATCH(ROW()-4,'Invullen groen'!$P$17:$P$109,0)+16,0)</f>
        <v/>
      </c>
      <c r="M53" s="37" t="n"/>
      <c r="N53" s="37" t="n"/>
    </row>
    <row r="54" hidden="1" ht="15" customHeight="1" s="402">
      <c r="A54" s="77">
        <f>IFERROR(IF($L54&gt;0,INDEX('Invullen groen'!$E:$E,$L54),""),"")</f>
        <v/>
      </c>
      <c r="B54" s="77">
        <f>IFERROR(IF($L54&gt;0,IF(INDEX('Invullen groen'!$F:$F,$L54)&gt;0,INDEX('Invullen groen'!$F:$F,$L54),""),""),"")</f>
        <v/>
      </c>
      <c r="C54" s="77">
        <f>IFERROR(IF($L54&gt;0,IF(INDEX('Invullen groen'!$N:$N,$L54)&gt;0,INDEX('Invullen groen'!$N:$N,$L54),""),""),"")</f>
        <v/>
      </c>
      <c r="D54" s="77" t="n"/>
      <c r="E54" s="77">
        <f>IFERROR(IF(LEN(J54)&lt;=36,J54,IFERROR(LEFT(J54,FIND(CHAR(1),SUBSTITUTE(LEFT(J54,36)," ",CHAR(1),LEN(LEFT(J54,36))-LEN(SUBSTITUTE(LEFT(J54,36)," ",""))))-1),LEFT(J54,36))),"")</f>
        <v/>
      </c>
      <c r="F54" s="101">
        <f>IFERROR(IF($L54&gt;0,IF(INDEX('Invullen groen'!$H:$H,$L54)=0,"",INT(INDEX('Invullen groen'!$H:$H,$L54))),""),"")</f>
        <v/>
      </c>
      <c r="G54" s="101">
        <f>IFERROR(IF($L54&gt;0,IF(INDEX('Invullen groen'!$I:$I,$L54)=0,"",INT(INDEX('Invullen groen'!$I:$I,$L54))),""),"")</f>
        <v/>
      </c>
      <c r="H54" s="101">
        <f>IFERROR(IF($L54&gt;0,IF(INDEX('Invullen groen'!$J:$J,$L54)=0,"",INT(INDEX('Invullen groen'!$J:$J,$L54))),""),"")</f>
        <v/>
      </c>
      <c r="I54" s="101">
        <f>IFERROR(IF($L54&gt;0,IF(INDEX('Invullen groen'!$K:$K,$L54)=0,"",INT(INDEX('Invullen groen'!$K:$K,$L54))),""),"")</f>
        <v/>
      </c>
      <c r="J54" s="77">
        <f>IF($L54&gt;0,IFERROR($K$1&amp;" "&amp;TRIM(SUBSTITUTE(SUBSTITUTE(SUBSTITUTE(SUBSTITUTE(SUBSTITUTE(SUBSTITUTE(SUBSTITUTE(SUBSTITUTE(SUBSTITUTE(SUBSTITUTE(SUBSTITUTE(SUBSTITUTE(LOWER(INDEX('Invullen groen'!$O:$O,$L54)),"2024",""),"2025",""),"2026",""),"2027",""),"2028",""),"2029",""),"taakveld ",""),"installaties","inst"),"ruwbouw","ruwb"),"afbouw","afb"),"bijstelling","bijst"),"investeringen","invest")),""),"")</f>
        <v/>
      </c>
      <c r="K54" s="77" t="n"/>
      <c r="L54" s="37">
        <f>IFERROR(MATCH(ROW()-4,'Invullen groen'!$P$17:$P$109,0)+16,0)</f>
        <v/>
      </c>
      <c r="M54" s="37" t="n"/>
      <c r="N54" s="37" t="n"/>
    </row>
    <row r="55" hidden="1" ht="15" customHeight="1" s="402">
      <c r="A55" s="78">
        <f>IFERROR(IF($L55&gt;0,INDEX('Invullen groen'!$E:$E,$L55),""),"")</f>
        <v/>
      </c>
      <c r="B55" s="78">
        <f>IFERROR(IF($L55&gt;0,IF(INDEX('Invullen groen'!$F:$F,$L55)&gt;0,INDEX('Invullen groen'!$F:$F,$L55),""),""),"")</f>
        <v/>
      </c>
      <c r="C55" s="78">
        <f>IFERROR(IF($L55&gt;0,IF(INDEX('Invullen groen'!$N:$N,$L55)&gt;0,INDEX('Invullen groen'!$N:$N,$L55),""),""),"")</f>
        <v/>
      </c>
      <c r="D55" s="78" t="n"/>
      <c r="E55" s="78">
        <f>IFERROR(IF(LEN(J55)&lt;=36,J55,IFERROR(LEFT(J55,FIND(CHAR(1),SUBSTITUTE(LEFT(J55,36)," ",CHAR(1),LEN(LEFT(J55,36))-LEN(SUBSTITUTE(LEFT(J55,36)," ",""))))-1),LEFT(J55,36))),"")</f>
        <v/>
      </c>
      <c r="F55" s="100">
        <f>IFERROR(IF($L55&gt;0,IF(INDEX('Invullen groen'!$H:$H,$L55)=0,"",INT(INDEX('Invullen groen'!$H:$H,$L55))),""),"")</f>
        <v/>
      </c>
      <c r="G55" s="100">
        <f>IFERROR(IF($L55&gt;0,IF(INDEX('Invullen groen'!$I:$I,$L55)=0,"",INT(INDEX('Invullen groen'!$I:$I,$L55))),""),"")</f>
        <v/>
      </c>
      <c r="H55" s="100">
        <f>IFERROR(IF($L55&gt;0,IF(INDEX('Invullen groen'!$J:$J,$L55)=0,"",INT(INDEX('Invullen groen'!$J:$J,$L55))),""),"")</f>
        <v/>
      </c>
      <c r="I55" s="100">
        <f>IFERROR(IF($L55&gt;0,IF(INDEX('Invullen groen'!$K:$K,$L55)=0,"",INT(INDEX('Invullen groen'!$K:$K,$L55))),""),"")</f>
        <v/>
      </c>
      <c r="J55" s="78">
        <f>IF($L55&gt;0,IFERROR($K$1&amp;" "&amp;TRIM(SUBSTITUTE(SUBSTITUTE(SUBSTITUTE(SUBSTITUTE(SUBSTITUTE(SUBSTITUTE(SUBSTITUTE(SUBSTITUTE(SUBSTITUTE(SUBSTITUTE(SUBSTITUTE(SUBSTITUTE(LOWER(INDEX('Invullen groen'!$O:$O,$L55)),"2024",""),"2025",""),"2026",""),"2027",""),"2028",""),"2029",""),"taakveld ",""),"installaties","inst"),"ruwbouw","ruwb"),"afbouw","afb"),"bijstelling","bijst"),"investeringen","invest")),""),"")</f>
        <v/>
      </c>
      <c r="K55" s="78" t="n"/>
      <c r="L55" s="37">
        <f>IFERROR(MATCH(ROW()-4,'Invullen groen'!$P$17:$P$109,0)+16,0)</f>
        <v/>
      </c>
      <c r="M55" s="37" t="n"/>
      <c r="N55" s="37" t="n"/>
    </row>
    <row r="56" hidden="1" ht="15" customHeight="1" s="402">
      <c r="A56" s="77">
        <f>IFERROR(IF($L56&gt;0,INDEX('Invullen groen'!$E:$E,$L56),""),"")</f>
        <v/>
      </c>
      <c r="B56" s="77">
        <f>IFERROR(IF($L56&gt;0,IF(INDEX('Invullen groen'!$F:$F,$L56)&gt;0,INDEX('Invullen groen'!$F:$F,$L56),""),""),"")</f>
        <v/>
      </c>
      <c r="C56" s="77">
        <f>IFERROR(IF($L56&gt;0,IF(INDEX('Invullen groen'!$N:$N,$L56)&gt;0,INDEX('Invullen groen'!$N:$N,$L56),""),""),"")</f>
        <v/>
      </c>
      <c r="D56" s="77" t="n"/>
      <c r="E56" s="77">
        <f>IFERROR(IF(LEN(J56)&lt;=36,J56,IFERROR(LEFT(J56,FIND(CHAR(1),SUBSTITUTE(LEFT(J56,36)," ",CHAR(1),LEN(LEFT(J56,36))-LEN(SUBSTITUTE(LEFT(J56,36)," ",""))))-1),LEFT(J56,36))),"")</f>
        <v/>
      </c>
      <c r="F56" s="101">
        <f>IFERROR(IF($L56&gt;0,IF(INDEX('Invullen groen'!$H:$H,$L56)=0,"",INT(INDEX('Invullen groen'!$H:$H,$L56))),""),"")</f>
        <v/>
      </c>
      <c r="G56" s="101">
        <f>IFERROR(IF($L56&gt;0,IF(INDEX('Invullen groen'!$I:$I,$L56)=0,"",INT(INDEX('Invullen groen'!$I:$I,$L56))),""),"")</f>
        <v/>
      </c>
      <c r="H56" s="101">
        <f>IFERROR(IF($L56&gt;0,IF(INDEX('Invullen groen'!$J:$J,$L56)=0,"",INT(INDEX('Invullen groen'!$J:$J,$L56))),""),"")</f>
        <v/>
      </c>
      <c r="I56" s="101">
        <f>IFERROR(IF($L56&gt;0,IF(INDEX('Invullen groen'!$K:$K,$L56)=0,"",INT(INDEX('Invullen groen'!$K:$K,$L56))),""),"")</f>
        <v/>
      </c>
      <c r="J56" s="77">
        <f>IF($L56&gt;0,IFERROR($K$1&amp;" "&amp;TRIM(SUBSTITUTE(SUBSTITUTE(SUBSTITUTE(SUBSTITUTE(SUBSTITUTE(SUBSTITUTE(SUBSTITUTE(SUBSTITUTE(SUBSTITUTE(SUBSTITUTE(SUBSTITUTE(SUBSTITUTE(LOWER(INDEX('Invullen groen'!$O:$O,$L56)),"2024",""),"2025",""),"2026",""),"2027",""),"2028",""),"2029",""),"taakveld ",""),"installaties","inst"),"ruwbouw","ruwb"),"afbouw","afb"),"bijstelling","bijst"),"investeringen","invest")),""),"")</f>
        <v/>
      </c>
      <c r="K56" s="77" t="n"/>
      <c r="L56" s="37">
        <f>IFERROR(MATCH(ROW()-4,'Invullen groen'!$P$17:$P$109,0)+16,0)</f>
        <v/>
      </c>
      <c r="M56" s="37" t="n"/>
      <c r="N56" s="37" t="n"/>
    </row>
    <row r="57" hidden="1" ht="15" customHeight="1" s="402">
      <c r="A57" s="78">
        <f>IFERROR(IF($L57&gt;0,INDEX('Invullen groen'!$E:$E,$L57),""),"")</f>
        <v/>
      </c>
      <c r="B57" s="78">
        <f>IFERROR(IF($L57&gt;0,IF(INDEX('Invullen groen'!$F:$F,$L57)&gt;0,INDEX('Invullen groen'!$F:$F,$L57),""),""),"")</f>
        <v/>
      </c>
      <c r="C57" s="78">
        <f>IFERROR(IF($L57&gt;0,IF(INDEX('Invullen groen'!$N:$N,$L57)&gt;0,INDEX('Invullen groen'!$N:$N,$L57),""),""),"")</f>
        <v/>
      </c>
      <c r="D57" s="78" t="n"/>
      <c r="E57" s="78">
        <f>IFERROR(IF(LEN(J57)&lt;=36,J57,IFERROR(LEFT(J57,FIND(CHAR(1),SUBSTITUTE(LEFT(J57,36)," ",CHAR(1),LEN(LEFT(J57,36))-LEN(SUBSTITUTE(LEFT(J57,36)," ",""))))-1),LEFT(J57,36))),"")</f>
        <v/>
      </c>
      <c r="F57" s="100">
        <f>IFERROR(IF($L57&gt;0,IF(INDEX('Invullen groen'!$H:$H,$L57)=0,"",INT(INDEX('Invullen groen'!$H:$H,$L57))),""),"")</f>
        <v/>
      </c>
      <c r="G57" s="100">
        <f>IFERROR(IF($L57&gt;0,IF(INDEX('Invullen groen'!$I:$I,$L57)=0,"",INT(INDEX('Invullen groen'!$I:$I,$L57))),""),"")</f>
        <v/>
      </c>
      <c r="H57" s="100">
        <f>IFERROR(IF($L57&gt;0,IF(INDEX('Invullen groen'!$J:$J,$L57)=0,"",INT(INDEX('Invullen groen'!$J:$J,$L57))),""),"")</f>
        <v/>
      </c>
      <c r="I57" s="100">
        <f>IFERROR(IF($L57&gt;0,IF(INDEX('Invullen groen'!$K:$K,$L57)=0,"",INT(INDEX('Invullen groen'!$K:$K,$L57))),""),"")</f>
        <v/>
      </c>
      <c r="J57" s="78">
        <f>IF($L57&gt;0,IFERROR($K$1&amp;" "&amp;TRIM(SUBSTITUTE(SUBSTITUTE(SUBSTITUTE(SUBSTITUTE(SUBSTITUTE(SUBSTITUTE(SUBSTITUTE(SUBSTITUTE(SUBSTITUTE(SUBSTITUTE(SUBSTITUTE(SUBSTITUTE(LOWER(INDEX('Invullen groen'!$O:$O,$L57)),"2024",""),"2025",""),"2026",""),"2027",""),"2028",""),"2029",""),"taakveld ",""),"installaties","inst"),"ruwbouw","ruwb"),"afbouw","afb"),"bijstelling","bijst"),"investeringen","invest")),""),"")</f>
        <v/>
      </c>
      <c r="K57" s="78" t="n"/>
      <c r="L57" s="37">
        <f>IFERROR(MATCH(ROW()-4,'Invullen groen'!$P$17:$P$109,0)+16,0)</f>
        <v/>
      </c>
      <c r="M57" s="37" t="n"/>
      <c r="N57" s="37" t="n"/>
    </row>
    <row r="58" hidden="1" ht="15" customHeight="1" s="402">
      <c r="A58" s="77">
        <f>IFERROR(IF($L58&gt;0,INDEX('Invullen groen'!$E:$E,$L58),""),"")</f>
        <v/>
      </c>
      <c r="B58" s="77">
        <f>IFERROR(IF($L58&gt;0,IF(INDEX('Invullen groen'!$F:$F,$L58)&gt;0,INDEX('Invullen groen'!$F:$F,$L58),""),""),"")</f>
        <v/>
      </c>
      <c r="C58" s="77">
        <f>IFERROR(IF($L58&gt;0,IF(INDEX('Invullen groen'!$N:$N,$L58)&gt;0,INDEX('Invullen groen'!$N:$N,$L58),""),""),"")</f>
        <v/>
      </c>
      <c r="D58" s="77" t="n"/>
      <c r="E58" s="77">
        <f>IFERROR(IF(LEN(J58)&lt;=36,J58,IFERROR(LEFT(J58,FIND(CHAR(1),SUBSTITUTE(LEFT(J58,36)," ",CHAR(1),LEN(LEFT(J58,36))-LEN(SUBSTITUTE(LEFT(J58,36)," ",""))))-1),LEFT(J58,36))),"")</f>
        <v/>
      </c>
      <c r="F58" s="101">
        <f>IFERROR(IF($L58&gt;0,IF(INDEX('Invullen groen'!$H:$H,$L58)=0,"",INT(INDEX('Invullen groen'!$H:$H,$L58))),""),"")</f>
        <v/>
      </c>
      <c r="G58" s="101">
        <f>IFERROR(IF($L58&gt;0,IF(INDEX('Invullen groen'!$I:$I,$L58)=0,"",INT(INDEX('Invullen groen'!$I:$I,$L58))),""),"")</f>
        <v/>
      </c>
      <c r="H58" s="101">
        <f>IFERROR(IF($L58&gt;0,IF(INDEX('Invullen groen'!$J:$J,$L58)=0,"",INT(INDEX('Invullen groen'!$J:$J,$L58))),""),"")</f>
        <v/>
      </c>
      <c r="I58" s="101">
        <f>IFERROR(IF($L58&gt;0,IF(INDEX('Invullen groen'!$K:$K,$L58)=0,"",INT(INDEX('Invullen groen'!$K:$K,$L58))),""),"")</f>
        <v/>
      </c>
      <c r="J58" s="77">
        <f>IF($L58&gt;0,IFERROR($K$1&amp;" "&amp;TRIM(SUBSTITUTE(SUBSTITUTE(SUBSTITUTE(SUBSTITUTE(SUBSTITUTE(SUBSTITUTE(SUBSTITUTE(SUBSTITUTE(SUBSTITUTE(SUBSTITUTE(SUBSTITUTE(SUBSTITUTE(LOWER(INDEX('Invullen groen'!$O:$O,$L58)),"2024",""),"2025",""),"2026",""),"2027",""),"2028",""),"2029",""),"taakveld ",""),"installaties","inst"),"ruwbouw","ruwb"),"afbouw","afb"),"bijstelling","bijst"),"investeringen","invest")),""),"")</f>
        <v/>
      </c>
      <c r="K58" s="77" t="n"/>
      <c r="L58" s="37">
        <f>IFERROR(MATCH(ROW()-4,'Invullen groen'!$P$17:$P$109,0)+16,0)</f>
        <v/>
      </c>
      <c r="M58" s="37" t="n"/>
      <c r="N58" s="37" t="n"/>
    </row>
    <row r="59" hidden="1" ht="15" customHeight="1" s="402">
      <c r="A59" s="78">
        <f>IFERROR(IF($L59&gt;0,INDEX('Invullen groen'!$E:$E,$L59),""),"")</f>
        <v/>
      </c>
      <c r="B59" s="78">
        <f>IFERROR(IF($L59&gt;0,IF(INDEX('Invullen groen'!$F:$F,$L59)&gt;0,INDEX('Invullen groen'!$F:$F,$L59),""),""),"")</f>
        <v/>
      </c>
      <c r="C59" s="78">
        <f>IFERROR(IF($L59&gt;0,IF(INDEX('Invullen groen'!$N:$N,$L59)&gt;0,INDEX('Invullen groen'!$N:$N,$L59),""),""),"")</f>
        <v/>
      </c>
      <c r="D59" s="78" t="n"/>
      <c r="E59" s="78">
        <f>IFERROR(IF(LEN(J59)&lt;=36,J59,IFERROR(LEFT(J59,FIND(CHAR(1),SUBSTITUTE(LEFT(J59,36)," ",CHAR(1),LEN(LEFT(J59,36))-LEN(SUBSTITUTE(LEFT(J59,36)," ",""))))-1),LEFT(J59,36))),"")</f>
        <v/>
      </c>
      <c r="F59" s="100">
        <f>IFERROR(IF($L59&gt;0,IF(INDEX('Invullen groen'!$H:$H,$L59)=0,"",INT(INDEX('Invullen groen'!$H:$H,$L59))),""),"")</f>
        <v/>
      </c>
      <c r="G59" s="100">
        <f>IFERROR(IF($L59&gt;0,IF(INDEX('Invullen groen'!$I:$I,$L59)=0,"",INT(INDEX('Invullen groen'!$I:$I,$L59))),""),"")</f>
        <v/>
      </c>
      <c r="H59" s="100">
        <f>IFERROR(IF($L59&gt;0,IF(INDEX('Invullen groen'!$J:$J,$L59)=0,"",INT(INDEX('Invullen groen'!$J:$J,$L59))),""),"")</f>
        <v/>
      </c>
      <c r="I59" s="100">
        <f>IFERROR(IF($L59&gt;0,IF(INDEX('Invullen groen'!$K:$K,$L59)=0,"",INT(INDEX('Invullen groen'!$K:$K,$L59))),""),"")</f>
        <v/>
      </c>
      <c r="J59" s="78">
        <f>IF($L59&gt;0,IFERROR($K$1&amp;" "&amp;TRIM(SUBSTITUTE(SUBSTITUTE(SUBSTITUTE(SUBSTITUTE(SUBSTITUTE(SUBSTITUTE(SUBSTITUTE(SUBSTITUTE(SUBSTITUTE(SUBSTITUTE(SUBSTITUTE(SUBSTITUTE(LOWER(INDEX('Invullen groen'!$O:$O,$L59)),"2024",""),"2025",""),"2026",""),"2027",""),"2028",""),"2029",""),"taakveld ",""),"installaties","inst"),"ruwbouw","ruwb"),"afbouw","afb"),"bijstelling","bijst"),"investeringen","invest")),""),"")</f>
        <v/>
      </c>
      <c r="K59" s="78" t="n"/>
      <c r="L59" s="37">
        <f>IFERROR(MATCH(ROW()-4,'Invullen groen'!$P$17:$P$109,0)+16,0)</f>
        <v/>
      </c>
      <c r="M59" s="37" t="n"/>
      <c r="N59" s="37" t="n"/>
    </row>
    <row r="60" hidden="1" ht="15" customHeight="1" s="402">
      <c r="A60" s="77">
        <f>IFERROR(IF($L60&gt;0,INDEX('Invullen groen'!$E:$E,$L60),""),"")</f>
        <v/>
      </c>
      <c r="B60" s="77">
        <f>IFERROR(IF($L60&gt;0,IF(INDEX('Invullen groen'!$F:$F,$L60)&gt;0,INDEX('Invullen groen'!$F:$F,$L60),""),""),"")</f>
        <v/>
      </c>
      <c r="C60" s="77">
        <f>IFERROR(IF($L60&gt;0,IF(INDEX('Invullen groen'!$N:$N,$L60)&gt;0,INDEX('Invullen groen'!$N:$N,$L60),""),""),"")</f>
        <v/>
      </c>
      <c r="D60" s="77" t="n"/>
      <c r="E60" s="77">
        <f>IFERROR(IF(LEN(J60)&lt;=36,J60,IFERROR(LEFT(J60,FIND(CHAR(1),SUBSTITUTE(LEFT(J60,36)," ",CHAR(1),LEN(LEFT(J60,36))-LEN(SUBSTITUTE(LEFT(J60,36)," ",""))))-1),LEFT(J60,36))),"")</f>
        <v/>
      </c>
      <c r="F60" s="101">
        <f>IFERROR(IF($L60&gt;0,IF(INDEX('Invullen groen'!$H:$H,$L60)=0,"",INT(INDEX('Invullen groen'!$H:$H,$L60))),""),"")</f>
        <v/>
      </c>
      <c r="G60" s="101">
        <f>IFERROR(IF($L60&gt;0,IF(INDEX('Invullen groen'!$I:$I,$L60)=0,"",INT(INDEX('Invullen groen'!$I:$I,$L60))),""),"")</f>
        <v/>
      </c>
      <c r="H60" s="101">
        <f>IFERROR(IF($L60&gt;0,IF(INDEX('Invullen groen'!$J:$J,$L60)=0,"",INT(INDEX('Invullen groen'!$J:$J,$L60))),""),"")</f>
        <v/>
      </c>
      <c r="I60" s="101">
        <f>IFERROR(IF($L60&gt;0,IF(INDEX('Invullen groen'!$K:$K,$L60)=0,"",INT(INDEX('Invullen groen'!$K:$K,$L60))),""),"")</f>
        <v/>
      </c>
      <c r="J60" s="77">
        <f>IF($L60&gt;0,IFERROR($K$1&amp;" "&amp;TRIM(SUBSTITUTE(SUBSTITUTE(SUBSTITUTE(SUBSTITUTE(SUBSTITUTE(SUBSTITUTE(SUBSTITUTE(SUBSTITUTE(SUBSTITUTE(SUBSTITUTE(SUBSTITUTE(SUBSTITUTE(LOWER(INDEX('Invullen groen'!$O:$O,$L60)),"2024",""),"2025",""),"2026",""),"2027",""),"2028",""),"2029",""),"taakveld ",""),"installaties","inst"),"ruwbouw","ruwb"),"afbouw","afb"),"bijstelling","bijst"),"investeringen","invest")),""),"")</f>
        <v/>
      </c>
      <c r="K60" s="77" t="n"/>
      <c r="L60" s="37">
        <f>IFERROR(MATCH(ROW()-4,'Invullen groen'!$P$17:$P$109,0)+16,0)</f>
        <v/>
      </c>
      <c r="M60" s="37" t="n"/>
      <c r="N60" s="37" t="n"/>
    </row>
    <row r="61" hidden="1" ht="15" customHeight="1" s="402">
      <c r="A61" s="78">
        <f>IFERROR(IF($L61&gt;0,INDEX('Invullen groen'!$E:$E,$L61),""),"")</f>
        <v/>
      </c>
      <c r="B61" s="78">
        <f>IFERROR(IF($L61&gt;0,IF(INDEX('Invullen groen'!$F:$F,$L61)&gt;0,INDEX('Invullen groen'!$F:$F,$L61),""),""),"")</f>
        <v/>
      </c>
      <c r="C61" s="78">
        <f>IFERROR(IF($L61&gt;0,IF(INDEX('Invullen groen'!$N:$N,$L61)&gt;0,INDEX('Invullen groen'!$N:$N,$L61),""),""),"")</f>
        <v/>
      </c>
      <c r="D61" s="78" t="n"/>
      <c r="E61" s="78">
        <f>IFERROR(IF(LEN(J61)&lt;=36,J61,IFERROR(LEFT(J61,FIND(CHAR(1),SUBSTITUTE(LEFT(J61,36)," ",CHAR(1),LEN(LEFT(J61,36))-LEN(SUBSTITUTE(LEFT(J61,36)," ",""))))-1),LEFT(J61,36))),"")</f>
        <v/>
      </c>
      <c r="F61" s="100">
        <f>IFERROR(IF($L61&gt;0,IF(INDEX('Invullen groen'!$H:$H,$L61)=0,"",INT(INDEX('Invullen groen'!$H:$H,$L61))),""),"")</f>
        <v/>
      </c>
      <c r="G61" s="100">
        <f>IFERROR(IF($L61&gt;0,IF(INDEX('Invullen groen'!$I:$I,$L61)=0,"",INT(INDEX('Invullen groen'!$I:$I,$L61))),""),"")</f>
        <v/>
      </c>
      <c r="H61" s="100">
        <f>IFERROR(IF($L61&gt;0,IF(INDEX('Invullen groen'!$J:$J,$L61)=0,"",INT(INDEX('Invullen groen'!$J:$J,$L61))),""),"")</f>
        <v/>
      </c>
      <c r="I61" s="100">
        <f>IFERROR(IF($L61&gt;0,IF(INDEX('Invullen groen'!$K:$K,$L61)=0,"",INT(INDEX('Invullen groen'!$K:$K,$L61))),""),"")</f>
        <v/>
      </c>
      <c r="J61" s="78">
        <f>IF($L61&gt;0,IFERROR($K$1&amp;" "&amp;TRIM(SUBSTITUTE(SUBSTITUTE(SUBSTITUTE(SUBSTITUTE(SUBSTITUTE(SUBSTITUTE(SUBSTITUTE(SUBSTITUTE(SUBSTITUTE(SUBSTITUTE(SUBSTITUTE(SUBSTITUTE(LOWER(INDEX('Invullen groen'!$O:$O,$L61)),"2024",""),"2025",""),"2026",""),"2027",""),"2028",""),"2029",""),"taakveld ",""),"installaties","inst"),"ruwbouw","ruwb"),"afbouw","afb"),"bijstelling","bijst"),"investeringen","invest")),""),"")</f>
        <v/>
      </c>
      <c r="K61" s="78" t="n"/>
      <c r="L61" s="37">
        <f>IFERROR(MATCH(ROW()-4,'Invullen groen'!$P$17:$P$109,0)+16,0)</f>
        <v/>
      </c>
      <c r="M61" s="37" t="n"/>
      <c r="N61" s="37" t="n"/>
    </row>
    <row r="62" hidden="1" ht="15" customHeight="1" s="402">
      <c r="A62" s="77">
        <f>IFERROR(IF($L62&gt;0,INDEX('Invullen groen'!$E:$E,$L62),""),"")</f>
        <v/>
      </c>
      <c r="B62" s="77">
        <f>IFERROR(IF($L62&gt;0,IF(INDEX('Invullen groen'!$F:$F,$L62)&gt;0,INDEX('Invullen groen'!$F:$F,$L62),""),""),"")</f>
        <v/>
      </c>
      <c r="C62" s="77">
        <f>IFERROR(IF($L62&gt;0,IF(INDEX('Invullen groen'!$N:$N,$L62)&gt;0,INDEX('Invullen groen'!$N:$N,$L62),""),""),"")</f>
        <v/>
      </c>
      <c r="D62" s="77" t="n"/>
      <c r="E62" s="77">
        <f>IFERROR(IF(LEN(J62)&lt;=36,J62,IFERROR(LEFT(J62,FIND(CHAR(1),SUBSTITUTE(LEFT(J62,36)," ",CHAR(1),LEN(LEFT(J62,36))-LEN(SUBSTITUTE(LEFT(J62,36)," ",""))))-1),LEFT(J62,36))),"")</f>
        <v/>
      </c>
      <c r="F62" s="101">
        <f>IFERROR(IF($L62&gt;0,IF(INDEX('Invullen groen'!$H:$H,$L62)=0,"",INT(INDEX('Invullen groen'!$H:$H,$L62))),""),"")</f>
        <v/>
      </c>
      <c r="G62" s="101">
        <f>IFERROR(IF($L62&gt;0,IF(INDEX('Invullen groen'!$I:$I,$L62)=0,"",INT(INDEX('Invullen groen'!$I:$I,$L62))),""),"")</f>
        <v/>
      </c>
      <c r="H62" s="101">
        <f>IFERROR(IF($L62&gt;0,IF(INDEX('Invullen groen'!$J:$J,$L62)=0,"",INT(INDEX('Invullen groen'!$J:$J,$L62))),""),"")</f>
        <v/>
      </c>
      <c r="I62" s="101">
        <f>IFERROR(IF($L62&gt;0,IF(INDEX('Invullen groen'!$K:$K,$L62)=0,"",INT(INDEX('Invullen groen'!$K:$K,$L62))),""),"")</f>
        <v/>
      </c>
      <c r="J62" s="77">
        <f>IF($L62&gt;0,IFERROR($K$1&amp;" "&amp;TRIM(SUBSTITUTE(SUBSTITUTE(SUBSTITUTE(SUBSTITUTE(SUBSTITUTE(SUBSTITUTE(SUBSTITUTE(SUBSTITUTE(SUBSTITUTE(SUBSTITUTE(SUBSTITUTE(SUBSTITUTE(LOWER(INDEX('Invullen groen'!$O:$O,$L62)),"2024",""),"2025",""),"2026",""),"2027",""),"2028",""),"2029",""),"taakveld ",""),"installaties","inst"),"ruwbouw","ruwb"),"afbouw","afb"),"bijstelling","bijst"),"investeringen","invest")),""),"")</f>
        <v/>
      </c>
      <c r="K62" s="77" t="n"/>
      <c r="L62" s="37">
        <f>IFERROR(MATCH(ROW()-4,'Invullen groen'!$P$17:$P$109,0)+16,0)</f>
        <v/>
      </c>
      <c r="M62" s="37" t="n"/>
      <c r="N62" s="37" t="n"/>
    </row>
    <row r="63" hidden="1" ht="15" customHeight="1" s="402">
      <c r="A63" s="78">
        <f>IFERROR(IF($L63&gt;0,INDEX('Invullen groen'!$E:$E,$L63),""),"")</f>
        <v/>
      </c>
      <c r="B63" s="78">
        <f>IFERROR(IF($L63&gt;0,IF(INDEX('Invullen groen'!$F:$F,$L63)&gt;0,INDEX('Invullen groen'!$F:$F,$L63),""),""),"")</f>
        <v/>
      </c>
      <c r="C63" s="78">
        <f>IFERROR(IF($L63&gt;0,IF(INDEX('Invullen groen'!$N:$N,$L63)&gt;0,INDEX('Invullen groen'!$N:$N,$L63),""),""),"")</f>
        <v/>
      </c>
      <c r="D63" s="78" t="n"/>
      <c r="E63" s="78">
        <f>IFERROR(IF(LEN(J63)&lt;=36,J63,IFERROR(LEFT(J63,FIND(CHAR(1),SUBSTITUTE(LEFT(J63,36)," ",CHAR(1),LEN(LEFT(J63,36))-LEN(SUBSTITUTE(LEFT(J63,36)," ",""))))-1),LEFT(J63,36))),"")</f>
        <v/>
      </c>
      <c r="F63" s="100">
        <f>IFERROR(IF($L63&gt;0,IF(INDEX('Invullen groen'!$H:$H,$L63)=0,"",INT(INDEX('Invullen groen'!$H:$H,$L63))),""),"")</f>
        <v/>
      </c>
      <c r="G63" s="100">
        <f>IFERROR(IF($L63&gt;0,IF(INDEX('Invullen groen'!$I:$I,$L63)=0,"",INT(INDEX('Invullen groen'!$I:$I,$L63))),""),"")</f>
        <v/>
      </c>
      <c r="H63" s="100">
        <f>IFERROR(IF($L63&gt;0,IF(INDEX('Invullen groen'!$J:$J,$L63)=0,"",INT(INDEX('Invullen groen'!$J:$J,$L63))),""),"")</f>
        <v/>
      </c>
      <c r="I63" s="100">
        <f>IFERROR(IF($L63&gt;0,IF(INDEX('Invullen groen'!$K:$K,$L63)=0,"",INT(INDEX('Invullen groen'!$K:$K,$L63))),""),"")</f>
        <v/>
      </c>
      <c r="J63" s="78">
        <f>IF($L63&gt;0,IFERROR($K$1&amp;" "&amp;TRIM(SUBSTITUTE(SUBSTITUTE(SUBSTITUTE(SUBSTITUTE(SUBSTITUTE(SUBSTITUTE(SUBSTITUTE(SUBSTITUTE(SUBSTITUTE(SUBSTITUTE(SUBSTITUTE(SUBSTITUTE(LOWER(INDEX('Invullen groen'!$O:$O,$L63)),"2024",""),"2025",""),"2026",""),"2027",""),"2028",""),"2029",""),"taakveld ",""),"installaties","inst"),"ruwbouw","ruwb"),"afbouw","afb"),"bijstelling","bijst"),"investeringen","invest")),""),"")</f>
        <v/>
      </c>
      <c r="K63" s="78" t="n"/>
      <c r="L63" s="37">
        <f>IFERROR(MATCH(ROW()-4,'Invullen groen'!$P$17:$P$109,0)+16,0)</f>
        <v/>
      </c>
      <c r="M63" s="37" t="n"/>
      <c r="N63" s="37" t="n"/>
    </row>
    <row r="64" hidden="1" ht="15" customHeight="1" s="402">
      <c r="A64" s="77">
        <f>IFERROR(IF($L64&gt;0,INDEX('Invullen groen'!$E:$E,$L64),""),"")</f>
        <v/>
      </c>
      <c r="B64" s="77">
        <f>IFERROR(IF($L64&gt;0,IF(INDEX('Invullen groen'!$F:$F,$L64)&gt;0,INDEX('Invullen groen'!$F:$F,$L64),""),""),"")</f>
        <v/>
      </c>
      <c r="C64" s="77">
        <f>IFERROR(IF($L64&gt;0,IF(INDEX('Invullen groen'!$N:$N,$L64)&gt;0,INDEX('Invullen groen'!$N:$N,$L64),""),""),"")</f>
        <v/>
      </c>
      <c r="D64" s="77" t="n"/>
      <c r="E64" s="77">
        <f>IFERROR(IF(LEN(J64)&lt;=36,J64,IFERROR(LEFT(J64,FIND(CHAR(1),SUBSTITUTE(LEFT(J64,36)," ",CHAR(1),LEN(LEFT(J64,36))-LEN(SUBSTITUTE(LEFT(J64,36)," ",""))))-1),LEFT(J64,36))),"")</f>
        <v/>
      </c>
      <c r="F64" s="101">
        <f>IFERROR(IF($L64&gt;0,IF(INDEX('Invullen groen'!$H:$H,$L64)=0,"",INT(INDEX('Invullen groen'!$H:$H,$L64))),""),"")</f>
        <v/>
      </c>
      <c r="G64" s="101">
        <f>IFERROR(IF($L64&gt;0,IF(INDEX('Invullen groen'!$I:$I,$L64)=0,"",INT(INDEX('Invullen groen'!$I:$I,$L64))),""),"")</f>
        <v/>
      </c>
      <c r="H64" s="101">
        <f>IFERROR(IF($L64&gt;0,IF(INDEX('Invullen groen'!$J:$J,$L64)=0,"",INT(INDEX('Invullen groen'!$J:$J,$L64))),""),"")</f>
        <v/>
      </c>
      <c r="I64" s="101">
        <f>IFERROR(IF($L64&gt;0,IF(INDEX('Invullen groen'!$K:$K,$L64)=0,"",INT(INDEX('Invullen groen'!$K:$K,$L64))),""),"")</f>
        <v/>
      </c>
      <c r="J64" s="77">
        <f>IF($L64&gt;0,IFERROR($K$1&amp;" "&amp;TRIM(SUBSTITUTE(SUBSTITUTE(SUBSTITUTE(SUBSTITUTE(SUBSTITUTE(SUBSTITUTE(SUBSTITUTE(SUBSTITUTE(SUBSTITUTE(SUBSTITUTE(SUBSTITUTE(SUBSTITUTE(LOWER(INDEX('Invullen groen'!$O:$O,$L64)),"2024",""),"2025",""),"2026",""),"2027",""),"2028",""),"2029",""),"taakveld ",""),"installaties","inst"),"ruwbouw","ruwb"),"afbouw","afb"),"bijstelling","bijst"),"investeringen","invest")),""),"")</f>
        <v/>
      </c>
      <c r="K64" s="77" t="n"/>
      <c r="L64" s="37">
        <f>IFERROR(MATCH(ROW()-4,'Invullen groen'!$P$17:$P$109,0)+16,0)</f>
        <v/>
      </c>
      <c r="M64" s="37" t="n"/>
      <c r="N64" s="37" t="n"/>
    </row>
    <row r="65" hidden="1" ht="15" customHeight="1" s="402">
      <c r="A65" s="78">
        <f>IFERROR(IF($L65&gt;0,INDEX('Invullen groen'!$E:$E,$L65),""),"")</f>
        <v/>
      </c>
      <c r="B65" s="78">
        <f>IFERROR(IF($L65&gt;0,IF(INDEX('Invullen groen'!$F:$F,$L65)&gt;0,INDEX('Invullen groen'!$F:$F,$L65),""),""),"")</f>
        <v/>
      </c>
      <c r="C65" s="78">
        <f>IFERROR(IF($L65&gt;0,IF(INDEX('Invullen groen'!$N:$N,$L65)&gt;0,INDEX('Invullen groen'!$N:$N,$L65),""),""),"")</f>
        <v/>
      </c>
      <c r="D65" s="78" t="n"/>
      <c r="E65" s="78">
        <f>IFERROR(IF(LEN(J65)&lt;=36,J65,IFERROR(LEFT(J65,FIND(CHAR(1),SUBSTITUTE(LEFT(J65,36)," ",CHAR(1),LEN(LEFT(J65,36))-LEN(SUBSTITUTE(LEFT(J65,36)," ",""))))-1),LEFT(J65,36))),"")</f>
        <v/>
      </c>
      <c r="F65" s="100">
        <f>IFERROR(IF($L65&gt;0,IF(INDEX('Invullen groen'!$H:$H,$L65)=0,"",INT(INDEX('Invullen groen'!$H:$H,$L65))),""),"")</f>
        <v/>
      </c>
      <c r="G65" s="100">
        <f>IFERROR(IF($L65&gt;0,IF(INDEX('Invullen groen'!$I:$I,$L65)=0,"",INT(INDEX('Invullen groen'!$I:$I,$L65))),""),"")</f>
        <v/>
      </c>
      <c r="H65" s="100">
        <f>IFERROR(IF($L65&gt;0,IF(INDEX('Invullen groen'!$J:$J,$L65)=0,"",INT(INDEX('Invullen groen'!$J:$J,$L65))),""),"")</f>
        <v/>
      </c>
      <c r="I65" s="100">
        <f>IFERROR(IF($L65&gt;0,IF(INDEX('Invullen groen'!$K:$K,$L65)=0,"",INT(INDEX('Invullen groen'!$K:$K,$L65))),""),"")</f>
        <v/>
      </c>
      <c r="J65" s="78">
        <f>IF($L65&gt;0,IFERROR($K$1&amp;" "&amp;TRIM(SUBSTITUTE(SUBSTITUTE(SUBSTITUTE(SUBSTITUTE(SUBSTITUTE(SUBSTITUTE(SUBSTITUTE(SUBSTITUTE(SUBSTITUTE(SUBSTITUTE(SUBSTITUTE(SUBSTITUTE(LOWER(INDEX('Invullen groen'!$O:$O,$L65)),"2024",""),"2025",""),"2026",""),"2027",""),"2028",""),"2029",""),"taakveld ",""),"installaties","inst"),"ruwbouw","ruwb"),"afbouw","afb"),"bijstelling","bijst"),"investeringen","invest")),""),"")</f>
        <v/>
      </c>
      <c r="K65" s="78" t="n"/>
      <c r="L65" s="37">
        <f>IFERROR(MATCH(ROW()-4,'Invullen groen'!$P$17:$P$109,0)+16,0)</f>
        <v/>
      </c>
      <c r="M65" s="37" t="n"/>
      <c r="N65" s="37" t="n"/>
    </row>
    <row r="66" hidden="1" ht="15" customHeight="1" s="402">
      <c r="A66" s="77">
        <f>IFERROR(IF($L66&gt;0,INDEX('Invullen groen'!$E:$E,$L66),""),"")</f>
        <v/>
      </c>
      <c r="B66" s="77">
        <f>IFERROR(IF($L66&gt;0,IF(INDEX('Invullen groen'!$F:$F,$L66)&gt;0,INDEX('Invullen groen'!$F:$F,$L66),""),""),"")</f>
        <v/>
      </c>
      <c r="C66" s="77">
        <f>IFERROR(IF($L66&gt;0,IF(INDEX('Invullen groen'!$N:$N,$L66)&gt;0,INDEX('Invullen groen'!$N:$N,$L66),""),""),"")</f>
        <v/>
      </c>
      <c r="D66" s="77" t="n"/>
      <c r="E66" s="77">
        <f>IFERROR(IF(LEN(J66)&lt;=36,J66,IFERROR(LEFT(J66,FIND(CHAR(1),SUBSTITUTE(LEFT(J66,36)," ",CHAR(1),LEN(LEFT(J66,36))-LEN(SUBSTITUTE(LEFT(J66,36)," ",""))))-1),LEFT(J66,36))),"")</f>
        <v/>
      </c>
      <c r="F66" s="101">
        <f>IFERROR(IF($L66&gt;0,IF(INDEX('Invullen groen'!$H:$H,$L66)=0,"",INT(INDEX('Invullen groen'!$H:$H,$L66))),""),"")</f>
        <v/>
      </c>
      <c r="G66" s="101">
        <f>IFERROR(IF($L66&gt;0,IF(INDEX('Invullen groen'!$I:$I,$L66)=0,"",INT(INDEX('Invullen groen'!$I:$I,$L66))),""),"")</f>
        <v/>
      </c>
      <c r="H66" s="101">
        <f>IFERROR(IF($L66&gt;0,IF(INDEX('Invullen groen'!$J:$J,$L66)=0,"",INT(INDEX('Invullen groen'!$J:$J,$L66))),""),"")</f>
        <v/>
      </c>
      <c r="I66" s="101">
        <f>IFERROR(IF($L66&gt;0,IF(INDEX('Invullen groen'!$K:$K,$L66)=0,"",INT(INDEX('Invullen groen'!$K:$K,$L66))),""),"")</f>
        <v/>
      </c>
      <c r="J66" s="77">
        <f>IF($L66&gt;0,IFERROR($K$1&amp;" "&amp;TRIM(SUBSTITUTE(SUBSTITUTE(SUBSTITUTE(SUBSTITUTE(SUBSTITUTE(SUBSTITUTE(SUBSTITUTE(SUBSTITUTE(SUBSTITUTE(SUBSTITUTE(SUBSTITUTE(SUBSTITUTE(LOWER(INDEX('Invullen groen'!$O:$O,$L66)),"2024",""),"2025",""),"2026",""),"2027",""),"2028",""),"2029",""),"taakveld ",""),"installaties","inst"),"ruwbouw","ruwb"),"afbouw","afb"),"bijstelling","bijst"),"investeringen","invest")),""),"")</f>
        <v/>
      </c>
      <c r="K66" s="77" t="n"/>
      <c r="L66" s="37">
        <f>IFERROR(MATCH(ROW()-4,'Invullen groen'!$P$17:$P$109,0)+16,0)</f>
        <v/>
      </c>
      <c r="M66" s="37" t="n"/>
      <c r="N66" s="37" t="n"/>
    </row>
    <row r="67" hidden="1" ht="15" customHeight="1" s="402">
      <c r="A67" s="78">
        <f>IFERROR(IF($L67&gt;0,INDEX('Invullen groen'!$E:$E,$L67),""),"")</f>
        <v/>
      </c>
      <c r="B67" s="78">
        <f>IFERROR(IF($L67&gt;0,IF(INDEX('Invullen groen'!$F:$F,$L67)&gt;0,INDEX('Invullen groen'!$F:$F,$L67),""),""),"")</f>
        <v/>
      </c>
      <c r="C67" s="78">
        <f>IFERROR(IF($L67&gt;0,IF(INDEX('Invullen groen'!$N:$N,$L67)&gt;0,INDEX('Invullen groen'!$N:$N,$L67),""),""),"")</f>
        <v/>
      </c>
      <c r="D67" s="78" t="n"/>
      <c r="E67" s="78">
        <f>IFERROR(IF(LEN(J67)&lt;=36,J67,IFERROR(LEFT(J67,FIND(CHAR(1),SUBSTITUTE(LEFT(J67,36)," ",CHAR(1),LEN(LEFT(J67,36))-LEN(SUBSTITUTE(LEFT(J67,36)," ",""))))-1),LEFT(J67,36))),"")</f>
        <v/>
      </c>
      <c r="F67" s="100">
        <f>IFERROR(IF($L67&gt;0,IF(INDEX('Invullen groen'!$H:$H,$L67)=0,"",INT(INDEX('Invullen groen'!$H:$H,$L67))),""),"")</f>
        <v/>
      </c>
      <c r="G67" s="100">
        <f>IFERROR(IF($L67&gt;0,IF(INDEX('Invullen groen'!$I:$I,$L67)=0,"",INT(INDEX('Invullen groen'!$I:$I,$L67))),""),"")</f>
        <v/>
      </c>
      <c r="H67" s="100">
        <f>IFERROR(IF($L67&gt;0,IF(INDEX('Invullen groen'!$J:$J,$L67)=0,"",INT(INDEX('Invullen groen'!$J:$J,$L67))),""),"")</f>
        <v/>
      </c>
      <c r="I67" s="100">
        <f>IFERROR(IF($L67&gt;0,IF(INDEX('Invullen groen'!$K:$K,$L67)=0,"",INT(INDEX('Invullen groen'!$K:$K,$L67))),""),"")</f>
        <v/>
      </c>
      <c r="J67" s="78">
        <f>IF($L67&gt;0,IFERROR($K$1&amp;" "&amp;TRIM(SUBSTITUTE(SUBSTITUTE(SUBSTITUTE(SUBSTITUTE(SUBSTITUTE(SUBSTITUTE(SUBSTITUTE(SUBSTITUTE(SUBSTITUTE(SUBSTITUTE(SUBSTITUTE(SUBSTITUTE(LOWER(INDEX('Invullen groen'!$O:$O,$L67)),"2024",""),"2025",""),"2026",""),"2027",""),"2028",""),"2029",""),"taakveld ",""),"installaties","inst"),"ruwbouw","ruwb"),"afbouw","afb"),"bijstelling","bijst"),"investeringen","invest")),""),"")</f>
        <v/>
      </c>
      <c r="K67" s="78" t="n"/>
      <c r="L67" s="37">
        <f>IFERROR(MATCH(ROW()-4,'Invullen groen'!$P$17:$P$109,0)+16,0)</f>
        <v/>
      </c>
      <c r="M67" s="37" t="n"/>
      <c r="N67" s="37" t="n"/>
    </row>
    <row r="68" hidden="1" ht="15" customHeight="1" s="402">
      <c r="A68" s="77">
        <f>IFERROR(IF($L68&gt;0,INDEX('Invullen groen'!$E:$E,$L68),""),"")</f>
        <v/>
      </c>
      <c r="B68" s="77">
        <f>IFERROR(IF($L68&gt;0,IF(INDEX('Invullen groen'!$F:$F,$L68)&gt;0,INDEX('Invullen groen'!$F:$F,$L68),""),""),"")</f>
        <v/>
      </c>
      <c r="C68" s="77">
        <f>IFERROR(IF($L68&gt;0,IF(INDEX('Invullen groen'!$N:$N,$L68)&gt;0,INDEX('Invullen groen'!$N:$N,$L68),""),""),"")</f>
        <v/>
      </c>
      <c r="D68" s="77" t="n"/>
      <c r="E68" s="77">
        <f>IFERROR(IF(LEN(J68)&lt;=36,J68,IFERROR(LEFT(J68,FIND(CHAR(1),SUBSTITUTE(LEFT(J68,36)," ",CHAR(1),LEN(LEFT(J68,36))-LEN(SUBSTITUTE(LEFT(J68,36)," ",""))))-1),LEFT(J68,36))),"")</f>
        <v/>
      </c>
      <c r="F68" s="101">
        <f>IFERROR(IF($L68&gt;0,IF(INDEX('Invullen groen'!$H:$H,$L68)=0,"",INT(INDEX('Invullen groen'!$H:$H,$L68))),""),"")</f>
        <v/>
      </c>
      <c r="G68" s="101">
        <f>IFERROR(IF($L68&gt;0,IF(INDEX('Invullen groen'!$I:$I,$L68)=0,"",INT(INDEX('Invullen groen'!$I:$I,$L68))),""),"")</f>
        <v/>
      </c>
      <c r="H68" s="101">
        <f>IFERROR(IF($L68&gt;0,IF(INDEX('Invullen groen'!$J:$J,$L68)=0,"",INT(INDEX('Invullen groen'!$J:$J,$L68))),""),"")</f>
        <v/>
      </c>
      <c r="I68" s="101">
        <f>IFERROR(IF($L68&gt;0,IF(INDEX('Invullen groen'!$K:$K,$L68)=0,"",INT(INDEX('Invullen groen'!$K:$K,$L68))),""),"")</f>
        <v/>
      </c>
      <c r="J68" s="77">
        <f>IF($L68&gt;0,IFERROR($K$1&amp;" "&amp;TRIM(SUBSTITUTE(SUBSTITUTE(SUBSTITUTE(SUBSTITUTE(SUBSTITUTE(SUBSTITUTE(SUBSTITUTE(SUBSTITUTE(SUBSTITUTE(SUBSTITUTE(SUBSTITUTE(SUBSTITUTE(LOWER(INDEX('Invullen groen'!$O:$O,$L68)),"2024",""),"2025",""),"2026",""),"2027",""),"2028",""),"2029",""),"taakveld ",""),"installaties","inst"),"ruwbouw","ruwb"),"afbouw","afb"),"bijstelling","bijst"),"investeringen","invest")),""),"")</f>
        <v/>
      </c>
      <c r="K68" s="77" t="n"/>
      <c r="L68" s="37">
        <f>IFERROR(MATCH(ROW()-4,'Invullen groen'!$P$17:$P$109,0)+16,0)</f>
        <v/>
      </c>
      <c r="M68" s="37" t="n"/>
      <c r="N68" s="37" t="n"/>
    </row>
    <row r="69" hidden="1" ht="15" customHeight="1" s="402">
      <c r="A69" s="78">
        <f>IFERROR(IF($L69&gt;0,INDEX('Invullen groen'!$E:$E,$L69),""),"")</f>
        <v/>
      </c>
      <c r="B69" s="78">
        <f>IFERROR(IF($L69&gt;0,IF(INDEX('Invullen groen'!$F:$F,$L69)&gt;0,INDEX('Invullen groen'!$F:$F,$L69),""),""),"")</f>
        <v/>
      </c>
      <c r="C69" s="78">
        <f>IFERROR(IF($L69&gt;0,IF(INDEX('Invullen groen'!$N:$N,$L69)&gt;0,INDEX('Invullen groen'!$N:$N,$L69),""),""),"")</f>
        <v/>
      </c>
      <c r="D69" s="78" t="n"/>
      <c r="E69" s="78">
        <f>IFERROR(IF(LEN(J69)&lt;=36,J69,IFERROR(LEFT(J69,FIND(CHAR(1),SUBSTITUTE(LEFT(J69,36)," ",CHAR(1),LEN(LEFT(J69,36))-LEN(SUBSTITUTE(LEFT(J69,36)," ",""))))-1),LEFT(J69,36))),"")</f>
        <v/>
      </c>
      <c r="F69" s="100">
        <f>IFERROR(IF($L69&gt;0,IF(INDEX('Invullen groen'!$H:$H,$L69)=0,"",INT(INDEX('Invullen groen'!$H:$H,$L69))),""),"")</f>
        <v/>
      </c>
      <c r="G69" s="100">
        <f>IFERROR(IF($L69&gt;0,IF(INDEX('Invullen groen'!$I:$I,$L69)=0,"",INT(INDEX('Invullen groen'!$I:$I,$L69))),""),"")</f>
        <v/>
      </c>
      <c r="H69" s="100">
        <f>IFERROR(IF($L69&gt;0,IF(INDEX('Invullen groen'!$J:$J,$L69)=0,"",INT(INDEX('Invullen groen'!$J:$J,$L69))),""),"")</f>
        <v/>
      </c>
      <c r="I69" s="100">
        <f>IFERROR(IF($L69&gt;0,IF(INDEX('Invullen groen'!$K:$K,$L69)=0,"",INT(INDEX('Invullen groen'!$K:$K,$L69))),""),"")</f>
        <v/>
      </c>
      <c r="J69" s="78">
        <f>IF($L69&gt;0,IFERROR($K$1&amp;" "&amp;TRIM(SUBSTITUTE(SUBSTITUTE(SUBSTITUTE(SUBSTITUTE(SUBSTITUTE(SUBSTITUTE(SUBSTITUTE(SUBSTITUTE(SUBSTITUTE(SUBSTITUTE(SUBSTITUTE(SUBSTITUTE(LOWER(INDEX('Invullen groen'!$O:$O,$L69)),"2024",""),"2025",""),"2026",""),"2027",""),"2028",""),"2029",""),"taakveld ",""),"installaties","inst"),"ruwbouw","ruwb"),"afbouw","afb"),"bijstelling","bijst"),"investeringen","invest")),""),"")</f>
        <v/>
      </c>
      <c r="K69" s="78" t="n"/>
      <c r="L69" s="37">
        <f>IFERROR(MATCH(ROW()-4,'Invullen groen'!$P$17:$P$109,0)+16,0)</f>
        <v/>
      </c>
      <c r="M69" s="37" t="n"/>
      <c r="N69" s="37" t="n"/>
    </row>
    <row r="70" hidden="1" ht="15" customHeight="1" s="402">
      <c r="A70" s="77">
        <f>IFERROR(IF($L70&gt;0,INDEX('Invullen groen'!$E:$E,$L70),""),"")</f>
        <v/>
      </c>
      <c r="B70" s="77">
        <f>IFERROR(IF($L70&gt;0,IF(INDEX('Invullen groen'!$F:$F,$L70)&gt;0,INDEX('Invullen groen'!$F:$F,$L70),""),""),"")</f>
        <v/>
      </c>
      <c r="C70" s="77">
        <f>IFERROR(IF($L70&gt;0,IF(INDEX('Invullen groen'!$N:$N,$L70)&gt;0,INDEX('Invullen groen'!$N:$N,$L70),""),""),"")</f>
        <v/>
      </c>
      <c r="D70" s="77" t="n"/>
      <c r="E70" s="77">
        <f>IFERROR(IF(LEN(J70)&lt;=36,J70,IFERROR(LEFT(J70,FIND(CHAR(1),SUBSTITUTE(LEFT(J70,36)," ",CHAR(1),LEN(LEFT(J70,36))-LEN(SUBSTITUTE(LEFT(J70,36)," ",""))))-1),LEFT(J70,36))),"")</f>
        <v/>
      </c>
      <c r="F70" s="101">
        <f>IFERROR(IF($L70&gt;0,IF(INDEX('Invullen groen'!$H:$H,$L70)=0,"",INT(INDEX('Invullen groen'!$H:$H,$L70))),""),"")</f>
        <v/>
      </c>
      <c r="G70" s="101">
        <f>IFERROR(IF($L70&gt;0,IF(INDEX('Invullen groen'!$I:$I,$L70)=0,"",INT(INDEX('Invullen groen'!$I:$I,$L70))),""),"")</f>
        <v/>
      </c>
      <c r="H70" s="101">
        <f>IFERROR(IF($L70&gt;0,IF(INDEX('Invullen groen'!$J:$J,$L70)=0,"",INT(INDEX('Invullen groen'!$J:$J,$L70))),""),"")</f>
        <v/>
      </c>
      <c r="I70" s="101">
        <f>IFERROR(IF($L70&gt;0,IF(INDEX('Invullen groen'!$K:$K,$L70)=0,"",INT(INDEX('Invullen groen'!$K:$K,$L70))),""),"")</f>
        <v/>
      </c>
      <c r="J70" s="77">
        <f>IF($L70&gt;0,IFERROR($K$1&amp;" "&amp;TRIM(SUBSTITUTE(SUBSTITUTE(SUBSTITUTE(SUBSTITUTE(SUBSTITUTE(SUBSTITUTE(SUBSTITUTE(SUBSTITUTE(SUBSTITUTE(SUBSTITUTE(SUBSTITUTE(SUBSTITUTE(LOWER(INDEX('Invullen groen'!$O:$O,$L70)),"2024",""),"2025",""),"2026",""),"2027",""),"2028",""),"2029",""),"taakveld ",""),"installaties","inst"),"ruwbouw","ruwb"),"afbouw","afb"),"bijstelling","bijst"),"investeringen","invest")),""),"")</f>
        <v/>
      </c>
      <c r="K70" s="77" t="n"/>
      <c r="L70" s="37">
        <f>IFERROR(MATCH(ROW()-4,'Invullen groen'!$P$17:$P$109,0)+16,0)</f>
        <v/>
      </c>
      <c r="M70" s="37" t="n"/>
      <c r="N70" s="37" t="n"/>
    </row>
    <row r="71" hidden="1" ht="15" customHeight="1" s="402">
      <c r="A71" s="78">
        <f>IFERROR(IF($L71&gt;0,INDEX('Invullen groen'!$E:$E,$L71),""),"")</f>
        <v/>
      </c>
      <c r="B71" s="78">
        <f>IFERROR(IF($L71&gt;0,IF(INDEX('Invullen groen'!$F:$F,$L71)&gt;0,INDEX('Invullen groen'!$F:$F,$L71),""),""),"")</f>
        <v/>
      </c>
      <c r="C71" s="78">
        <f>IFERROR(IF($L71&gt;0,IF(INDEX('Invullen groen'!$N:$N,$L71)&gt;0,INDEX('Invullen groen'!$N:$N,$L71),""),""),"")</f>
        <v/>
      </c>
      <c r="D71" s="78" t="n"/>
      <c r="E71" s="78">
        <f>IFERROR(IF(LEN(J71)&lt;=36,J71,IFERROR(LEFT(J71,FIND(CHAR(1),SUBSTITUTE(LEFT(J71,36)," ",CHAR(1),LEN(LEFT(J71,36))-LEN(SUBSTITUTE(LEFT(J71,36)," ",""))))-1),LEFT(J71,36))),"")</f>
        <v/>
      </c>
      <c r="F71" s="100">
        <f>IFERROR(IF($L71&gt;0,IF(INDEX('Invullen groen'!$H:$H,$L71)=0,"",INT(INDEX('Invullen groen'!$H:$H,$L71))),""),"")</f>
        <v/>
      </c>
      <c r="G71" s="100">
        <f>IFERROR(IF($L71&gt;0,IF(INDEX('Invullen groen'!$I:$I,$L71)=0,"",INT(INDEX('Invullen groen'!$I:$I,$L71))),""),"")</f>
        <v/>
      </c>
      <c r="H71" s="100">
        <f>IFERROR(IF($L71&gt;0,IF(INDEX('Invullen groen'!$J:$J,$L71)=0,"",INT(INDEX('Invullen groen'!$J:$J,$L71))),""),"")</f>
        <v/>
      </c>
      <c r="I71" s="100">
        <f>IFERROR(IF($L71&gt;0,IF(INDEX('Invullen groen'!$K:$K,$L71)=0,"",INT(INDEX('Invullen groen'!$K:$K,$L71))),""),"")</f>
        <v/>
      </c>
      <c r="J71" s="78">
        <f>IF($L71&gt;0,IFERROR($K$1&amp;" "&amp;TRIM(SUBSTITUTE(SUBSTITUTE(SUBSTITUTE(SUBSTITUTE(SUBSTITUTE(SUBSTITUTE(SUBSTITUTE(SUBSTITUTE(SUBSTITUTE(SUBSTITUTE(SUBSTITUTE(SUBSTITUTE(LOWER(INDEX('Invullen groen'!$O:$O,$L71)),"2024",""),"2025",""),"2026",""),"2027",""),"2028",""),"2029",""),"taakveld ",""),"installaties","inst"),"ruwbouw","ruwb"),"afbouw","afb"),"bijstelling","bijst"),"investeringen","invest")),""),"")</f>
        <v/>
      </c>
      <c r="K71" s="78" t="n"/>
      <c r="L71" s="37">
        <f>IFERROR(MATCH(ROW()-4,'Invullen groen'!$P$17:$P$109,0)+16,0)</f>
        <v/>
      </c>
      <c r="M71" s="37" t="n"/>
      <c r="N71" s="37" t="n"/>
    </row>
    <row r="72" hidden="1" ht="15" customHeight="1" s="402">
      <c r="A72" s="77">
        <f>IFERROR(IF($L72&gt;0,INDEX('Invullen groen'!$E:$E,$L72),""),"")</f>
        <v/>
      </c>
      <c r="B72" s="77">
        <f>IFERROR(IF($L72&gt;0,IF(INDEX('Invullen groen'!$F:$F,$L72)&gt;0,INDEX('Invullen groen'!$F:$F,$L72),""),""),"")</f>
        <v/>
      </c>
      <c r="C72" s="77">
        <f>IFERROR(IF($L72&gt;0,IF(INDEX('Invullen groen'!$N:$N,$L72)&gt;0,INDEX('Invullen groen'!$N:$N,$L72),""),""),"")</f>
        <v/>
      </c>
      <c r="D72" s="77" t="n"/>
      <c r="E72" s="77">
        <f>IFERROR(IF(LEN(J72)&lt;=36,J72,IFERROR(LEFT(J72,FIND(CHAR(1),SUBSTITUTE(LEFT(J72,36)," ",CHAR(1),LEN(LEFT(J72,36))-LEN(SUBSTITUTE(LEFT(J72,36)," ",""))))-1),LEFT(J72,36))),"")</f>
        <v/>
      </c>
      <c r="F72" s="101">
        <f>IFERROR(IF($L72&gt;0,IF(INDEX('Invullen groen'!$H:$H,$L72)=0,"",INT(INDEX('Invullen groen'!$H:$H,$L72))),""),"")</f>
        <v/>
      </c>
      <c r="G72" s="101">
        <f>IFERROR(IF($L72&gt;0,IF(INDEX('Invullen groen'!$I:$I,$L72)=0,"",INT(INDEX('Invullen groen'!$I:$I,$L72))),""),"")</f>
        <v/>
      </c>
      <c r="H72" s="101">
        <f>IFERROR(IF($L72&gt;0,IF(INDEX('Invullen groen'!$J:$J,$L72)=0,"",INT(INDEX('Invullen groen'!$J:$J,$L72))),""),"")</f>
        <v/>
      </c>
      <c r="I72" s="101">
        <f>IFERROR(IF($L72&gt;0,IF(INDEX('Invullen groen'!$K:$K,$L72)=0,"",INT(INDEX('Invullen groen'!$K:$K,$L72))),""),"")</f>
        <v/>
      </c>
      <c r="J72" s="77">
        <f>IF($L72&gt;0,IFERROR($K$1&amp;" "&amp;TRIM(SUBSTITUTE(SUBSTITUTE(SUBSTITUTE(SUBSTITUTE(SUBSTITUTE(SUBSTITUTE(SUBSTITUTE(SUBSTITUTE(SUBSTITUTE(SUBSTITUTE(SUBSTITUTE(SUBSTITUTE(LOWER(INDEX('Invullen groen'!$O:$O,$L72)),"2024",""),"2025",""),"2026",""),"2027",""),"2028",""),"2029",""),"taakveld ",""),"installaties","inst"),"ruwbouw","ruwb"),"afbouw","afb"),"bijstelling","bijst"),"investeringen","invest")),""),"")</f>
        <v/>
      </c>
      <c r="K72" s="77" t="n"/>
      <c r="L72" s="37">
        <f>IFERROR(MATCH(ROW()-4,'Invullen groen'!$P$17:$P$109,0)+16,0)</f>
        <v/>
      </c>
      <c r="M72" s="37" t="n"/>
      <c r="N72" s="37" t="n"/>
    </row>
    <row r="73" hidden="1" ht="15" customHeight="1" s="402">
      <c r="A73" s="78">
        <f>IFERROR(IF($L73&gt;0,INDEX('Invullen groen'!$E:$E,$L73),""),"")</f>
        <v/>
      </c>
      <c r="B73" s="78">
        <f>IFERROR(IF($L73&gt;0,IF(INDEX('Invullen groen'!$F:$F,$L73)&gt;0,INDEX('Invullen groen'!$F:$F,$L73),""),""),"")</f>
        <v/>
      </c>
      <c r="C73" s="78">
        <f>IFERROR(IF($L73&gt;0,IF(INDEX('Invullen groen'!$N:$N,$L73)&gt;0,INDEX('Invullen groen'!$N:$N,$L73),""),""),"")</f>
        <v/>
      </c>
      <c r="D73" s="78" t="n"/>
      <c r="E73" s="78">
        <f>IFERROR(IF(LEN(J73)&lt;=36,J73,IFERROR(LEFT(J73,FIND(CHAR(1),SUBSTITUTE(LEFT(J73,36)," ",CHAR(1),LEN(LEFT(J73,36))-LEN(SUBSTITUTE(LEFT(J73,36)," ",""))))-1),LEFT(J73,36))),"")</f>
        <v/>
      </c>
      <c r="F73" s="100">
        <f>IFERROR(IF($L73&gt;0,IF(INDEX('Invullen groen'!$H:$H,$L73)=0,"",INT(INDEX('Invullen groen'!$H:$H,$L73))),""),"")</f>
        <v/>
      </c>
      <c r="G73" s="100">
        <f>IFERROR(IF($L73&gt;0,IF(INDEX('Invullen groen'!$I:$I,$L73)=0,"",INT(INDEX('Invullen groen'!$I:$I,$L73))),""),"")</f>
        <v/>
      </c>
      <c r="H73" s="100">
        <f>IFERROR(IF($L73&gt;0,IF(INDEX('Invullen groen'!$J:$J,$L73)=0,"",INT(INDEX('Invullen groen'!$J:$J,$L73))),""),"")</f>
        <v/>
      </c>
      <c r="I73" s="100">
        <f>IFERROR(IF($L73&gt;0,IF(INDEX('Invullen groen'!$K:$K,$L73)=0,"",INT(INDEX('Invullen groen'!$K:$K,$L73))),""),"")</f>
        <v/>
      </c>
      <c r="J73" s="78">
        <f>IF($L73&gt;0,IFERROR($K$1&amp;" "&amp;TRIM(SUBSTITUTE(SUBSTITUTE(SUBSTITUTE(SUBSTITUTE(SUBSTITUTE(SUBSTITUTE(SUBSTITUTE(SUBSTITUTE(SUBSTITUTE(SUBSTITUTE(SUBSTITUTE(SUBSTITUTE(LOWER(INDEX('Invullen groen'!$O:$O,$L73)),"2024",""),"2025",""),"2026",""),"2027",""),"2028",""),"2029",""),"taakveld ",""),"installaties","inst"),"ruwbouw","ruwb"),"afbouw","afb"),"bijstelling","bijst"),"investeringen","invest")),""),"")</f>
        <v/>
      </c>
      <c r="K73" s="78" t="n"/>
      <c r="L73" s="37">
        <f>IFERROR(MATCH(ROW()-4,'Invullen groen'!$P$17:$P$109,0)+16,0)</f>
        <v/>
      </c>
      <c r="M73" s="37" t="n"/>
      <c r="N73" s="37" t="n"/>
    </row>
    <row r="74" hidden="1" ht="15" customHeight="1" s="402">
      <c r="A74" s="77">
        <f>IFERROR(IF($L74&gt;0,INDEX('Invullen groen'!$E:$E,$L74),""),"")</f>
        <v/>
      </c>
      <c r="B74" s="77">
        <f>IFERROR(IF($L74&gt;0,IF(INDEX('Invullen groen'!$F:$F,$L74)&gt;0,INDEX('Invullen groen'!$F:$F,$L74),""),""),"")</f>
        <v/>
      </c>
      <c r="C74" s="77">
        <f>IFERROR(IF($L74&gt;0,IF(INDEX('Invullen groen'!$N:$N,$L74)&gt;0,INDEX('Invullen groen'!$N:$N,$L74),""),""),"")</f>
        <v/>
      </c>
      <c r="D74" s="77" t="n"/>
      <c r="E74" s="77">
        <f>IFERROR(IF(LEN(J74)&lt;=36,J74,IFERROR(LEFT(J74,FIND(CHAR(1),SUBSTITUTE(LEFT(J74,36)," ",CHAR(1),LEN(LEFT(J74,36))-LEN(SUBSTITUTE(LEFT(J74,36)," ",""))))-1),LEFT(J74,36))),"")</f>
        <v/>
      </c>
      <c r="F74" s="101">
        <f>IFERROR(IF($L74&gt;0,IF(INDEX('Invullen groen'!$H:$H,$L74)=0,"",INT(INDEX('Invullen groen'!$H:$H,$L74))),""),"")</f>
        <v/>
      </c>
      <c r="G74" s="101">
        <f>IFERROR(IF($L74&gt;0,IF(INDEX('Invullen groen'!$I:$I,$L74)=0,"",INT(INDEX('Invullen groen'!$I:$I,$L74))),""),"")</f>
        <v/>
      </c>
      <c r="H74" s="101">
        <f>IFERROR(IF($L74&gt;0,IF(INDEX('Invullen groen'!$J:$J,$L74)=0,"",INT(INDEX('Invullen groen'!$J:$J,$L74))),""),"")</f>
        <v/>
      </c>
      <c r="I74" s="101">
        <f>IFERROR(IF($L74&gt;0,IF(INDEX('Invullen groen'!$K:$K,$L74)=0,"",INT(INDEX('Invullen groen'!$K:$K,$L74))),""),"")</f>
        <v/>
      </c>
      <c r="J74" s="77">
        <f>IF($L74&gt;0,IFERROR($K$1&amp;" "&amp;TRIM(SUBSTITUTE(SUBSTITUTE(SUBSTITUTE(SUBSTITUTE(SUBSTITUTE(SUBSTITUTE(SUBSTITUTE(SUBSTITUTE(SUBSTITUTE(SUBSTITUTE(SUBSTITUTE(SUBSTITUTE(LOWER(INDEX('Invullen groen'!$O:$O,$L74)),"2024",""),"2025",""),"2026",""),"2027",""),"2028",""),"2029",""),"taakveld ",""),"installaties","inst"),"ruwbouw","ruwb"),"afbouw","afb"),"bijstelling","bijst"),"investeringen","invest")),""),"")</f>
        <v/>
      </c>
      <c r="K74" s="77" t="n"/>
      <c r="L74" s="37">
        <f>IFERROR(MATCH(ROW()-4,'Invullen groen'!$P$17:$P$109,0)+16,0)</f>
        <v/>
      </c>
      <c r="M74" s="37" t="n"/>
      <c r="N74" s="37" t="n"/>
    </row>
    <row r="75" hidden="1" ht="15" customHeight="1" s="402">
      <c r="A75" s="78">
        <f>IFERROR(IF($L75&gt;0,INDEX('Invullen groen'!$E:$E,$L75),""),"")</f>
        <v/>
      </c>
      <c r="B75" s="78">
        <f>IFERROR(IF($L75&gt;0,IF(INDEX('Invullen groen'!$F:$F,$L75)&gt;0,INDEX('Invullen groen'!$F:$F,$L75),""),""),"")</f>
        <v/>
      </c>
      <c r="C75" s="78">
        <f>IFERROR(IF($L75&gt;0,IF(INDEX('Invullen groen'!$N:$N,$L75)&gt;0,INDEX('Invullen groen'!$N:$N,$L75),""),""),"")</f>
        <v/>
      </c>
      <c r="D75" s="78" t="n"/>
      <c r="E75" s="78">
        <f>IFERROR(IF(LEN(J75)&lt;=36,J75,IFERROR(LEFT(J75,FIND(CHAR(1),SUBSTITUTE(LEFT(J75,36)," ",CHAR(1),LEN(LEFT(J75,36))-LEN(SUBSTITUTE(LEFT(J75,36)," ",""))))-1),LEFT(J75,36))),"")</f>
        <v/>
      </c>
      <c r="F75" s="100">
        <f>IFERROR(IF($L75&gt;0,IF(INDEX('Invullen groen'!$H:$H,$L75)=0,"",INT(INDEX('Invullen groen'!$H:$H,$L75))),""),"")</f>
        <v/>
      </c>
      <c r="G75" s="100">
        <f>IFERROR(IF($L75&gt;0,IF(INDEX('Invullen groen'!$I:$I,$L75)=0,"",INT(INDEX('Invullen groen'!$I:$I,$L75))),""),"")</f>
        <v/>
      </c>
      <c r="H75" s="100">
        <f>IFERROR(IF($L75&gt;0,IF(INDEX('Invullen groen'!$J:$J,$L75)=0,"",INT(INDEX('Invullen groen'!$J:$J,$L75))),""),"")</f>
        <v/>
      </c>
      <c r="I75" s="100">
        <f>IFERROR(IF($L75&gt;0,IF(INDEX('Invullen groen'!$K:$K,$L75)=0,"",INT(INDEX('Invullen groen'!$K:$K,$L75))),""),"")</f>
        <v/>
      </c>
      <c r="J75" s="78">
        <f>IF($L75&gt;0,IFERROR($K$1&amp;" "&amp;TRIM(SUBSTITUTE(SUBSTITUTE(SUBSTITUTE(SUBSTITUTE(SUBSTITUTE(SUBSTITUTE(SUBSTITUTE(SUBSTITUTE(SUBSTITUTE(SUBSTITUTE(SUBSTITUTE(SUBSTITUTE(LOWER(INDEX('Invullen groen'!$O:$O,$L75)),"2024",""),"2025",""),"2026",""),"2027",""),"2028",""),"2029",""),"taakveld ",""),"installaties","inst"),"ruwbouw","ruwb"),"afbouw","afb"),"bijstelling","bijst"),"investeringen","invest")),""),"")</f>
        <v/>
      </c>
      <c r="K75" s="78" t="n"/>
      <c r="L75" s="37">
        <f>IFERROR(MATCH(ROW()-4,'Invullen groen'!$P$17:$P$109,0)+16,0)</f>
        <v/>
      </c>
      <c r="M75" s="37" t="n"/>
      <c r="N75" s="37" t="n"/>
    </row>
    <row r="76" hidden="1" ht="15" customHeight="1" s="402">
      <c r="A76" s="77">
        <f>IFERROR(IF($L76&gt;0,INDEX('Invullen groen'!$E:$E,$L76),""),"")</f>
        <v/>
      </c>
      <c r="B76" s="77">
        <f>IFERROR(IF($L76&gt;0,IF(INDEX('Invullen groen'!$F:$F,$L76)&gt;0,INDEX('Invullen groen'!$F:$F,$L76),""),""),"")</f>
        <v/>
      </c>
      <c r="C76" s="77">
        <f>IFERROR(IF($L76&gt;0,IF(INDEX('Invullen groen'!$N:$N,$L76)&gt;0,INDEX('Invullen groen'!$N:$N,$L76),""),""),"")</f>
        <v/>
      </c>
      <c r="D76" s="77" t="n"/>
      <c r="E76" s="77">
        <f>IFERROR(IF(LEN(J76)&lt;=36,J76,IFERROR(LEFT(J76,FIND(CHAR(1),SUBSTITUTE(LEFT(J76,36)," ",CHAR(1),LEN(LEFT(J76,36))-LEN(SUBSTITUTE(LEFT(J76,36)," ",""))))-1),LEFT(J76,36))),"")</f>
        <v/>
      </c>
      <c r="F76" s="101">
        <f>IFERROR(IF($L76&gt;0,IF(INDEX('Invullen groen'!$H:$H,$L76)=0,"",INT(INDEX('Invullen groen'!$H:$H,$L76))),""),"")</f>
        <v/>
      </c>
      <c r="G76" s="101">
        <f>IFERROR(IF($L76&gt;0,IF(INDEX('Invullen groen'!$I:$I,$L76)=0,"",INT(INDEX('Invullen groen'!$I:$I,$L76))),""),"")</f>
        <v/>
      </c>
      <c r="H76" s="101">
        <f>IFERROR(IF($L76&gt;0,IF(INDEX('Invullen groen'!$J:$J,$L76)=0,"",INT(INDEX('Invullen groen'!$J:$J,$L76))),""),"")</f>
        <v/>
      </c>
      <c r="I76" s="101">
        <f>IFERROR(IF($L76&gt;0,IF(INDEX('Invullen groen'!$K:$K,$L76)=0,"",INT(INDEX('Invullen groen'!$K:$K,$L76))),""),"")</f>
        <v/>
      </c>
      <c r="J76" s="77">
        <f>IF($L76&gt;0,IFERROR($K$1&amp;" "&amp;TRIM(SUBSTITUTE(SUBSTITUTE(SUBSTITUTE(SUBSTITUTE(SUBSTITUTE(SUBSTITUTE(SUBSTITUTE(SUBSTITUTE(SUBSTITUTE(SUBSTITUTE(SUBSTITUTE(SUBSTITUTE(LOWER(INDEX('Invullen groen'!$O:$O,$L76)),"2024",""),"2025",""),"2026",""),"2027",""),"2028",""),"2029",""),"taakveld ",""),"installaties","inst"),"ruwbouw","ruwb"),"afbouw","afb"),"bijstelling","bijst"),"investeringen","invest")),""),"")</f>
        <v/>
      </c>
      <c r="K76" s="77" t="n"/>
      <c r="L76" s="83">
        <f>IFERROR(MATCH(ROW()-4,'Invullen groen'!$P$17:$P$109,0)+16,0)</f>
        <v/>
      </c>
      <c r="M76" s="83" t="n"/>
      <c r="N76" s="83" t="n"/>
    </row>
    <row r="77" hidden="1" ht="15" customHeight="1" s="402">
      <c r="A77" s="78">
        <f>IFERROR(IF($L77&gt;0,INDEX('Invullen groen'!$E:$E,$L77),""),"")</f>
        <v/>
      </c>
      <c r="B77" s="78">
        <f>IFERROR(IF($L77&gt;0,IF(INDEX('Invullen groen'!$F:$F,$L77)&gt;0,INDEX('Invullen groen'!$F:$F,$L77),""),""),"")</f>
        <v/>
      </c>
      <c r="C77" s="78">
        <f>IFERROR(IF($L77&gt;0,IF(INDEX('Invullen groen'!$N:$N,$L77)&gt;0,INDEX('Invullen groen'!$N:$N,$L77),""),""),"")</f>
        <v/>
      </c>
      <c r="D77" s="78" t="n"/>
      <c r="E77" s="78">
        <f>IFERROR(IF(LEN(J77)&lt;=36,J77,IFERROR(LEFT(J77,FIND(CHAR(1),SUBSTITUTE(LEFT(J77,36)," ",CHAR(1),LEN(LEFT(J77,36))-LEN(SUBSTITUTE(LEFT(J77,36)," ",""))))-1),LEFT(J77,36))),"")</f>
        <v/>
      </c>
      <c r="F77" s="100">
        <f>IFERROR(IF($L77&gt;0,IF(INDEX('Invullen groen'!$H:$H,$L77)=0,"",INT(INDEX('Invullen groen'!$H:$H,$L77))),""),"")</f>
        <v/>
      </c>
      <c r="G77" s="100">
        <f>IFERROR(IF($L77&gt;0,IF(INDEX('Invullen groen'!$I:$I,$L77)=0,"",INT(INDEX('Invullen groen'!$I:$I,$L77))),""),"")</f>
        <v/>
      </c>
      <c r="H77" s="100">
        <f>IFERROR(IF($L77&gt;0,IF(INDEX('Invullen groen'!$J:$J,$L77)=0,"",INT(INDEX('Invullen groen'!$J:$J,$L77))),""),"")</f>
        <v/>
      </c>
      <c r="I77" s="100">
        <f>IFERROR(IF($L77&gt;0,IF(INDEX('Invullen groen'!$K:$K,$L77)=0,"",INT(INDEX('Invullen groen'!$K:$K,$L77))),""),"")</f>
        <v/>
      </c>
      <c r="J77" s="78">
        <f>IF($L77&gt;0,IFERROR($K$1&amp;" "&amp;TRIM(SUBSTITUTE(SUBSTITUTE(SUBSTITUTE(SUBSTITUTE(SUBSTITUTE(SUBSTITUTE(SUBSTITUTE(SUBSTITUTE(SUBSTITUTE(SUBSTITUTE(SUBSTITUTE(SUBSTITUTE(LOWER(INDEX('Invullen groen'!$O:$O,$L77)),"2024",""),"2025",""),"2026",""),"2027",""),"2028",""),"2029",""),"taakveld ",""),"installaties","inst"),"ruwbouw","ruwb"),"afbouw","afb"),"bijstelling","bijst"),"investeringen","invest")),""),"")</f>
        <v/>
      </c>
      <c r="K77" s="78" t="n"/>
      <c r="L77" s="83">
        <f>IFERROR(MATCH(ROW()-4,'Invullen groen'!$P$17:$P$109,0)+16,0)</f>
        <v/>
      </c>
      <c r="M77" s="83" t="n"/>
      <c r="N77" s="83" t="n"/>
    </row>
    <row r="78" hidden="1" ht="15" customHeight="1" s="402">
      <c r="A78" s="77">
        <f>IFERROR(IF($L78&gt;0,INDEX('Invullen groen'!$E:$E,$L78),""),"")</f>
        <v/>
      </c>
      <c r="B78" s="77">
        <f>IFERROR(IF($L78&gt;0,IF(INDEX('Invullen groen'!$F:$F,$L78)&gt;0,INDEX('Invullen groen'!$F:$F,$L78),""),""),"")</f>
        <v/>
      </c>
      <c r="C78" s="77">
        <f>IFERROR(IF($L78&gt;0,IF(INDEX('Invullen groen'!$N:$N,$L78)&gt;0,INDEX('Invullen groen'!$N:$N,$L78),""),""),"")</f>
        <v/>
      </c>
      <c r="D78" s="77" t="n"/>
      <c r="E78" s="77">
        <f>IFERROR(IF(LEN(J78)&lt;=36,J78,IFERROR(LEFT(J78,FIND(CHAR(1),SUBSTITUTE(LEFT(J78,36)," ",CHAR(1),LEN(LEFT(J78,36))-LEN(SUBSTITUTE(LEFT(J78,36)," ",""))))-1),LEFT(J78,36))),"")</f>
        <v/>
      </c>
      <c r="F78" s="101">
        <f>IFERROR(IF($L78&gt;0,IF(INDEX('Invullen groen'!$H:$H,$L78)=0,"",INT(INDEX('Invullen groen'!$H:$H,$L78))),""),"")</f>
        <v/>
      </c>
      <c r="G78" s="101">
        <f>IFERROR(IF($L78&gt;0,IF(INDEX('Invullen groen'!$I:$I,$L78)=0,"",INT(INDEX('Invullen groen'!$I:$I,$L78))),""),"")</f>
        <v/>
      </c>
      <c r="H78" s="101">
        <f>IFERROR(IF($L78&gt;0,IF(INDEX('Invullen groen'!$J:$J,$L78)=0,"",INT(INDEX('Invullen groen'!$J:$J,$L78))),""),"")</f>
        <v/>
      </c>
      <c r="I78" s="101">
        <f>IFERROR(IF($L78&gt;0,IF(INDEX('Invullen groen'!$K:$K,$L78)=0,"",INT(INDEX('Invullen groen'!$K:$K,$L78))),""),"")</f>
        <v/>
      </c>
      <c r="J78" s="77">
        <f>IF($L78&gt;0,IFERROR($K$1&amp;" "&amp;TRIM(SUBSTITUTE(SUBSTITUTE(SUBSTITUTE(SUBSTITUTE(SUBSTITUTE(SUBSTITUTE(SUBSTITUTE(SUBSTITUTE(SUBSTITUTE(SUBSTITUTE(SUBSTITUTE(SUBSTITUTE(LOWER(INDEX('Invullen groen'!$O:$O,$L78)),"2024",""),"2025",""),"2026",""),"2027",""),"2028",""),"2029",""),"taakveld ",""),"installaties","inst"),"ruwbouw","ruwb"),"afbouw","afb"),"bijstelling","bijst"),"investeringen","invest")),""),"")</f>
        <v/>
      </c>
      <c r="K78" s="77" t="n"/>
      <c r="L78" s="83">
        <f>IFERROR(MATCH(ROW()-4,'Invullen groen'!$P$17:$P$109,0)+16,0)</f>
        <v/>
      </c>
      <c r="M78" s="83" t="n"/>
      <c r="N78" s="83" t="n"/>
    </row>
    <row r="79" hidden="1" ht="15" customHeight="1" s="402">
      <c r="A79" s="78">
        <f>IFERROR(IF($L79&gt;0,INDEX('Invullen groen'!$E:$E,$L79),""),"")</f>
        <v/>
      </c>
      <c r="B79" s="78">
        <f>IFERROR(IF($L79&gt;0,IF(INDEX('Invullen groen'!$F:$F,$L79)&gt;0,INDEX('Invullen groen'!$F:$F,$L79),""),""),"")</f>
        <v/>
      </c>
      <c r="C79" s="78">
        <f>IFERROR(IF($L79&gt;0,IF(INDEX('Invullen groen'!$N:$N,$L79)&gt;0,INDEX('Invullen groen'!$N:$N,$L79),""),""),"")</f>
        <v/>
      </c>
      <c r="D79" s="78" t="n"/>
      <c r="E79" s="78">
        <f>IFERROR(IF(LEN(J79)&lt;=36,J79,IFERROR(LEFT(J79,FIND(CHAR(1),SUBSTITUTE(LEFT(J79,36)," ",CHAR(1),LEN(LEFT(J79,36))-LEN(SUBSTITUTE(LEFT(J79,36)," ",""))))-1),LEFT(J79,36))),"")</f>
        <v/>
      </c>
      <c r="F79" s="100">
        <f>IFERROR(IF($L79&gt;0,IF(INDEX('Invullen groen'!$H:$H,$L79)=0,"",INT(INDEX('Invullen groen'!$H:$H,$L79))),""),"")</f>
        <v/>
      </c>
      <c r="G79" s="100">
        <f>IFERROR(IF($L79&gt;0,IF(INDEX('Invullen groen'!$I:$I,$L79)=0,"",INT(INDEX('Invullen groen'!$I:$I,$L79))),""),"")</f>
        <v/>
      </c>
      <c r="H79" s="100">
        <f>IFERROR(IF($L79&gt;0,IF(INDEX('Invullen groen'!$J:$J,$L79)=0,"",INT(INDEX('Invullen groen'!$J:$J,$L79))),""),"")</f>
        <v/>
      </c>
      <c r="I79" s="100">
        <f>IFERROR(IF($L79&gt;0,IF(INDEX('Invullen groen'!$K:$K,$L79)=0,"",INT(INDEX('Invullen groen'!$K:$K,$L79))),""),"")</f>
        <v/>
      </c>
      <c r="J79" s="78">
        <f>IF($L79&gt;0,IFERROR($K$1&amp;" "&amp;TRIM(SUBSTITUTE(SUBSTITUTE(SUBSTITUTE(SUBSTITUTE(SUBSTITUTE(SUBSTITUTE(SUBSTITUTE(SUBSTITUTE(SUBSTITUTE(SUBSTITUTE(SUBSTITUTE(SUBSTITUTE(LOWER(INDEX('Invullen groen'!$O:$O,$L79)),"2024",""),"2025",""),"2026",""),"2027",""),"2028",""),"2029",""),"taakveld ",""),"installaties","inst"),"ruwbouw","ruwb"),"afbouw","afb"),"bijstelling","bijst"),"investeringen","invest")),""),"")</f>
        <v/>
      </c>
      <c r="K79" s="78" t="n"/>
      <c r="L79" s="83">
        <f>IFERROR(MATCH(ROW()-4,'Invullen groen'!$P$17:$P$109,0)+16,0)</f>
        <v/>
      </c>
      <c r="M79" s="83" t="n"/>
      <c r="N79" s="83" t="n"/>
    </row>
    <row r="80" hidden="1" ht="15" customHeight="1" s="402">
      <c r="A80" s="77">
        <f>IFERROR(IF($L80&gt;0,INDEX('Invullen groen'!$E:$E,$L80),""),"")</f>
        <v/>
      </c>
      <c r="B80" s="77">
        <f>IFERROR(IF($L80&gt;0,IF(INDEX('Invullen groen'!$F:$F,$L80)&gt;0,INDEX('Invullen groen'!$F:$F,$L80),""),""),"")</f>
        <v/>
      </c>
      <c r="C80" s="77">
        <f>IFERROR(IF($L80&gt;0,IF(INDEX('Invullen groen'!$N:$N,$L80)&gt;0,INDEX('Invullen groen'!$N:$N,$L80),""),""),"")</f>
        <v/>
      </c>
      <c r="D80" s="77" t="n"/>
      <c r="E80" s="77">
        <f>IFERROR(IF(LEN(J80)&lt;=36,J80,IFERROR(LEFT(J80,FIND(CHAR(1),SUBSTITUTE(LEFT(J80,36)," ",CHAR(1),LEN(LEFT(J80,36))-LEN(SUBSTITUTE(LEFT(J80,36)," ",""))))-1),LEFT(J80,36))),"")</f>
        <v/>
      </c>
      <c r="F80" s="101">
        <f>IFERROR(IF($L80&gt;0,IF(INDEX('Invullen groen'!$H:$H,$L80)=0,"",INT(INDEX('Invullen groen'!$H:$H,$L80))),""),"")</f>
        <v/>
      </c>
      <c r="G80" s="101">
        <f>IFERROR(IF($L80&gt;0,IF(INDEX('Invullen groen'!$I:$I,$L80)=0,"",INT(INDEX('Invullen groen'!$I:$I,$L80))),""),"")</f>
        <v/>
      </c>
      <c r="H80" s="101">
        <f>IFERROR(IF($L80&gt;0,IF(INDEX('Invullen groen'!$J:$J,$L80)=0,"",INT(INDEX('Invullen groen'!$J:$J,$L80))),""),"")</f>
        <v/>
      </c>
      <c r="I80" s="101">
        <f>IFERROR(IF($L80&gt;0,IF(INDEX('Invullen groen'!$K:$K,$L80)=0,"",INT(INDEX('Invullen groen'!$K:$K,$L80))),""),"")</f>
        <v/>
      </c>
      <c r="J80" s="77">
        <f>IF($L80&gt;0,IFERROR($K$1&amp;" "&amp;TRIM(SUBSTITUTE(SUBSTITUTE(SUBSTITUTE(SUBSTITUTE(SUBSTITUTE(SUBSTITUTE(SUBSTITUTE(SUBSTITUTE(SUBSTITUTE(SUBSTITUTE(SUBSTITUTE(SUBSTITUTE(LOWER(INDEX('Invullen groen'!$O:$O,$L80)),"2024",""),"2025",""),"2026",""),"2027",""),"2028",""),"2029",""),"taakveld ",""),"installaties","inst"),"ruwbouw","ruwb"),"afbouw","afb"),"bijstelling","bijst"),"investeringen","invest")),""),"")</f>
        <v/>
      </c>
      <c r="K80" s="77" t="n"/>
      <c r="L80" s="83">
        <f>IFERROR(MATCH(ROW()-4,'Invullen groen'!$P$17:$P$109,0)+16,0)</f>
        <v/>
      </c>
      <c r="M80" s="83" t="n"/>
      <c r="N80" s="83" t="n"/>
    </row>
    <row r="81" hidden="1" ht="15" customHeight="1" s="402">
      <c r="A81" s="78">
        <f>IFERROR(IF($L81&gt;0,INDEX('Invullen groen'!$E:$E,$L81),""),"")</f>
        <v/>
      </c>
      <c r="B81" s="78">
        <f>IFERROR(IF($L81&gt;0,IF(INDEX('Invullen groen'!$F:$F,$L81)&gt;0,INDEX('Invullen groen'!$F:$F,$L81),""),""),"")</f>
        <v/>
      </c>
      <c r="C81" s="78">
        <f>IFERROR(IF($L81&gt;0,IF(INDEX('Invullen groen'!$N:$N,$L81)&gt;0,INDEX('Invullen groen'!$N:$N,$L81),""),""),"")</f>
        <v/>
      </c>
      <c r="D81" s="78" t="n"/>
      <c r="E81" s="78">
        <f>IFERROR(IF(LEN(J81)&lt;=36,J81,IFERROR(LEFT(J81,FIND(CHAR(1),SUBSTITUTE(LEFT(J81,36)," ",CHAR(1),LEN(LEFT(J81,36))-LEN(SUBSTITUTE(LEFT(J81,36)," ",""))))-1),LEFT(J81,36))),"")</f>
        <v/>
      </c>
      <c r="F81" s="100">
        <f>IFERROR(IF($L81&gt;0,IF(INDEX('Invullen groen'!$H:$H,$L81)=0,"",INT(INDEX('Invullen groen'!$H:$H,$L81))),""),"")</f>
        <v/>
      </c>
      <c r="G81" s="100">
        <f>IFERROR(IF($L81&gt;0,IF(INDEX('Invullen groen'!$I:$I,$L81)=0,"",INT(INDEX('Invullen groen'!$I:$I,$L81))),""),"")</f>
        <v/>
      </c>
      <c r="H81" s="100">
        <f>IFERROR(IF($L81&gt;0,IF(INDEX('Invullen groen'!$J:$J,$L81)=0,"",INT(INDEX('Invullen groen'!$J:$J,$L81))),""),"")</f>
        <v/>
      </c>
      <c r="I81" s="100">
        <f>IFERROR(IF($L81&gt;0,IF(INDEX('Invullen groen'!$K:$K,$L81)=0,"",INT(INDEX('Invullen groen'!$K:$K,$L81))),""),"")</f>
        <v/>
      </c>
      <c r="J81" s="78">
        <f>IF($L81&gt;0,IFERROR($K$1&amp;" "&amp;TRIM(SUBSTITUTE(SUBSTITUTE(SUBSTITUTE(SUBSTITUTE(SUBSTITUTE(SUBSTITUTE(SUBSTITUTE(SUBSTITUTE(SUBSTITUTE(SUBSTITUTE(SUBSTITUTE(SUBSTITUTE(LOWER(INDEX('Invullen groen'!$O:$O,$L81)),"2024",""),"2025",""),"2026",""),"2027",""),"2028",""),"2029",""),"taakveld ",""),"installaties","inst"),"ruwbouw","ruwb"),"afbouw","afb"),"bijstelling","bijst"),"investeringen","invest")),""),"")</f>
        <v/>
      </c>
      <c r="K81" s="78" t="n"/>
      <c r="L81" s="83">
        <f>IFERROR(MATCH(ROW()-4,'Invullen groen'!$P$17:$P$109,0)+16,0)</f>
        <v/>
      </c>
    </row>
    <row r="82" hidden="1" ht="15" customHeight="1" s="402">
      <c r="A82" s="77">
        <f>IFERROR(IF($L82&gt;0,INDEX('Invullen groen'!$E:$E,$L82),""),"")</f>
        <v/>
      </c>
      <c r="B82" s="77">
        <f>IFERROR(IF($L82&gt;0,IF(INDEX('Invullen groen'!$F:$F,$L82)&gt;0,INDEX('Invullen groen'!$F:$F,$L82),""),""),"")</f>
        <v/>
      </c>
      <c r="C82" s="77">
        <f>IFERROR(IF($L82&gt;0,IF(INDEX('Invullen groen'!$N:$N,$L82)&gt;0,INDEX('Invullen groen'!$N:$N,$L82),""),""),"")</f>
        <v/>
      </c>
      <c r="D82" s="77" t="n"/>
      <c r="E82" s="77">
        <f>IFERROR(IF(LEN(J82)&lt;=36,J82,IFERROR(LEFT(J82,FIND(CHAR(1),SUBSTITUTE(LEFT(J82,36)," ",CHAR(1),LEN(LEFT(J82,36))-LEN(SUBSTITUTE(LEFT(J82,36)," ",""))))-1),LEFT(J82,36))),"")</f>
        <v/>
      </c>
      <c r="F82" s="101">
        <f>IFERROR(IF($L82&gt;0,IF(INDEX('Invullen groen'!$H:$H,$L82)=0,"",INT(INDEX('Invullen groen'!$H:$H,$L82))),""),"")</f>
        <v/>
      </c>
      <c r="G82" s="101">
        <f>IFERROR(IF($L82&gt;0,IF(INDEX('Invullen groen'!$I:$I,$L82)=0,"",INT(INDEX('Invullen groen'!$I:$I,$L82))),""),"")</f>
        <v/>
      </c>
      <c r="H82" s="101">
        <f>IFERROR(IF($L82&gt;0,IF(INDEX('Invullen groen'!$J:$J,$L82)=0,"",INT(INDEX('Invullen groen'!$J:$J,$L82))),""),"")</f>
        <v/>
      </c>
      <c r="I82" s="101">
        <f>IFERROR(IF($L82&gt;0,IF(INDEX('Invullen groen'!$K:$K,$L82)=0,"",INT(INDEX('Invullen groen'!$K:$K,$L82))),""),"")</f>
        <v/>
      </c>
      <c r="J82" s="77">
        <f>IF($L82&gt;0,IFERROR($K$1&amp;" "&amp;TRIM(SUBSTITUTE(SUBSTITUTE(SUBSTITUTE(SUBSTITUTE(SUBSTITUTE(SUBSTITUTE(SUBSTITUTE(SUBSTITUTE(SUBSTITUTE(SUBSTITUTE(SUBSTITUTE(SUBSTITUTE(LOWER(INDEX('Invullen groen'!$O:$O,$L82)),"2024",""),"2025",""),"2026",""),"2027",""),"2028",""),"2029",""),"taakveld ",""),"installaties","inst"),"ruwbouw","ruwb"),"afbouw","afb"),"bijstelling","bijst"),"investeringen","invest")),""),"")</f>
        <v/>
      </c>
      <c r="K82" s="77" t="n"/>
      <c r="L82" s="83">
        <f>IFERROR(MATCH(ROW()-4,'Invullen groen'!$P$17:$P$109,0)+16,0)</f>
        <v/>
      </c>
    </row>
    <row r="83" hidden="1" ht="15" customHeight="1" s="402">
      <c r="A83" s="78">
        <f>IFERROR(IF($L83&gt;0,INDEX('Invullen groen'!$E:$E,$L83),""),"")</f>
        <v/>
      </c>
      <c r="B83" s="78">
        <f>IFERROR(IF($L83&gt;0,IF(INDEX('Invullen groen'!$F:$F,$L83)&gt;0,INDEX('Invullen groen'!$F:$F,$L83),""),""),"")</f>
        <v/>
      </c>
      <c r="C83" s="78">
        <f>IFERROR(IF($L83&gt;0,IF(INDEX('Invullen groen'!$N:$N,$L83)&gt;0,INDEX('Invullen groen'!$N:$N,$L83),""),""),"")</f>
        <v/>
      </c>
      <c r="D83" s="78" t="n"/>
      <c r="E83" s="78">
        <f>IFERROR(IF(LEN(J83)&lt;=36,J83,IFERROR(LEFT(J83,FIND(CHAR(1),SUBSTITUTE(LEFT(J83,36)," ",CHAR(1),LEN(LEFT(J83,36))-LEN(SUBSTITUTE(LEFT(J83,36)," ",""))))-1),LEFT(J83,36))),"")</f>
        <v/>
      </c>
      <c r="F83" s="100">
        <f>IFERROR(IF($L83&gt;0,IF(INDEX('Invullen groen'!$H:$H,$L83)=0,"",INT(INDEX('Invullen groen'!$H:$H,$L83))),""),"")</f>
        <v/>
      </c>
      <c r="G83" s="100">
        <f>IFERROR(IF($L83&gt;0,IF(INDEX('Invullen groen'!$I:$I,$L83)=0,"",INT(INDEX('Invullen groen'!$I:$I,$L83))),""),"")</f>
        <v/>
      </c>
      <c r="H83" s="100">
        <f>IFERROR(IF($L83&gt;0,IF(INDEX('Invullen groen'!$J:$J,$L83)=0,"",INT(INDEX('Invullen groen'!$J:$J,$L83))),""),"")</f>
        <v/>
      </c>
      <c r="I83" s="100">
        <f>IFERROR(IF($L83&gt;0,IF(INDEX('Invullen groen'!$K:$K,$L83)=0,"",INT(INDEX('Invullen groen'!$K:$K,$L83))),""),"")</f>
        <v/>
      </c>
      <c r="J83" s="78">
        <f>IF($L83&gt;0,IFERROR($K$1&amp;" "&amp;TRIM(SUBSTITUTE(SUBSTITUTE(SUBSTITUTE(SUBSTITUTE(SUBSTITUTE(SUBSTITUTE(SUBSTITUTE(SUBSTITUTE(SUBSTITUTE(SUBSTITUTE(SUBSTITUTE(SUBSTITUTE(LOWER(INDEX('Invullen groen'!$O:$O,$L83)),"2024",""),"2025",""),"2026",""),"2027",""),"2028",""),"2029",""),"taakveld ",""),"installaties","inst"),"ruwbouw","ruwb"),"afbouw","afb"),"bijstelling","bijst"),"investeringen","invest")),""),"")</f>
        <v/>
      </c>
      <c r="K83" s="78" t="n"/>
      <c r="L83" s="83">
        <f>IFERROR(MATCH(ROW()-4,'Invullen groen'!$P$17:$P$109,0)+16,0)</f>
        <v/>
      </c>
    </row>
    <row r="84" hidden="1" ht="15" customHeight="1" s="402">
      <c r="A84" s="77">
        <f>IFERROR(IF($L84&gt;0,INDEX('Invullen groen'!$E:$E,$L84),""),"")</f>
        <v/>
      </c>
      <c r="B84" s="77">
        <f>IFERROR(IF($L84&gt;0,IF(INDEX('Invullen groen'!$F:$F,$L84)&gt;0,INDEX('Invullen groen'!$F:$F,$L84),""),""),"")</f>
        <v/>
      </c>
      <c r="C84" s="77">
        <f>IFERROR(IF($L84&gt;0,IF(INDEX('Invullen groen'!$N:$N,$L84)&gt;0,INDEX('Invullen groen'!$N:$N,$L84),""),""),"")</f>
        <v/>
      </c>
      <c r="D84" s="77" t="n"/>
      <c r="E84" s="77">
        <f>IFERROR(IF(LEN(J84)&lt;=36,J84,IFERROR(LEFT(J84,FIND(CHAR(1),SUBSTITUTE(LEFT(J84,36)," ",CHAR(1),LEN(LEFT(J84,36))-LEN(SUBSTITUTE(LEFT(J84,36)," ",""))))-1),LEFT(J84,36))),"")</f>
        <v/>
      </c>
      <c r="F84" s="101">
        <f>IFERROR(IF($L84&gt;0,IF(INDEX('Invullen groen'!$H:$H,$L84)=0,"",INT(INDEX('Invullen groen'!$H:$H,$L84))),""),"")</f>
        <v/>
      </c>
      <c r="G84" s="101">
        <f>IFERROR(IF($L84&gt;0,IF(INDEX('Invullen groen'!$I:$I,$L84)=0,"",INT(INDEX('Invullen groen'!$I:$I,$L84))),""),"")</f>
        <v/>
      </c>
      <c r="H84" s="101">
        <f>IFERROR(IF($L84&gt;0,IF(INDEX('Invullen groen'!$J:$J,$L84)=0,"",INT(INDEX('Invullen groen'!$J:$J,$L84))),""),"")</f>
        <v/>
      </c>
      <c r="I84" s="101">
        <f>IFERROR(IF($L84&gt;0,IF(INDEX('Invullen groen'!$K:$K,$L84)=0,"",INT(INDEX('Invullen groen'!$K:$K,$L84))),""),"")</f>
        <v/>
      </c>
      <c r="J84" s="77">
        <f>IF($L84&gt;0,IFERROR($K$1&amp;" "&amp;TRIM(SUBSTITUTE(SUBSTITUTE(SUBSTITUTE(SUBSTITUTE(SUBSTITUTE(SUBSTITUTE(SUBSTITUTE(SUBSTITUTE(SUBSTITUTE(SUBSTITUTE(SUBSTITUTE(SUBSTITUTE(LOWER(INDEX('Invullen groen'!$O:$O,$L84)),"2024",""),"2025",""),"2026",""),"2027",""),"2028",""),"2029",""),"taakveld ",""),"installaties","inst"),"ruwbouw","ruwb"),"afbouw","afb"),"bijstelling","bijst"),"investeringen","invest")),""),"")</f>
        <v/>
      </c>
      <c r="K84" s="77" t="n"/>
      <c r="L84" s="83">
        <f>IFERROR(MATCH(ROW()-4,'Invullen groen'!$P$17:$P$109,0)+16,0)</f>
        <v/>
      </c>
    </row>
    <row r="85" hidden="1" ht="15" customHeight="1" s="402">
      <c r="A85" s="78">
        <f>IFERROR(IF($L85&gt;0,INDEX('Invullen groen'!$E:$E,$L85),""),"")</f>
        <v/>
      </c>
      <c r="B85" s="78">
        <f>IFERROR(IF($L85&gt;0,IF(INDEX('Invullen groen'!$F:$F,$L85)&gt;0,INDEX('Invullen groen'!$F:$F,$L85),""),""),"")</f>
        <v/>
      </c>
      <c r="C85" s="78">
        <f>IFERROR(IF($L85&gt;0,IF(INDEX('Invullen groen'!$N:$N,$L85)&gt;0,INDEX('Invullen groen'!$N:$N,$L85),""),""),"")</f>
        <v/>
      </c>
      <c r="D85" s="78" t="n"/>
      <c r="E85" s="78">
        <f>IFERROR(IF(LEN(J85)&lt;=36,J85,IFERROR(LEFT(J85,FIND(CHAR(1),SUBSTITUTE(LEFT(J85,36)," ",CHAR(1),LEN(LEFT(J85,36))-LEN(SUBSTITUTE(LEFT(J85,36)," ",""))))-1),LEFT(J85,36))),"")</f>
        <v/>
      </c>
      <c r="F85" s="100">
        <f>IFERROR(IF($L85&gt;0,IF(INDEX('Invullen groen'!$H:$H,$L85)=0,"",INT(INDEX('Invullen groen'!$H:$H,$L85))),""),"")</f>
        <v/>
      </c>
      <c r="G85" s="100">
        <f>IFERROR(IF($L85&gt;0,IF(INDEX('Invullen groen'!$I:$I,$L85)=0,"",INT(INDEX('Invullen groen'!$I:$I,$L85))),""),"")</f>
        <v/>
      </c>
      <c r="H85" s="100">
        <f>IFERROR(IF($L85&gt;0,IF(INDEX('Invullen groen'!$J:$J,$L85)=0,"",INT(INDEX('Invullen groen'!$J:$J,$L85))),""),"")</f>
        <v/>
      </c>
      <c r="I85" s="100">
        <f>IFERROR(IF($L85&gt;0,IF(INDEX('Invullen groen'!$K:$K,$L85)=0,"",INT(INDEX('Invullen groen'!$K:$K,$L85))),""),"")</f>
        <v/>
      </c>
      <c r="J85" s="78">
        <f>IF($L85&gt;0,IFERROR($K$1&amp;" "&amp;TRIM(SUBSTITUTE(SUBSTITUTE(SUBSTITUTE(SUBSTITUTE(SUBSTITUTE(SUBSTITUTE(SUBSTITUTE(SUBSTITUTE(SUBSTITUTE(SUBSTITUTE(SUBSTITUTE(SUBSTITUTE(LOWER(INDEX('Invullen groen'!$O:$O,$L85)),"2024",""),"2025",""),"2026",""),"2027",""),"2028",""),"2029",""),"taakveld ",""),"installaties","inst"),"ruwbouw","ruwb"),"afbouw","afb"),"bijstelling","bijst"),"investeringen","invest")),""),"")</f>
        <v/>
      </c>
      <c r="K85" s="78" t="n"/>
      <c r="L85" s="83">
        <f>IFERROR(MATCH(ROW()-4,'Invullen groen'!$P$17:$P$109,0)+16,0)</f>
        <v/>
      </c>
    </row>
    <row r="86" hidden="1" ht="15" customHeight="1" s="402">
      <c r="A86" s="77">
        <f>IFERROR(IF($L86&gt;0,INDEX('Invullen groen'!$E:$E,$L86),""),"")</f>
        <v/>
      </c>
      <c r="B86" s="77">
        <f>IFERROR(IF($L86&gt;0,IF(INDEX('Invullen groen'!$F:$F,$L86)&gt;0,INDEX('Invullen groen'!$F:$F,$L86),""),""),"")</f>
        <v/>
      </c>
      <c r="C86" s="77">
        <f>IFERROR(IF($L86&gt;0,IF(INDEX('Invullen groen'!$N:$N,$L86)&gt;0,INDEX('Invullen groen'!$N:$N,$L86),""),""),"")</f>
        <v/>
      </c>
      <c r="D86" s="77" t="n"/>
      <c r="E86" s="77">
        <f>IFERROR(IF(LEN(J86)&lt;=36,J86,IFERROR(LEFT(J86,FIND(CHAR(1),SUBSTITUTE(LEFT(J86,36)," ",CHAR(1),LEN(LEFT(J86,36))-LEN(SUBSTITUTE(LEFT(J86,36)," ",""))))-1),LEFT(J86,36))),"")</f>
        <v/>
      </c>
      <c r="F86" s="101">
        <f>IFERROR(IF($L86&gt;0,IF(INDEX('Invullen groen'!$H:$H,$L86)=0,"",INT(INDEX('Invullen groen'!$H:$H,$L86))),""),"")</f>
        <v/>
      </c>
      <c r="G86" s="101">
        <f>IFERROR(IF($L86&gt;0,IF(INDEX('Invullen groen'!$I:$I,$L86)=0,"",INT(INDEX('Invullen groen'!$I:$I,$L86))),""),"")</f>
        <v/>
      </c>
      <c r="H86" s="101">
        <f>IFERROR(IF($L86&gt;0,IF(INDEX('Invullen groen'!$J:$J,$L86)=0,"",INT(INDEX('Invullen groen'!$J:$J,$L86))),""),"")</f>
        <v/>
      </c>
      <c r="I86" s="101">
        <f>IFERROR(IF($L86&gt;0,IF(INDEX('Invullen groen'!$K:$K,$L86)=0,"",INT(INDEX('Invullen groen'!$K:$K,$L86))),""),"")</f>
        <v/>
      </c>
      <c r="J86" s="77">
        <f>IF($L86&gt;0,IFERROR($K$1&amp;" "&amp;TRIM(SUBSTITUTE(SUBSTITUTE(SUBSTITUTE(SUBSTITUTE(SUBSTITUTE(SUBSTITUTE(SUBSTITUTE(SUBSTITUTE(SUBSTITUTE(SUBSTITUTE(SUBSTITUTE(SUBSTITUTE(LOWER(INDEX('Invullen groen'!$O:$O,$L86)),"2024",""),"2025",""),"2026",""),"2027",""),"2028",""),"2029",""),"taakveld ",""),"installaties","inst"),"ruwbouw","ruwb"),"afbouw","afb"),"bijstelling","bijst"),"investeringen","invest")),""),"")</f>
        <v/>
      </c>
      <c r="K86" s="77" t="n"/>
      <c r="L86" s="83">
        <f>IFERROR(MATCH(ROW()-4,'Invullen groen'!$P$17:$P$109,0)+16,0)</f>
        <v/>
      </c>
    </row>
    <row r="87" hidden="1" ht="15" customHeight="1" s="402">
      <c r="A87" s="78">
        <f>IFERROR(IF($L87&gt;0,INDEX('Invullen groen'!$E:$E,$L87),""),"")</f>
        <v/>
      </c>
      <c r="B87" s="78">
        <f>IFERROR(IF($L87&gt;0,IF(INDEX('Invullen groen'!$F:$F,$L87)&gt;0,INDEX('Invullen groen'!$F:$F,$L87),""),""),"")</f>
        <v/>
      </c>
      <c r="C87" s="78">
        <f>IFERROR(IF($L87&gt;0,IF(INDEX('Invullen groen'!$N:$N,$L87)&gt;0,INDEX('Invullen groen'!$N:$N,$L87),""),""),"")</f>
        <v/>
      </c>
      <c r="D87" s="78" t="n"/>
      <c r="E87" s="78">
        <f>IFERROR(IF(LEN(J87)&lt;=36,J87,IFERROR(LEFT(J87,FIND(CHAR(1),SUBSTITUTE(LEFT(J87,36)," ",CHAR(1),LEN(LEFT(J87,36))-LEN(SUBSTITUTE(LEFT(J87,36)," ",""))))-1),LEFT(J87,36))),"")</f>
        <v/>
      </c>
      <c r="F87" s="100">
        <f>IFERROR(IF($L87&gt;0,IF(INDEX('Invullen groen'!$H:$H,$L87)=0,"",INT(INDEX('Invullen groen'!$H:$H,$L87))),""),"")</f>
        <v/>
      </c>
      <c r="G87" s="100">
        <f>IFERROR(IF($L87&gt;0,IF(INDEX('Invullen groen'!$I:$I,$L87)=0,"",INT(INDEX('Invullen groen'!$I:$I,$L87))),""),"")</f>
        <v/>
      </c>
      <c r="H87" s="100">
        <f>IFERROR(IF($L87&gt;0,IF(INDEX('Invullen groen'!$J:$J,$L87)=0,"",INT(INDEX('Invullen groen'!$J:$J,$L87))),""),"")</f>
        <v/>
      </c>
      <c r="I87" s="100">
        <f>IFERROR(IF($L87&gt;0,IF(INDEX('Invullen groen'!$K:$K,$L87)=0,"",INT(INDEX('Invullen groen'!$K:$K,$L87))),""),"")</f>
        <v/>
      </c>
      <c r="J87" s="78">
        <f>IF($L87&gt;0,IFERROR($K$1&amp;" "&amp;TRIM(SUBSTITUTE(SUBSTITUTE(SUBSTITUTE(SUBSTITUTE(SUBSTITUTE(SUBSTITUTE(SUBSTITUTE(SUBSTITUTE(SUBSTITUTE(SUBSTITUTE(SUBSTITUTE(SUBSTITUTE(LOWER(INDEX('Invullen groen'!$O:$O,$L87)),"2024",""),"2025",""),"2026",""),"2027",""),"2028",""),"2029",""),"taakveld ",""),"installaties","inst"),"ruwbouw","ruwb"),"afbouw","afb"),"bijstelling","bijst"),"investeringen","invest")),""),"")</f>
        <v/>
      </c>
      <c r="K87" s="78" t="n"/>
      <c r="L87" s="83">
        <f>IFERROR(MATCH(ROW()-4,'Invullen groen'!$P$17:$P$109,0)+16,0)</f>
        <v/>
      </c>
    </row>
    <row r="88" hidden="1" ht="15" customHeight="1" s="402">
      <c r="A88" s="77">
        <f>IFERROR(IF($L88&gt;0,INDEX('Invullen groen'!$E:$E,$L88),""),"")</f>
        <v/>
      </c>
      <c r="B88" s="77">
        <f>IFERROR(IF($L88&gt;0,IF(INDEX('Invullen groen'!$F:$F,$L88)&gt;0,INDEX('Invullen groen'!$F:$F,$L88),""),""),"")</f>
        <v/>
      </c>
      <c r="C88" s="77">
        <f>IFERROR(IF($L88&gt;0,IF(INDEX('Invullen groen'!$N:$N,$L88)&gt;0,INDEX('Invullen groen'!$N:$N,$L88),""),""),"")</f>
        <v/>
      </c>
      <c r="D88" s="77" t="n"/>
      <c r="E88" s="77">
        <f>IFERROR(IF(LEN(J88)&lt;=36,J88,IFERROR(LEFT(J88,FIND(CHAR(1),SUBSTITUTE(LEFT(J88,36)," ",CHAR(1),LEN(LEFT(J88,36))-LEN(SUBSTITUTE(LEFT(J88,36)," ",""))))-1),LEFT(J88,36))),"")</f>
        <v/>
      </c>
      <c r="F88" s="101">
        <f>IFERROR(IF($L88&gt;0,IF(INDEX('Invullen groen'!$H:$H,$L88)=0,"",INT(INDEX('Invullen groen'!$H:$H,$L88))),""),"")</f>
        <v/>
      </c>
      <c r="G88" s="101">
        <f>IFERROR(IF($L88&gt;0,IF(INDEX('Invullen groen'!$I:$I,$L88)=0,"",INT(INDEX('Invullen groen'!$I:$I,$L88))),""),"")</f>
        <v/>
      </c>
      <c r="H88" s="101">
        <f>IFERROR(IF($L88&gt;0,IF(INDEX('Invullen groen'!$J:$J,$L88)=0,"",INT(INDEX('Invullen groen'!$J:$J,$L88))),""),"")</f>
        <v/>
      </c>
      <c r="I88" s="101">
        <f>IFERROR(IF($L88&gt;0,IF(INDEX('Invullen groen'!$K:$K,$L88)=0,"",INT(INDEX('Invullen groen'!$K:$K,$L88))),""),"")</f>
        <v/>
      </c>
      <c r="J88" s="77">
        <f>IF($L88&gt;0,IFERROR($K$1&amp;" "&amp;TRIM(SUBSTITUTE(SUBSTITUTE(SUBSTITUTE(SUBSTITUTE(SUBSTITUTE(SUBSTITUTE(SUBSTITUTE(SUBSTITUTE(SUBSTITUTE(SUBSTITUTE(SUBSTITUTE(SUBSTITUTE(LOWER(INDEX('Invullen groen'!$O:$O,$L88)),"2024",""),"2025",""),"2026",""),"2027",""),"2028",""),"2029",""),"taakveld ",""),"installaties","inst"),"ruwbouw","ruwb"),"afbouw","afb"),"bijstelling","bijst"),"investeringen","invest")),""),"")</f>
        <v/>
      </c>
      <c r="K88" s="77" t="n"/>
      <c r="L88" s="83">
        <f>IFERROR(MATCH(ROW()-4,'Invullen groen'!$P$17:$P$109,0)+16,0)</f>
        <v/>
      </c>
    </row>
    <row r="89" hidden="1" ht="15" customHeight="1" s="402">
      <c r="A89" s="78">
        <f>IFERROR(IF($L89&gt;0,INDEX('Invullen groen'!$E:$E,$L89),""),"")</f>
        <v/>
      </c>
      <c r="B89" s="78">
        <f>IFERROR(IF($L89&gt;0,IF(INDEX('Invullen groen'!$F:$F,$L89)&gt;0,INDEX('Invullen groen'!$F:$F,$L89),""),""),"")</f>
        <v/>
      </c>
      <c r="C89" s="78">
        <f>IFERROR(IF($L89&gt;0,IF(INDEX('Invullen groen'!$N:$N,$L89)&gt;0,INDEX('Invullen groen'!$N:$N,$L89),""),""),"")</f>
        <v/>
      </c>
      <c r="D89" s="78" t="n"/>
      <c r="E89" s="78">
        <f>IFERROR(IF(LEN(J89)&lt;=36,J89,IFERROR(LEFT(J89,FIND(CHAR(1),SUBSTITUTE(LEFT(J89,36)," ",CHAR(1),LEN(LEFT(J89,36))-LEN(SUBSTITUTE(LEFT(J89,36)," ",""))))-1),LEFT(J89,36))),"")</f>
        <v/>
      </c>
      <c r="F89" s="100">
        <f>IFERROR(IF($L89&gt;0,IF(INDEX('Invullen groen'!$H:$H,$L89)=0,"",INT(INDEX('Invullen groen'!$H:$H,$L89))),""),"")</f>
        <v/>
      </c>
      <c r="G89" s="100">
        <f>IFERROR(IF($L89&gt;0,IF(INDEX('Invullen groen'!$I:$I,$L89)=0,"",INT(INDEX('Invullen groen'!$I:$I,$L89))),""),"")</f>
        <v/>
      </c>
      <c r="H89" s="100">
        <f>IFERROR(IF($L89&gt;0,IF(INDEX('Invullen groen'!$J:$J,$L89)=0,"",INT(INDEX('Invullen groen'!$J:$J,$L89))),""),"")</f>
        <v/>
      </c>
      <c r="I89" s="100">
        <f>IFERROR(IF($L89&gt;0,IF(INDEX('Invullen groen'!$K:$K,$L89)=0,"",INT(INDEX('Invullen groen'!$K:$K,$L89))),""),"")</f>
        <v/>
      </c>
      <c r="J89" s="78">
        <f>IF($L89&gt;0,IFERROR($K$1&amp;" "&amp;TRIM(SUBSTITUTE(SUBSTITUTE(SUBSTITUTE(SUBSTITUTE(SUBSTITUTE(SUBSTITUTE(SUBSTITUTE(SUBSTITUTE(SUBSTITUTE(SUBSTITUTE(SUBSTITUTE(SUBSTITUTE(LOWER(INDEX('Invullen groen'!$O:$O,$L89)),"2024",""),"2025",""),"2026",""),"2027",""),"2028",""),"2029",""),"taakveld ",""),"installaties","inst"),"ruwbouw","ruwb"),"afbouw","afb"),"bijstelling","bijst"),"investeringen","invest")),""),"")</f>
        <v/>
      </c>
      <c r="K89" s="78" t="n"/>
      <c r="L89" s="83">
        <f>IFERROR(MATCH(ROW()-4,'Invullen groen'!$P$17:$P$109,0)+16,0)</f>
        <v/>
      </c>
    </row>
    <row r="90" hidden="1" ht="15" customHeight="1" s="402">
      <c r="A90" s="77">
        <f>IFERROR(IF($L90&gt;0,INDEX('Invullen groen'!$E:$E,$L90),""),"")</f>
        <v/>
      </c>
      <c r="B90" s="77">
        <f>IFERROR(IF($L90&gt;0,IF(INDEX('Invullen groen'!$F:$F,$L90)&gt;0,INDEX('Invullen groen'!$F:$F,$L90),""),""),"")</f>
        <v/>
      </c>
      <c r="C90" s="77">
        <f>IFERROR(IF($L90&gt;0,IF(INDEX('Invullen groen'!$N:$N,$L90)&gt;0,INDEX('Invullen groen'!$N:$N,$L90),""),""),"")</f>
        <v/>
      </c>
      <c r="D90" s="77" t="n"/>
      <c r="E90" s="77">
        <f>IFERROR(IF(LEN(J90)&lt;=36,J90,IFERROR(LEFT(J90,FIND(CHAR(1),SUBSTITUTE(LEFT(J90,36)," ",CHAR(1),LEN(LEFT(J90,36))-LEN(SUBSTITUTE(LEFT(J90,36)," ",""))))-1),LEFT(J90,36))),"")</f>
        <v/>
      </c>
      <c r="F90" s="101">
        <f>IFERROR(IF($L90&gt;0,IF(INDEX('Invullen groen'!$H:$H,$L90)=0,"",INT(INDEX('Invullen groen'!$H:$H,$L90))),""),"")</f>
        <v/>
      </c>
      <c r="G90" s="101">
        <f>IFERROR(IF($L90&gt;0,IF(INDEX('Invullen groen'!$I:$I,$L90)=0,"",INT(INDEX('Invullen groen'!$I:$I,$L90))),""),"")</f>
        <v/>
      </c>
      <c r="H90" s="101">
        <f>IFERROR(IF($L90&gt;0,IF(INDEX('Invullen groen'!$J:$J,$L90)=0,"",INT(INDEX('Invullen groen'!$J:$J,$L90))),""),"")</f>
        <v/>
      </c>
      <c r="I90" s="101">
        <f>IFERROR(IF($L90&gt;0,IF(INDEX('Invullen groen'!$K:$K,$L90)=0,"",INT(INDEX('Invullen groen'!$K:$K,$L90))),""),"")</f>
        <v/>
      </c>
      <c r="J90" s="77">
        <f>IF($L90&gt;0,IFERROR($K$1&amp;" "&amp;TRIM(SUBSTITUTE(SUBSTITUTE(SUBSTITUTE(SUBSTITUTE(SUBSTITUTE(SUBSTITUTE(SUBSTITUTE(SUBSTITUTE(SUBSTITUTE(SUBSTITUTE(SUBSTITUTE(SUBSTITUTE(LOWER(INDEX('Invullen groen'!$O:$O,$L90)),"2024",""),"2025",""),"2026",""),"2027",""),"2028",""),"2029",""),"taakveld ",""),"installaties","inst"),"ruwbouw","ruwb"),"afbouw","afb"),"bijstelling","bijst"),"investeringen","invest")),""),"")</f>
        <v/>
      </c>
      <c r="K90" s="77" t="n"/>
      <c r="L90" s="83">
        <f>IFERROR(MATCH(ROW()-4,'Invullen groen'!$P$17:$P$109,0)+16,0)</f>
        <v/>
      </c>
    </row>
    <row r="91" hidden="1" ht="15" customHeight="1" s="402">
      <c r="A91" s="78">
        <f>IFERROR(IF($L91&gt;0,INDEX('Invullen groen'!$E:$E,$L91),""),"")</f>
        <v/>
      </c>
      <c r="B91" s="78">
        <f>IFERROR(IF($L91&gt;0,IF(INDEX('Invullen groen'!$F:$F,$L91)&gt;0,INDEX('Invullen groen'!$F:$F,$L91),""),""),"")</f>
        <v/>
      </c>
      <c r="C91" s="78">
        <f>IFERROR(IF($L91&gt;0,IF(INDEX('Invullen groen'!$N:$N,$L91)&gt;0,INDEX('Invullen groen'!$N:$N,$L91),""),""),"")</f>
        <v/>
      </c>
      <c r="D91" s="78" t="n"/>
      <c r="E91" s="78">
        <f>IFERROR(IF(LEN(J91)&lt;=36,J91,IFERROR(LEFT(J91,FIND(CHAR(1),SUBSTITUTE(LEFT(J91,36)," ",CHAR(1),LEN(LEFT(J91,36))-LEN(SUBSTITUTE(LEFT(J91,36)," ",""))))-1),LEFT(J91,36))),"")</f>
        <v/>
      </c>
      <c r="F91" s="100">
        <f>IFERROR(IF($L91&gt;0,IF(INDEX('Invullen groen'!$H:$H,$L91)=0,"",INT(INDEX('Invullen groen'!$H:$H,$L91))),""),"")</f>
        <v/>
      </c>
      <c r="G91" s="100">
        <f>IFERROR(IF($L91&gt;0,IF(INDEX('Invullen groen'!$I:$I,$L91)=0,"",INT(INDEX('Invullen groen'!$I:$I,$L91))),""),"")</f>
        <v/>
      </c>
      <c r="H91" s="100">
        <f>IFERROR(IF($L91&gt;0,IF(INDEX('Invullen groen'!$J:$J,$L91)=0,"",INT(INDEX('Invullen groen'!$J:$J,$L91))),""),"")</f>
        <v/>
      </c>
      <c r="I91" s="100">
        <f>IFERROR(IF($L91&gt;0,IF(INDEX('Invullen groen'!$K:$K,$L91)=0,"",INT(INDEX('Invullen groen'!$K:$K,$L91))),""),"")</f>
        <v/>
      </c>
      <c r="J91" s="78">
        <f>IF($L91&gt;0,IFERROR($K$1&amp;" "&amp;TRIM(SUBSTITUTE(SUBSTITUTE(SUBSTITUTE(SUBSTITUTE(SUBSTITUTE(SUBSTITUTE(SUBSTITUTE(SUBSTITUTE(SUBSTITUTE(SUBSTITUTE(SUBSTITUTE(SUBSTITUTE(LOWER(INDEX('Invullen groen'!$O:$O,$L91)),"2024",""),"2025",""),"2026",""),"2027",""),"2028",""),"2029",""),"taakveld ",""),"installaties","inst"),"ruwbouw","ruwb"),"afbouw","afb"),"bijstelling","bijst"),"investeringen","invest")),""),"")</f>
        <v/>
      </c>
      <c r="K91" s="78" t="n"/>
      <c r="L91" s="83">
        <f>IFERROR(MATCH(ROW()-4,'Invullen groen'!$P$17:$P$109,0)+16,0)</f>
        <v/>
      </c>
    </row>
    <row r="92" hidden="1" ht="15" customHeight="1" s="402">
      <c r="A92" s="77">
        <f>IFERROR(IF($L92&gt;0,INDEX('Invullen groen'!$E:$E,$L92),""),"")</f>
        <v/>
      </c>
      <c r="B92" s="77">
        <f>IFERROR(IF($L92&gt;0,IF(INDEX('Invullen groen'!$F:$F,$L92)&gt;0,INDEX('Invullen groen'!$F:$F,$L92),""),""),"")</f>
        <v/>
      </c>
      <c r="C92" s="77">
        <f>IFERROR(IF($L92&gt;0,IF(INDEX('Invullen groen'!$N:$N,$L92)&gt;0,INDEX('Invullen groen'!$N:$N,$L92),""),""),"")</f>
        <v/>
      </c>
      <c r="D92" s="77" t="n"/>
      <c r="E92" s="77">
        <f>IFERROR(IF(LEN(J92)&lt;=36,J92,IFERROR(LEFT(J92,FIND(CHAR(1),SUBSTITUTE(LEFT(J92,36)," ",CHAR(1),LEN(LEFT(J92,36))-LEN(SUBSTITUTE(LEFT(J92,36)," ",""))))-1),LEFT(J92,36))),"")</f>
        <v/>
      </c>
      <c r="F92" s="101">
        <f>IFERROR(IF($L92&gt;0,IF(INDEX('Invullen groen'!$H:$H,$L92)=0,"",INT(INDEX('Invullen groen'!$H:$H,$L92))),""),"")</f>
        <v/>
      </c>
      <c r="G92" s="101">
        <f>IFERROR(IF($L92&gt;0,IF(INDEX('Invullen groen'!$I:$I,$L92)=0,"",INT(INDEX('Invullen groen'!$I:$I,$L92))),""),"")</f>
        <v/>
      </c>
      <c r="H92" s="101">
        <f>IFERROR(IF($L92&gt;0,IF(INDEX('Invullen groen'!$J:$J,$L92)=0,"",INT(INDEX('Invullen groen'!$J:$J,$L92))),""),"")</f>
        <v/>
      </c>
      <c r="I92" s="101">
        <f>IFERROR(IF($L92&gt;0,IF(INDEX('Invullen groen'!$K:$K,$L92)=0,"",INT(INDEX('Invullen groen'!$K:$K,$L92))),""),"")</f>
        <v/>
      </c>
      <c r="J92" s="77">
        <f>IF($L92&gt;0,IFERROR($K$1&amp;" "&amp;TRIM(SUBSTITUTE(SUBSTITUTE(SUBSTITUTE(SUBSTITUTE(SUBSTITUTE(SUBSTITUTE(SUBSTITUTE(SUBSTITUTE(SUBSTITUTE(SUBSTITUTE(SUBSTITUTE(SUBSTITUTE(LOWER(INDEX('Invullen groen'!$O:$O,$L92)),"2024",""),"2025",""),"2026",""),"2027",""),"2028",""),"2029",""),"taakveld ",""),"installaties","inst"),"ruwbouw","ruwb"),"afbouw","afb"),"bijstelling","bijst"),"investeringen","invest")),""),"")</f>
        <v/>
      </c>
      <c r="K92" s="77" t="n"/>
      <c r="L92" s="83">
        <f>IFERROR(MATCH(ROW()-4,'Invullen groen'!$P$17:$P$109,0)+16,0)</f>
        <v/>
      </c>
    </row>
    <row r="93" hidden="1" ht="15" customHeight="1" s="402">
      <c r="A93" s="78">
        <f>IFERROR(IF($L93&gt;0,INDEX('Invullen groen'!$E:$E,$L93),""),"")</f>
        <v/>
      </c>
      <c r="B93" s="78">
        <f>IFERROR(IF($L93&gt;0,IF(INDEX('Invullen groen'!$F:$F,$L93)&gt;0,INDEX('Invullen groen'!$F:$F,$L93),""),""),"")</f>
        <v/>
      </c>
      <c r="C93" s="78">
        <f>IFERROR(IF($L93&gt;0,IF(INDEX('Invullen groen'!$N:$N,$L93)&gt;0,INDEX('Invullen groen'!$N:$N,$L93),""),""),"")</f>
        <v/>
      </c>
      <c r="D93" s="78" t="n"/>
      <c r="E93" s="78">
        <f>IFERROR(IF(LEN(J93)&lt;=36,J93,IFERROR(LEFT(J93,FIND(CHAR(1),SUBSTITUTE(LEFT(J93,36)," ",CHAR(1),LEN(LEFT(J93,36))-LEN(SUBSTITUTE(LEFT(J93,36)," ",""))))-1),LEFT(J93,36))),"")</f>
        <v/>
      </c>
      <c r="F93" s="100">
        <f>IFERROR(IF($L93&gt;0,IF(INDEX('Invullen groen'!$H:$H,$L93)=0,"",INT(INDEX('Invullen groen'!$H:$H,$L93))),""),"")</f>
        <v/>
      </c>
      <c r="G93" s="100">
        <f>IFERROR(IF($L93&gt;0,IF(INDEX('Invullen groen'!$I:$I,$L93)=0,"",INT(INDEX('Invullen groen'!$I:$I,$L93))),""),"")</f>
        <v/>
      </c>
      <c r="H93" s="100">
        <f>IFERROR(IF($L93&gt;0,IF(INDEX('Invullen groen'!$J:$J,$L93)=0,"",INT(INDEX('Invullen groen'!$J:$J,$L93))),""),"")</f>
        <v/>
      </c>
      <c r="I93" s="100">
        <f>IFERROR(IF($L93&gt;0,IF(INDEX('Invullen groen'!$K:$K,$L93)=0,"",INT(INDEX('Invullen groen'!$K:$K,$L93))),""),"")</f>
        <v/>
      </c>
      <c r="J93" s="78">
        <f>IF($L93&gt;0,IFERROR($K$1&amp;" "&amp;TRIM(SUBSTITUTE(SUBSTITUTE(SUBSTITUTE(SUBSTITUTE(SUBSTITUTE(SUBSTITUTE(SUBSTITUTE(SUBSTITUTE(SUBSTITUTE(SUBSTITUTE(SUBSTITUTE(SUBSTITUTE(LOWER(INDEX('Invullen groen'!$O:$O,$L93)),"2024",""),"2025",""),"2026",""),"2027",""),"2028",""),"2029",""),"taakveld ",""),"installaties","inst"),"ruwbouw","ruwb"),"afbouw","afb"),"bijstelling","bijst"),"investeringen","invest")),""),"")</f>
        <v/>
      </c>
      <c r="K93" s="78" t="n"/>
      <c r="L93" s="83">
        <f>IFERROR(MATCH(ROW()-4,'Invullen groen'!$P$17:$P$109,0)+16,0)</f>
        <v/>
      </c>
    </row>
    <row r="94" hidden="1" ht="15" customHeight="1" s="402">
      <c r="A94" s="77">
        <f>IFERROR(IF($L94&gt;0,INDEX('Invullen groen'!$E:$E,$L94),""),"")</f>
        <v/>
      </c>
      <c r="B94" s="77">
        <f>IFERROR(IF($L94&gt;0,IF(INDEX('Invullen groen'!$F:$F,$L94)&gt;0,INDEX('Invullen groen'!$F:$F,$L94),""),""),"")</f>
        <v/>
      </c>
      <c r="C94" s="77">
        <f>IFERROR(IF($L94&gt;0,IF(INDEX('Invullen groen'!$N:$N,$L94)&gt;0,INDEX('Invullen groen'!$N:$N,$L94),""),""),"")</f>
        <v/>
      </c>
      <c r="D94" s="77" t="n"/>
      <c r="E94" s="77">
        <f>IFERROR(IF(LEN(J94)&lt;=36,J94,IFERROR(LEFT(J94,FIND(CHAR(1),SUBSTITUTE(LEFT(J94,36)," ",CHAR(1),LEN(LEFT(J94,36))-LEN(SUBSTITUTE(LEFT(J94,36)," ",""))))-1),LEFT(J94,36))),"")</f>
        <v/>
      </c>
      <c r="F94" s="101">
        <f>IFERROR(IF($L94&gt;0,IF(INDEX('Invullen groen'!$H:$H,$L94)=0,"",INT(INDEX('Invullen groen'!$H:$H,$L94))),""),"")</f>
        <v/>
      </c>
      <c r="G94" s="101">
        <f>IFERROR(IF($L94&gt;0,IF(INDEX('Invullen groen'!$I:$I,$L94)=0,"",INT(INDEX('Invullen groen'!$I:$I,$L94))),""),"")</f>
        <v/>
      </c>
      <c r="H94" s="101">
        <f>IFERROR(IF($L94&gt;0,IF(INDEX('Invullen groen'!$J:$J,$L94)=0,"",INT(INDEX('Invullen groen'!$J:$J,$L94))),""),"")</f>
        <v/>
      </c>
      <c r="I94" s="101">
        <f>IFERROR(IF($L94&gt;0,IF(INDEX('Invullen groen'!$K:$K,$L94)=0,"",INT(INDEX('Invullen groen'!$K:$K,$L94))),""),"")</f>
        <v/>
      </c>
      <c r="J94" s="77">
        <f>IF($L94&gt;0,IFERROR($K$1&amp;" "&amp;TRIM(SUBSTITUTE(SUBSTITUTE(SUBSTITUTE(SUBSTITUTE(SUBSTITUTE(SUBSTITUTE(SUBSTITUTE(SUBSTITUTE(SUBSTITUTE(SUBSTITUTE(SUBSTITUTE(SUBSTITUTE(LOWER(INDEX('Invullen groen'!$O:$O,$L94)),"2024",""),"2025",""),"2026",""),"2027",""),"2028",""),"2029",""),"taakveld ",""),"installaties","inst"),"ruwbouw","ruwb"),"afbouw","afb"),"bijstelling","bijst"),"investeringen","invest")),""),"")</f>
        <v/>
      </c>
      <c r="K94" s="77" t="n"/>
      <c r="L94" s="83">
        <f>IFERROR(MATCH(ROW()-4,'Invullen groen'!$P$17:$P$109,0)+16,0)</f>
        <v/>
      </c>
    </row>
    <row r="95" hidden="1" ht="15" customHeight="1" s="402">
      <c r="A95" s="78">
        <f>IFERROR(IF($L95&gt;0,INDEX('Invullen groen'!$E:$E,$L95),""),"")</f>
        <v/>
      </c>
      <c r="B95" s="78">
        <f>IFERROR(IF($L95&gt;0,IF(INDEX('Invullen groen'!$F:$F,$L95)&gt;0,INDEX('Invullen groen'!$F:$F,$L95),""),""),"")</f>
        <v/>
      </c>
      <c r="C95" s="78">
        <f>IFERROR(IF($L95&gt;0,IF(INDEX('Invullen groen'!$N:$N,$L95)&gt;0,INDEX('Invullen groen'!$N:$N,$L95),""),""),"")</f>
        <v/>
      </c>
      <c r="D95" s="78" t="n"/>
      <c r="E95" s="78">
        <f>IFERROR(IF(LEN(J95)&lt;=36,J95,IFERROR(LEFT(J95,FIND(CHAR(1),SUBSTITUTE(LEFT(J95,36)," ",CHAR(1),LEN(LEFT(J95,36))-LEN(SUBSTITUTE(LEFT(J95,36)," ",""))))-1),LEFT(J95,36))),"")</f>
        <v/>
      </c>
      <c r="F95" s="100">
        <f>IFERROR(IF($L95&gt;0,IF(INDEX('Invullen groen'!$H:$H,$L95)=0,"",INT(INDEX('Invullen groen'!$H:$H,$L95))),""),"")</f>
        <v/>
      </c>
      <c r="G95" s="100">
        <f>IFERROR(IF($L95&gt;0,IF(INDEX('Invullen groen'!$I:$I,$L95)=0,"",INT(INDEX('Invullen groen'!$I:$I,$L95))),""),"")</f>
        <v/>
      </c>
      <c r="H95" s="100">
        <f>IFERROR(IF($L95&gt;0,IF(INDEX('Invullen groen'!$J:$J,$L95)=0,"",INT(INDEX('Invullen groen'!$J:$J,$L95))),""),"")</f>
        <v/>
      </c>
      <c r="I95" s="100">
        <f>IFERROR(IF($L95&gt;0,IF(INDEX('Invullen groen'!$K:$K,$L95)=0,"",INT(INDEX('Invullen groen'!$K:$K,$L95))),""),"")</f>
        <v/>
      </c>
      <c r="J95" s="78">
        <f>IF($L95&gt;0,IFERROR($K$1&amp;" "&amp;TRIM(SUBSTITUTE(SUBSTITUTE(SUBSTITUTE(SUBSTITUTE(SUBSTITUTE(SUBSTITUTE(SUBSTITUTE(SUBSTITUTE(SUBSTITUTE(SUBSTITUTE(SUBSTITUTE(SUBSTITUTE(LOWER(INDEX('Invullen groen'!$O:$O,$L95)),"2024",""),"2025",""),"2026",""),"2027",""),"2028",""),"2029",""),"taakveld ",""),"installaties","inst"),"ruwbouw","ruwb"),"afbouw","afb"),"bijstelling","bijst"),"investeringen","invest")),""),"")</f>
        <v/>
      </c>
      <c r="K95" s="78" t="n"/>
      <c r="L95" s="83">
        <f>IFERROR(MATCH(ROW()-4,'Invullen groen'!$P$17:$P$109,0)+16,0)</f>
        <v/>
      </c>
    </row>
    <row r="96" hidden="1" s="402">
      <c r="A96" s="102">
        <f>IFERROR(IF($L96&gt;0,INDEX('Invullen groen'!$E:$E,$L96),""),"")</f>
        <v/>
      </c>
      <c r="B96" s="83">
        <f>IFERROR(IF($L96&gt;0,IF(INDEX('Invullen groen'!$F:$F,$L96)&gt;0,INDEX('Invullen groen'!$F:$F,$L96),""),""),"")</f>
        <v/>
      </c>
      <c r="C96" s="83">
        <f>IFERROR(IF($L96&gt;0,IF(INDEX('Invullen groen'!$N:$N,$L96)&gt;0,INDEX('Invullen groen'!$N:$N,$L96),""),""),"")</f>
        <v/>
      </c>
      <c r="D96" s="83" t="n"/>
      <c r="E96" s="83">
        <f>IFERROR(IF(LEN(J96)&lt;=36,J96,IFERROR(LEFT(J96,FIND(CHAR(1),SUBSTITUTE(LEFT(J96,36)," ",CHAR(1),LEN(LEFT(J96,36))-LEN(SUBSTITUTE(LEFT(J96,36)," ",""))))-1),LEFT(J96,36))),"")</f>
        <v/>
      </c>
      <c r="F96" s="103">
        <f>IFERROR(IF($L96&gt;0,IF(INDEX('Invullen groen'!$H:$H,$L96)=0,"",INT(INDEX('Invullen groen'!$H:$H,$L96))),""),"")</f>
        <v/>
      </c>
      <c r="G96" s="103">
        <f>IFERROR(IF($L96&gt;0,IF(INDEX('Invullen groen'!$I:$I,$L96)=0,"",INT(INDEX('Invullen groen'!$I:$I,$L96))),""),"")</f>
        <v/>
      </c>
      <c r="H96" s="103">
        <f>IFERROR(IF($L96&gt;0,IF(INDEX('Invullen groen'!$J:$J,$L96)=0,"",INT(INDEX('Invullen groen'!$J:$J,$L96))),""),"")</f>
        <v/>
      </c>
      <c r="I96" s="103">
        <f>IFERROR(IF($L96&gt;0,IF(INDEX('Invullen groen'!$K:$K,$L96)=0,"",INT(INDEX('Invullen groen'!$K:$K,$L96))),""),"")</f>
        <v/>
      </c>
      <c r="J96" s="83">
        <f>IF($L96&gt;0,IFERROR($K$1&amp;" "&amp;TRIM(SUBSTITUTE(SUBSTITUTE(SUBSTITUTE(SUBSTITUTE(SUBSTITUTE(SUBSTITUTE(SUBSTITUTE(SUBSTITUTE(SUBSTITUTE(SUBSTITUTE(SUBSTITUTE(SUBSTITUTE(LOWER(INDEX('Invullen groen'!$O:$O,$L96)),"2024",""),"2025",""),"2026",""),"2027",""),"2028",""),"2029",""),"taakveld ",""),"installaties","inst"),"ruwbouw","ruwb"),"afbouw","afb"),"bijstelling","bijst"),"investeringen","invest")),""),"")</f>
        <v/>
      </c>
      <c r="K96" s="83" t="n"/>
      <c r="L96" s="83">
        <f>IFERROR(MATCH(ROW()-4,'Invullen groen'!$P$17:$P$109,0)+16,0)</f>
        <v/>
      </c>
    </row>
    <row r="97" hidden="1" s="402">
      <c r="A97" s="102">
        <f>IFERROR(IF($L97&gt;0,INDEX('Invullen groen'!$E:$E,$L97),""),"")</f>
        <v/>
      </c>
      <c r="B97" s="83">
        <f>IFERROR(IF($L97&gt;0,IF(INDEX('Invullen groen'!$F:$F,$L97)&gt;0,INDEX('Invullen groen'!$F:$F,$L97),""),""),"")</f>
        <v/>
      </c>
      <c r="C97" s="83">
        <f>IFERROR(IF($L97&gt;0,IF(INDEX('Invullen groen'!$N:$N,$L97)&gt;0,INDEX('Invullen groen'!$N:$N,$L97),""),""),"")</f>
        <v/>
      </c>
      <c r="D97" s="83" t="n"/>
      <c r="E97" s="83">
        <f>IFERROR(IF(LEN(J97)&lt;=36,J97,IFERROR(LEFT(J97,FIND(CHAR(1),SUBSTITUTE(LEFT(J97,36)," ",CHAR(1),LEN(LEFT(J97,36))-LEN(SUBSTITUTE(LEFT(J97,36)," ",""))))-1),LEFT(J97,36))),"")</f>
        <v/>
      </c>
      <c r="F97" s="103">
        <f>IFERROR(IF($L97&gt;0,IF(INDEX('Invullen groen'!$H:$H,$L97)=0,"",INT(INDEX('Invullen groen'!$H:$H,$L97))),""),"")</f>
        <v/>
      </c>
      <c r="G97" s="103">
        <f>IFERROR(IF($L97&gt;0,IF(INDEX('Invullen groen'!$I:$I,$L97)=0,"",INT(INDEX('Invullen groen'!$I:$I,$L97))),""),"")</f>
        <v/>
      </c>
      <c r="H97" s="103">
        <f>IFERROR(IF($L97&gt;0,IF(INDEX('Invullen groen'!$J:$J,$L97)=0,"",INT(INDEX('Invullen groen'!$J:$J,$L97))),""),"")</f>
        <v/>
      </c>
      <c r="I97" s="103">
        <f>IFERROR(IF($L97&gt;0,IF(INDEX('Invullen groen'!$K:$K,$L97)=0,"",INT(INDEX('Invullen groen'!$K:$K,$L97))),""),"")</f>
        <v/>
      </c>
      <c r="J97" s="83">
        <f>IF($L97&gt;0,IFERROR($K$1&amp;" "&amp;TRIM(SUBSTITUTE(SUBSTITUTE(SUBSTITUTE(SUBSTITUTE(SUBSTITUTE(SUBSTITUTE(SUBSTITUTE(SUBSTITUTE(SUBSTITUTE(SUBSTITUTE(SUBSTITUTE(SUBSTITUTE(LOWER(INDEX('Invullen groen'!$O:$O,$L97)),"2024",""),"2025",""),"2026",""),"2027",""),"2028",""),"2029",""),"taakveld ",""),"installaties","inst"),"ruwbouw","ruwb"),"afbouw","afb"),"bijstelling","bijst"),"investeringen","invest")),""),"")</f>
        <v/>
      </c>
      <c r="K97" s="83" t="n"/>
      <c r="L97" s="83">
        <f>IFERROR(MATCH(ROW()-4,'Invullen groen'!$P$17:$P$109,0)+16,0)</f>
        <v/>
      </c>
    </row>
    <row r="98" hidden="1" s="402">
      <c r="A98" s="102">
        <f>IFERROR(IF($L98&gt;0,INDEX('Invullen groen'!$E:$E,$L98),""),"")</f>
        <v/>
      </c>
      <c r="B98" s="83">
        <f>IFERROR(IF($L98&gt;0,IF(INDEX('Invullen groen'!$F:$F,$L98)&gt;0,INDEX('Invullen groen'!$F:$F,$L98),""),""),"")</f>
        <v/>
      </c>
      <c r="C98" s="83">
        <f>IFERROR(IF($L98&gt;0,IF(INDEX('Invullen groen'!$N:$N,$L98)&gt;0,INDEX('Invullen groen'!$N:$N,$L98),""),""),"")</f>
        <v/>
      </c>
      <c r="D98" s="83" t="n"/>
      <c r="E98" s="83">
        <f>IFERROR(IF(LEN(J98)&lt;=36,J98,IFERROR(LEFT(J98,FIND(CHAR(1),SUBSTITUTE(LEFT(J98,36)," ",CHAR(1),LEN(LEFT(J98,36))-LEN(SUBSTITUTE(LEFT(J98,36)," ",""))))-1),LEFT(J98,36))),"")</f>
        <v/>
      </c>
      <c r="F98" s="103">
        <f>IFERROR(IF($L98&gt;0,IF(INDEX('Invullen groen'!$H:$H,$L98)=0,"",INT(INDEX('Invullen groen'!$H:$H,$L98))),""),"")</f>
        <v/>
      </c>
      <c r="G98" s="103">
        <f>IFERROR(IF($L98&gt;0,IF(INDEX('Invullen groen'!$I:$I,$L98)=0,"",INT(INDEX('Invullen groen'!$I:$I,$L98))),""),"")</f>
        <v/>
      </c>
      <c r="H98" s="103">
        <f>IFERROR(IF($L98&gt;0,IF(INDEX('Invullen groen'!$J:$J,$L98)=0,"",INT(INDEX('Invullen groen'!$J:$J,$L98))),""),"")</f>
        <v/>
      </c>
      <c r="I98" s="103">
        <f>IFERROR(IF($L98&gt;0,IF(INDEX('Invullen groen'!$K:$K,$L98)=0,"",INT(INDEX('Invullen groen'!$K:$K,$L98))),""),"")</f>
        <v/>
      </c>
      <c r="J98" s="83">
        <f>IF($L98&gt;0,IFERROR($K$1&amp;" "&amp;TRIM(SUBSTITUTE(SUBSTITUTE(SUBSTITUTE(SUBSTITUTE(SUBSTITUTE(SUBSTITUTE(SUBSTITUTE(SUBSTITUTE(SUBSTITUTE(SUBSTITUTE(SUBSTITUTE(SUBSTITUTE(LOWER(INDEX('Invullen groen'!$O:$O,$L98)),"2024",""),"2025",""),"2026",""),"2027",""),"2028",""),"2029",""),"taakveld ",""),"installaties","inst"),"ruwbouw","ruwb"),"afbouw","afb"),"bijstelling","bijst"),"investeringen","invest")),""),"")</f>
        <v/>
      </c>
      <c r="K98" s="83" t="n"/>
      <c r="L98" s="83">
        <f>IFERROR(MATCH(ROW()-4,'Invullen groen'!$P$17:$P$109,0)+16,0)</f>
        <v/>
      </c>
    </row>
    <row r="99" hidden="1" s="402">
      <c r="A99" s="102">
        <f>IFERROR(IF($L99&gt;0,INDEX('Invullen groen'!$E:$E,$L99),""),"")</f>
        <v/>
      </c>
      <c r="B99" s="83">
        <f>IFERROR(IF($L99&gt;0,IF(INDEX('Invullen groen'!$F:$F,$L99)&gt;0,INDEX('Invullen groen'!$F:$F,$L99),""),""),"")</f>
        <v/>
      </c>
      <c r="C99" s="83">
        <f>IFERROR(IF($L99&gt;0,IF(INDEX('Invullen groen'!$N:$N,$L99)&gt;0,INDEX('Invullen groen'!$N:$N,$L99),""),""),"")</f>
        <v/>
      </c>
      <c r="D99" s="83" t="n"/>
      <c r="E99" s="83">
        <f>IFERROR(IF(LEN(J99)&lt;=36,J99,IFERROR(LEFT(J99,FIND(CHAR(1),SUBSTITUTE(LEFT(J99,36)," ",CHAR(1),LEN(LEFT(J99,36))-LEN(SUBSTITUTE(LEFT(J99,36)," ",""))))-1),LEFT(J99,36))),"")</f>
        <v/>
      </c>
      <c r="F99" s="103">
        <f>IFERROR(IF($L99&gt;0,IF(INDEX('Invullen groen'!$H:$H,$L99)=0,"",INT(INDEX('Invullen groen'!$H:$H,$L99))),""),"")</f>
        <v/>
      </c>
      <c r="G99" s="103">
        <f>IFERROR(IF($L99&gt;0,IF(INDEX('Invullen groen'!$I:$I,$L99)=0,"",INT(INDEX('Invullen groen'!$I:$I,$L99))),""),"")</f>
        <v/>
      </c>
      <c r="H99" s="103">
        <f>IFERROR(IF($L99&gt;0,IF(INDEX('Invullen groen'!$J:$J,$L99)=0,"",INT(INDEX('Invullen groen'!$J:$J,$L99))),""),"")</f>
        <v/>
      </c>
      <c r="I99" s="103">
        <f>IFERROR(IF($L99&gt;0,IF(INDEX('Invullen groen'!$K:$K,$L99)=0,"",INT(INDEX('Invullen groen'!$K:$K,$L99))),""),"")</f>
        <v/>
      </c>
      <c r="J99" s="83">
        <f>IF($L99&gt;0,IFERROR($K$1&amp;" "&amp;TRIM(SUBSTITUTE(SUBSTITUTE(SUBSTITUTE(SUBSTITUTE(SUBSTITUTE(SUBSTITUTE(SUBSTITUTE(SUBSTITUTE(SUBSTITUTE(SUBSTITUTE(SUBSTITUTE(SUBSTITUTE(LOWER(INDEX('Invullen groen'!$O:$O,$L99)),"2024",""),"2025",""),"2026",""),"2027",""),"2028",""),"2029",""),"taakveld ",""),"installaties","inst"),"ruwbouw","ruwb"),"afbouw","afb"),"bijstelling","bijst"),"investeringen","invest")),""),"")</f>
        <v/>
      </c>
      <c r="K99" s="83" t="n"/>
      <c r="L99" s="83">
        <f>IFERROR(MATCH(ROW()-4,'Invullen groen'!$P$17:$P$109,0)+16,0)</f>
        <v/>
      </c>
    </row>
    <row r="100" hidden="1" s="402">
      <c r="A100" s="102">
        <f>IFERROR(IF($L100&gt;0,INDEX('Invullen groen'!$E:$E,$L100),""),"")</f>
        <v/>
      </c>
      <c r="B100" s="83">
        <f>IFERROR(IF($L100&gt;0,IF(INDEX('Invullen groen'!$F:$F,$L100)&gt;0,INDEX('Invullen groen'!$F:$F,$L100),""),""),"")</f>
        <v/>
      </c>
      <c r="C100" s="83">
        <f>IFERROR(IF($L100&gt;0,IF(INDEX('Invullen groen'!$N:$N,$L100)&gt;0,INDEX('Invullen groen'!$N:$N,$L100),""),""),"")</f>
        <v/>
      </c>
      <c r="D100" s="83" t="n"/>
      <c r="E100" s="83">
        <f>IFERROR(IF(LEN(J100)&lt;=36,J100,IFERROR(LEFT(J100,FIND(CHAR(1),SUBSTITUTE(LEFT(J100,36)," ",CHAR(1),LEN(LEFT(J100,36))-LEN(SUBSTITUTE(LEFT(J100,36)," ",""))))-1),LEFT(J100,36))),"")</f>
        <v/>
      </c>
      <c r="F100" s="103">
        <f>IFERROR(IF($L100&gt;0,IF(INDEX('Invullen groen'!$H:$H,$L100)=0,"",INT(INDEX('Invullen groen'!$H:$H,$L100))),""),"")</f>
        <v/>
      </c>
      <c r="G100" s="103">
        <f>IFERROR(IF($L100&gt;0,IF(INDEX('Invullen groen'!$I:$I,$L100)=0,"",INT(INDEX('Invullen groen'!$I:$I,$L100))),""),"")</f>
        <v/>
      </c>
      <c r="H100" s="103">
        <f>IFERROR(IF($L100&gt;0,IF(INDEX('Invullen groen'!$J:$J,$L100)=0,"",INT(INDEX('Invullen groen'!$J:$J,$L100))),""),"")</f>
        <v/>
      </c>
      <c r="I100" s="103">
        <f>IFERROR(IF($L100&gt;0,IF(INDEX('Invullen groen'!$K:$K,$L100)=0,"",INT(INDEX('Invullen groen'!$K:$K,$L100))),""),"")</f>
        <v/>
      </c>
      <c r="J100" s="83">
        <f>IF($L100&gt;0,IFERROR($K$1&amp;" "&amp;TRIM(SUBSTITUTE(SUBSTITUTE(SUBSTITUTE(SUBSTITUTE(SUBSTITUTE(SUBSTITUTE(SUBSTITUTE(SUBSTITUTE(SUBSTITUTE(SUBSTITUTE(SUBSTITUTE(SUBSTITUTE(LOWER(INDEX('Invullen groen'!$O:$O,$L100)),"2024",""),"2025",""),"2026",""),"2027",""),"2028",""),"2029",""),"taakveld ",""),"installaties","inst"),"ruwbouw","ruwb"),"afbouw","afb"),"bijstelling","bijst"),"investeringen","invest")),""),"")</f>
        <v/>
      </c>
      <c r="K100" s="83" t="n"/>
      <c r="L100" s="83">
        <f>IFERROR(MATCH(ROW()-4,'Invullen groen'!$P$17:$P$109,0)+16,0)</f>
        <v/>
      </c>
    </row>
    <row r="101" hidden="1" s="402">
      <c r="A101" s="102">
        <f>IFERROR(IF($L101&gt;0,INDEX('Invullen groen'!$E:$E,$L101),""),"")</f>
        <v/>
      </c>
      <c r="B101" s="83">
        <f>IFERROR(IF($L101&gt;0,IF(INDEX('Invullen groen'!$F:$F,$L101)&gt;0,INDEX('Invullen groen'!$F:$F,$L101),""),""),"")</f>
        <v/>
      </c>
      <c r="C101" s="83">
        <f>IFERROR(IF($L101&gt;0,IF(INDEX('Invullen groen'!$N:$N,$L101)&gt;0,INDEX('Invullen groen'!$N:$N,$L101),""),""),"")</f>
        <v/>
      </c>
      <c r="D101" s="83" t="n"/>
      <c r="E101" s="83">
        <f>IFERROR(IF(LEN(J101)&lt;=36,J101,IFERROR(LEFT(J101,FIND(CHAR(1),SUBSTITUTE(LEFT(J101,36)," ",CHAR(1),LEN(LEFT(J101,36))-LEN(SUBSTITUTE(LEFT(J101,36)," ",""))))-1),LEFT(J101,36))),"")</f>
        <v/>
      </c>
      <c r="F101" s="103">
        <f>IFERROR(IF($L101&gt;0,IF(INDEX('Invullen groen'!$H:$H,$L101)=0,"",INT(INDEX('Invullen groen'!$H:$H,$L101))),""),"")</f>
        <v/>
      </c>
      <c r="G101" s="103">
        <f>IFERROR(IF($L101&gt;0,IF(INDEX('Invullen groen'!$I:$I,$L101)=0,"",INT(INDEX('Invullen groen'!$I:$I,$L101))),""),"")</f>
        <v/>
      </c>
      <c r="H101" s="103">
        <f>IFERROR(IF($L101&gt;0,IF(INDEX('Invullen groen'!$J:$J,$L101)=0,"",INT(INDEX('Invullen groen'!$J:$J,$L101))),""),"")</f>
        <v/>
      </c>
      <c r="I101" s="103">
        <f>IFERROR(IF($L101&gt;0,IF(INDEX('Invullen groen'!$K:$K,$L101)=0,"",INT(INDEX('Invullen groen'!$K:$K,$L101))),""),"")</f>
        <v/>
      </c>
      <c r="J101" s="83">
        <f>IF($L101&gt;0,IFERROR($K$1&amp;" "&amp;TRIM(SUBSTITUTE(SUBSTITUTE(SUBSTITUTE(SUBSTITUTE(SUBSTITUTE(SUBSTITUTE(SUBSTITUTE(SUBSTITUTE(SUBSTITUTE(SUBSTITUTE(SUBSTITUTE(SUBSTITUTE(LOWER(INDEX('Invullen groen'!$O:$O,$L101)),"2024",""),"2025",""),"2026",""),"2027",""),"2028",""),"2029",""),"taakveld ",""),"installaties","inst"),"ruwbouw","ruwb"),"afbouw","afb"),"bijstelling","bijst"),"investeringen","invest")),""),"")</f>
        <v/>
      </c>
      <c r="K101" s="83" t="n"/>
      <c r="L101" s="83">
        <f>IFERROR(MATCH(ROW()-4,'Invullen groen'!$P$17:$P$109,0)+16,0)</f>
        <v/>
      </c>
    </row>
    <row r="102" hidden="1" s="402">
      <c r="A102" s="102">
        <f>IFERROR(IF($L102&gt;0,INDEX('Invullen groen'!$E:$E,$L102),""),"")</f>
        <v/>
      </c>
      <c r="B102" s="83">
        <f>IFERROR(IF($L102&gt;0,IF(INDEX('Invullen groen'!$F:$F,$L102)&gt;0,INDEX('Invullen groen'!$F:$F,$L102),""),""),"")</f>
        <v/>
      </c>
      <c r="C102" s="83">
        <f>IFERROR(IF($L102&gt;0,IF(INDEX('Invullen groen'!$N:$N,$L102)&gt;0,INDEX('Invullen groen'!$N:$N,$L102),""),""),"")</f>
        <v/>
      </c>
      <c r="D102" s="83" t="n"/>
      <c r="E102" s="83">
        <f>IFERROR(IF(LEN(J102)&lt;=36,J102,IFERROR(LEFT(J102,FIND(CHAR(1),SUBSTITUTE(LEFT(J102,36)," ",CHAR(1),LEN(LEFT(J102,36))-LEN(SUBSTITUTE(LEFT(J102,36)," ",""))))-1),LEFT(J102,36))),"")</f>
        <v/>
      </c>
      <c r="F102" s="103">
        <f>IFERROR(IF($L102&gt;0,IF(INDEX('Invullen groen'!$H:$H,$L102)=0,"",INT(INDEX('Invullen groen'!$H:$H,$L102))),""),"")</f>
        <v/>
      </c>
      <c r="G102" s="103">
        <f>IFERROR(IF($L102&gt;0,IF(INDEX('Invullen groen'!$I:$I,$L102)=0,"",INT(INDEX('Invullen groen'!$I:$I,$L102))),""),"")</f>
        <v/>
      </c>
      <c r="H102" s="103">
        <f>IFERROR(IF($L102&gt;0,IF(INDEX('Invullen groen'!$J:$J,$L102)=0,"",INT(INDEX('Invullen groen'!$J:$J,$L102))),""),"")</f>
        <v/>
      </c>
      <c r="I102" s="103">
        <f>IFERROR(IF($L102&gt;0,IF(INDEX('Invullen groen'!$K:$K,$L102)=0,"",INT(INDEX('Invullen groen'!$K:$K,$L102))),""),"")</f>
        <v/>
      </c>
      <c r="J102" s="83">
        <f>IF($L102&gt;0,IFERROR($K$1&amp;" "&amp;TRIM(SUBSTITUTE(SUBSTITUTE(SUBSTITUTE(SUBSTITUTE(SUBSTITUTE(SUBSTITUTE(SUBSTITUTE(SUBSTITUTE(SUBSTITUTE(SUBSTITUTE(SUBSTITUTE(SUBSTITUTE(LOWER(INDEX('Invullen groen'!$O:$O,$L102)),"2024",""),"2025",""),"2026",""),"2027",""),"2028",""),"2029",""),"taakveld ",""),"installaties","inst"),"ruwbouw","ruwb"),"afbouw","afb"),"bijstelling","bijst"),"investeringen","invest")),""),"")</f>
        <v/>
      </c>
      <c r="K102" s="83" t="n"/>
      <c r="L102" s="83">
        <f>IFERROR(MATCH(ROW()-4,'Invullen groen'!$P$17:$P$109,0)+16,0)</f>
        <v/>
      </c>
    </row>
    <row r="103" hidden="1" s="402">
      <c r="A103" s="102">
        <f>IFERROR(IF($L103&gt;0,INDEX('Invullen groen'!$E:$E,$L103),""),"")</f>
        <v/>
      </c>
      <c r="B103" s="83">
        <f>IFERROR(IF($L103&gt;0,IF(INDEX('Invullen groen'!$F:$F,$L103)&gt;0,INDEX('Invullen groen'!$F:$F,$L103),""),""),"")</f>
        <v/>
      </c>
      <c r="C103" s="83">
        <f>IFERROR(IF($L103&gt;0,IF(INDEX('Invullen groen'!$N:$N,$L103)&gt;0,INDEX('Invullen groen'!$N:$N,$L103),""),""),"")</f>
        <v/>
      </c>
      <c r="D103" s="83" t="n"/>
      <c r="E103" s="83">
        <f>IFERROR(IF(LEN(J103)&lt;=36,J103,IFERROR(LEFT(J103,FIND(CHAR(1),SUBSTITUTE(LEFT(J103,36)," ",CHAR(1),LEN(LEFT(J103,36))-LEN(SUBSTITUTE(LEFT(J103,36)," ",""))))-1),LEFT(J103,36))),"")</f>
        <v/>
      </c>
      <c r="F103" s="103">
        <f>IFERROR(IF($L103&gt;0,IF(INDEX('Invullen groen'!$H:$H,$L103)=0,"",INT(INDEX('Invullen groen'!$H:$H,$L103))),""),"")</f>
        <v/>
      </c>
      <c r="G103" s="103">
        <f>IFERROR(IF($L103&gt;0,IF(INDEX('Invullen groen'!$I:$I,$L103)=0,"",INT(INDEX('Invullen groen'!$I:$I,$L103))),""),"")</f>
        <v/>
      </c>
      <c r="H103" s="103">
        <f>IFERROR(IF($L103&gt;0,IF(INDEX('Invullen groen'!$J:$J,$L103)=0,"",INT(INDEX('Invullen groen'!$J:$J,$L103))),""),"")</f>
        <v/>
      </c>
      <c r="I103" s="103">
        <f>IFERROR(IF($L103&gt;0,IF(INDEX('Invullen groen'!$K:$K,$L103)=0,"",INT(INDEX('Invullen groen'!$K:$K,$L103))),""),"")</f>
        <v/>
      </c>
      <c r="J103" s="83">
        <f>IF($L103&gt;0,IFERROR($K$1&amp;" "&amp;TRIM(SUBSTITUTE(SUBSTITUTE(SUBSTITUTE(SUBSTITUTE(SUBSTITUTE(SUBSTITUTE(SUBSTITUTE(SUBSTITUTE(SUBSTITUTE(SUBSTITUTE(SUBSTITUTE(SUBSTITUTE(LOWER(INDEX('Invullen groen'!$O:$O,$L103)),"2024",""),"2025",""),"2026",""),"2027",""),"2028",""),"2029",""),"taakveld ",""),"installaties","inst"),"ruwbouw","ruwb"),"afbouw","afb"),"bijstelling","bijst"),"investeringen","invest")),""),"")</f>
        <v/>
      </c>
      <c r="K103" s="83" t="n"/>
      <c r="L103" s="83">
        <f>IFERROR(MATCH(ROW()-4,'Invullen groen'!$P$17:$P$109,0)+16,0)</f>
        <v/>
      </c>
    </row>
    <row r="104" hidden="1" s="402">
      <c r="A104" s="102">
        <f>IFERROR(IF($L104&gt;0,INDEX('Invullen groen'!$E:$E,$L104),""),"")</f>
        <v/>
      </c>
      <c r="B104" s="83">
        <f>IFERROR(IF($L104&gt;0,IF(INDEX('Invullen groen'!$F:$F,$L104)&gt;0,INDEX('Invullen groen'!$F:$F,$L104),""),""),"")</f>
        <v/>
      </c>
      <c r="C104" s="83">
        <f>IFERROR(IF($L104&gt;0,IF(INDEX('Invullen groen'!$N:$N,$L104)&gt;0,INDEX('Invullen groen'!$N:$N,$L104),""),""),"")</f>
        <v/>
      </c>
      <c r="D104" s="83" t="n"/>
      <c r="E104" s="83">
        <f>IFERROR(IF(LEN(J104)&lt;=36,J104,IFERROR(LEFT(J104,FIND(CHAR(1),SUBSTITUTE(LEFT(J104,36)," ",CHAR(1),LEN(LEFT(J104,36))-LEN(SUBSTITUTE(LEFT(J104,36)," ",""))))-1),LEFT(J104,36))),"")</f>
        <v/>
      </c>
      <c r="F104" s="103">
        <f>IFERROR(IF($L104&gt;0,IF(INDEX('Invullen groen'!$H:$H,$L104)=0,"",INT(INDEX('Invullen groen'!$H:$H,$L104))),""),"")</f>
        <v/>
      </c>
      <c r="G104" s="103">
        <f>IFERROR(IF($L104&gt;0,IF(INDEX('Invullen groen'!$I:$I,$L104)=0,"",INT(INDEX('Invullen groen'!$I:$I,$L104))),""),"")</f>
        <v/>
      </c>
      <c r="H104" s="103">
        <f>IFERROR(IF($L104&gt;0,IF(INDEX('Invullen groen'!$J:$J,$L104)=0,"",INT(INDEX('Invullen groen'!$J:$J,$L104))),""),"")</f>
        <v/>
      </c>
      <c r="I104" s="103">
        <f>IFERROR(IF($L104&gt;0,IF(INDEX('Invullen groen'!$K:$K,$L104)=0,"",INT(INDEX('Invullen groen'!$K:$K,$L104))),""),"")</f>
        <v/>
      </c>
      <c r="J104" s="83">
        <f>IF($L104&gt;0,IFERROR($K$1&amp;" "&amp;TRIM(SUBSTITUTE(SUBSTITUTE(SUBSTITUTE(SUBSTITUTE(SUBSTITUTE(SUBSTITUTE(SUBSTITUTE(SUBSTITUTE(SUBSTITUTE(SUBSTITUTE(SUBSTITUTE(SUBSTITUTE(LOWER(INDEX('Invullen groen'!$O:$O,$L104)),"2024",""),"2025",""),"2026",""),"2027",""),"2028",""),"2029",""),"taakveld ",""),"installaties","inst"),"ruwbouw","ruwb"),"afbouw","afb"),"bijstelling","bijst"),"investeringen","invest")),""),"")</f>
        <v/>
      </c>
      <c r="K104" s="83" t="n"/>
      <c r="L104" s="83">
        <f>IFERROR(MATCH(ROW()-4,'Invullen groen'!$P$17:$P$109,0)+16,0)</f>
        <v/>
      </c>
    </row>
    <row r="105" hidden="1" s="402">
      <c r="A105" s="102">
        <f>IF($L105&gt;0,"+","")</f>
        <v/>
      </c>
      <c r="B105" s="83">
        <f>IFERROR(IF($L105&gt;0,IF(INDEX('Invullen groen'!$F:$F,$L105)&gt;0,INDEX('Invullen groen'!$F:$F,$L105),""),""),"")</f>
        <v/>
      </c>
      <c r="C105" s="83">
        <f>IFERROR(IF($L105&gt;0,IF(INDEX('Invullen groen'!$N:$N,$L105)&gt;0,INDEX('Invullen groen'!$N:$N,$L105),""),""),"")</f>
        <v/>
      </c>
      <c r="D105" s="83" t="n"/>
      <c r="E105" s="83">
        <f>IFERROR(IF(LEN(J105)&lt;=36,J105,IFERROR(LEFT(J105,FIND(CHAR(1),SUBSTITUTE(LEFT(J105,36)," ",CHAR(1),LEN(LEFT(J105,36))-LEN(SUBSTITUTE(LEFT(J105,36)," ",""))))-1),LEFT(J105,36))),"")</f>
        <v/>
      </c>
      <c r="F105" s="103">
        <f>IFERROR(IF($L105&gt;0,IF(INDEX('Invullen groen'!$H:$H,$L105)=0,"",INT(INDEX('Invullen groen'!$H:$H,$L105))),""),"")</f>
        <v/>
      </c>
      <c r="G105" s="103">
        <f>IFERROR(IF($L105&gt;0,IF(INDEX('Invullen groen'!$I:$I,$L105)=0,"",INT(INDEX('Invullen groen'!$I:$I,$L105))),""),"")</f>
        <v/>
      </c>
      <c r="H105" s="103">
        <f>IFERROR(IF($L105&gt;0,IF(INDEX('Invullen groen'!$J:$J,$L105)=0,"",INT(INDEX('Invullen groen'!$J:$J,$L105))),""),"")</f>
        <v/>
      </c>
      <c r="I105" s="103">
        <f>IFERROR(IF($L105&gt;0,IF(INDEX('Invullen groen'!$K:$K,$L105)=0,"",INT(INDEX('Invullen groen'!$K:$K,$L105))),""),"")</f>
        <v/>
      </c>
      <c r="J105" s="83">
        <f>IF($L105&gt;0,IFERROR($K$1&amp;" "&amp;TRIM(SUBSTITUTE(SUBSTITUTE(SUBSTITUTE(SUBSTITUTE(SUBSTITUTE(SUBSTITUTE(SUBSTITUTE(SUBSTITUTE(SUBSTITUTE(SUBSTITUTE(SUBSTITUTE(SUBSTITUTE(LOWER(INDEX('Invullen groen'!$O:$O,$L105)),"2024",""),"2025",""),"2026",""),"2027",""),"2028",""),"2029",""),"taakveld ",""),"installaties","inst"),"ruwbouw","ruwb"),"afbouw","afb"),"bijstelling","bijst"),"investeringen","invest")),""),"")</f>
        <v/>
      </c>
      <c r="K105" s="83" t="n"/>
      <c r="L105" s="83">
        <f>IFERROR(MATCH(ROW()-104,'Invullen groen'!$S$121:$S$272,0)+120,0)</f>
        <v/>
      </c>
    </row>
    <row r="106" hidden="1" s="402">
      <c r="A106" s="102">
        <f>IF($L106&gt;0,"+","")</f>
        <v/>
      </c>
      <c r="B106" s="83">
        <f>IFERROR(IF($L106&gt;0,IF(INDEX('Invullen groen'!$F:$F,$L106)&gt;0,INDEX('Invullen groen'!$F:$F,$L106),""),""),"")</f>
        <v/>
      </c>
      <c r="C106" s="83">
        <f>IFERROR(IF($L106&gt;0,IF(INDEX('Invullen groen'!$N:$N,$L106)&gt;0,INDEX('Invullen groen'!$N:$N,$L106),""),""),"")</f>
        <v/>
      </c>
      <c r="D106" s="83" t="n"/>
      <c r="E106" s="83">
        <f>IFERROR(IF(LEN(J106)&lt;=36,J106,IFERROR(LEFT(J106,FIND(CHAR(1),SUBSTITUTE(LEFT(J106,36)," ",CHAR(1),LEN(LEFT(J106,36))-LEN(SUBSTITUTE(LEFT(J106,36)," ",""))))-1),LEFT(J106,36))),"")</f>
        <v/>
      </c>
      <c r="F106" s="103">
        <f>IFERROR(IF($L106&gt;0,IF(INDEX('Invullen groen'!$H:$H,$L106)=0,"",INT(INDEX('Invullen groen'!$H:$H,$L106))),""),"")</f>
        <v/>
      </c>
      <c r="G106" s="103">
        <f>IFERROR(IF($L106&gt;0,IF(INDEX('Invullen groen'!$I:$I,$L106)=0,"",INT(INDEX('Invullen groen'!$I:$I,$L106))),""),"")</f>
        <v/>
      </c>
      <c r="H106" s="103">
        <f>IFERROR(IF($L106&gt;0,IF(INDEX('Invullen groen'!$J:$J,$L106)=0,"",INT(INDEX('Invullen groen'!$J:$J,$L106))),""),"")</f>
        <v/>
      </c>
      <c r="I106" s="103">
        <f>IFERROR(IF($L106&gt;0,IF(INDEX('Invullen groen'!$K:$K,$L106)=0,"",INT(INDEX('Invullen groen'!$K:$K,$L106))),""),"")</f>
        <v/>
      </c>
      <c r="J106" s="83">
        <f>IF($L106&gt;0,IFERROR($K$1&amp;" "&amp;TRIM(SUBSTITUTE(SUBSTITUTE(SUBSTITUTE(SUBSTITUTE(SUBSTITUTE(SUBSTITUTE(SUBSTITUTE(SUBSTITUTE(SUBSTITUTE(SUBSTITUTE(SUBSTITUTE(SUBSTITUTE(LOWER(INDEX('Invullen groen'!$O:$O,$L106)),"2024",""),"2025",""),"2026",""),"2027",""),"2028",""),"2029",""),"taakveld ",""),"installaties","inst"),"ruwbouw","ruwb"),"afbouw","afb"),"bijstelling","bijst"),"investeringen","invest")),""),"")</f>
        <v/>
      </c>
      <c r="K106" s="83" t="n"/>
      <c r="L106" s="83">
        <f>IFERROR(MATCH(ROW()-104,'Invullen groen'!$S$121:$S$272,0)+120,0)</f>
        <v/>
      </c>
    </row>
    <row r="107" hidden="1" s="402">
      <c r="A107" s="102">
        <f>IF($L107&gt;0,"+","")</f>
        <v/>
      </c>
      <c r="B107" s="83">
        <f>IFERROR(IF($L107&gt;0,IF(INDEX('Invullen groen'!$F:$F,$L107)&gt;0,INDEX('Invullen groen'!$F:$F,$L107),""),""),"")</f>
        <v/>
      </c>
      <c r="C107" s="83">
        <f>IFERROR(IF($L107&gt;0,IF(INDEX('Invullen groen'!$N:$N,$L107)&gt;0,INDEX('Invullen groen'!$N:$N,$L107),""),""),"")</f>
        <v/>
      </c>
      <c r="D107" s="83" t="n"/>
      <c r="E107" s="83">
        <f>IFERROR(IF(LEN(J107)&lt;=36,J107,IFERROR(LEFT(J107,FIND(CHAR(1),SUBSTITUTE(LEFT(J107,36)," ",CHAR(1),LEN(LEFT(J107,36))-LEN(SUBSTITUTE(LEFT(J107,36)," ",""))))-1),LEFT(J107,36))),"")</f>
        <v/>
      </c>
      <c r="F107" s="103">
        <f>IFERROR(IF($L107&gt;0,IF(INDEX('Invullen groen'!$H:$H,$L107)=0,"",INT(INDEX('Invullen groen'!$H:$H,$L107))),""),"")</f>
        <v/>
      </c>
      <c r="G107" s="103">
        <f>IFERROR(IF($L107&gt;0,IF(INDEX('Invullen groen'!$I:$I,$L107)=0,"",INT(INDEX('Invullen groen'!$I:$I,$L107))),""),"")</f>
        <v/>
      </c>
      <c r="H107" s="103">
        <f>IFERROR(IF($L107&gt;0,IF(INDEX('Invullen groen'!$J:$J,$L107)=0,"",INT(INDEX('Invullen groen'!$J:$J,$L107))),""),"")</f>
        <v/>
      </c>
      <c r="I107" s="103">
        <f>IFERROR(IF($L107&gt;0,IF(INDEX('Invullen groen'!$K:$K,$L107)=0,"",INT(INDEX('Invullen groen'!$K:$K,$L107))),""),"")</f>
        <v/>
      </c>
      <c r="J107" s="83">
        <f>IF($L107&gt;0,IFERROR($K$1&amp;" "&amp;TRIM(SUBSTITUTE(SUBSTITUTE(SUBSTITUTE(SUBSTITUTE(SUBSTITUTE(SUBSTITUTE(SUBSTITUTE(SUBSTITUTE(SUBSTITUTE(SUBSTITUTE(SUBSTITUTE(SUBSTITUTE(LOWER(INDEX('Invullen groen'!$O:$O,$L107)),"2024",""),"2025",""),"2026",""),"2027",""),"2028",""),"2029",""),"taakveld ",""),"installaties","inst"),"ruwbouw","ruwb"),"afbouw","afb"),"bijstelling","bijst"),"investeringen","invest")),""),"")</f>
        <v/>
      </c>
      <c r="K107" s="83" t="n"/>
      <c r="L107" s="83">
        <f>IFERROR(MATCH(ROW()-104,'Invullen groen'!$S$121:$S$272,0)+120,0)</f>
        <v/>
      </c>
    </row>
    <row r="108" hidden="1" s="402">
      <c r="A108" s="102">
        <f>IF($L108&gt;0,"+","")</f>
        <v/>
      </c>
      <c r="B108" s="83">
        <f>IFERROR(IF($L108&gt;0,IF(INDEX('Invullen groen'!$F:$F,$L108)&gt;0,INDEX('Invullen groen'!$F:$F,$L108),""),""),"")</f>
        <v/>
      </c>
      <c r="C108" s="83">
        <f>IFERROR(IF($L108&gt;0,IF(INDEX('Invullen groen'!$N:$N,$L108)&gt;0,INDEX('Invullen groen'!$N:$N,$L108),""),""),"")</f>
        <v/>
      </c>
      <c r="D108" s="83" t="n"/>
      <c r="E108" s="83">
        <f>IFERROR(IF(LEN(J108)&lt;=36,J108,IFERROR(LEFT(J108,FIND(CHAR(1),SUBSTITUTE(LEFT(J108,36)," ",CHAR(1),LEN(LEFT(J108,36))-LEN(SUBSTITUTE(LEFT(J108,36)," ",""))))-1),LEFT(J108,36))),"")</f>
        <v/>
      </c>
      <c r="F108" s="103">
        <f>IFERROR(IF($L108&gt;0,IF(INDEX('Invullen groen'!$H:$H,$L108)=0,"",INT(INDEX('Invullen groen'!$H:$H,$L108))),""),"")</f>
        <v/>
      </c>
      <c r="G108" s="103">
        <f>IFERROR(IF($L108&gt;0,IF(INDEX('Invullen groen'!$I:$I,$L108)=0,"",INT(INDEX('Invullen groen'!$I:$I,$L108))),""),"")</f>
        <v/>
      </c>
      <c r="H108" s="103">
        <f>IFERROR(IF($L108&gt;0,IF(INDEX('Invullen groen'!$J:$J,$L108)=0,"",INT(INDEX('Invullen groen'!$J:$J,$L108))),""),"")</f>
        <v/>
      </c>
      <c r="I108" s="103">
        <f>IFERROR(IF($L108&gt;0,IF(INDEX('Invullen groen'!$K:$K,$L108)=0,"",INT(INDEX('Invullen groen'!$K:$K,$L108))),""),"")</f>
        <v/>
      </c>
      <c r="J108" s="83">
        <f>IF($L108&gt;0,IFERROR($K$1&amp;" "&amp;TRIM(SUBSTITUTE(SUBSTITUTE(SUBSTITUTE(SUBSTITUTE(SUBSTITUTE(SUBSTITUTE(SUBSTITUTE(SUBSTITUTE(SUBSTITUTE(SUBSTITUTE(SUBSTITUTE(SUBSTITUTE(LOWER(INDEX('Invullen groen'!$O:$O,$L108)),"2024",""),"2025",""),"2026",""),"2027",""),"2028",""),"2029",""),"taakveld ",""),"installaties","inst"),"ruwbouw","ruwb"),"afbouw","afb"),"bijstelling","bijst"),"investeringen","invest")),""),"")</f>
        <v/>
      </c>
      <c r="K108" s="83" t="n"/>
      <c r="L108" s="83">
        <f>IFERROR(MATCH(ROW()-104,'Invullen groen'!$S$121:$S$272,0)+120,0)</f>
        <v/>
      </c>
    </row>
    <row r="109" hidden="1" s="402">
      <c r="A109" s="102">
        <f>IF($L109&gt;0,"+","")</f>
        <v/>
      </c>
      <c r="B109" s="83">
        <f>IFERROR(IF($L109&gt;0,IF(INDEX('Invullen groen'!$F:$F,$L109)&gt;0,INDEX('Invullen groen'!$F:$F,$L109),""),""),"")</f>
        <v/>
      </c>
      <c r="C109" s="83">
        <f>IFERROR(IF($L109&gt;0,IF(INDEX('Invullen groen'!$N:$N,$L109)&gt;0,INDEX('Invullen groen'!$N:$N,$L109),""),""),"")</f>
        <v/>
      </c>
      <c r="D109" s="83" t="n"/>
      <c r="E109" s="83">
        <f>IFERROR(IF(LEN(J109)&lt;=36,J109,IFERROR(LEFT(J109,FIND(CHAR(1),SUBSTITUTE(LEFT(J109,36)," ",CHAR(1),LEN(LEFT(J109,36))-LEN(SUBSTITUTE(LEFT(J109,36)," ",""))))-1),LEFT(J109,36))),"")</f>
        <v/>
      </c>
      <c r="F109" s="103">
        <f>IFERROR(IF($L109&gt;0,IF(INDEX('Invullen groen'!$H:$H,$L109)=0,"",INT(INDEX('Invullen groen'!$H:$H,$L109))),""),"")</f>
        <v/>
      </c>
      <c r="G109" s="103">
        <f>IFERROR(IF($L109&gt;0,IF(INDEX('Invullen groen'!$I:$I,$L109)=0,"",INT(INDEX('Invullen groen'!$I:$I,$L109))),""),"")</f>
        <v/>
      </c>
      <c r="H109" s="103">
        <f>IFERROR(IF($L109&gt;0,IF(INDEX('Invullen groen'!$J:$J,$L109)=0,"",INT(INDEX('Invullen groen'!$J:$J,$L109))),""),"")</f>
        <v/>
      </c>
      <c r="I109" s="103">
        <f>IFERROR(IF($L109&gt;0,IF(INDEX('Invullen groen'!$K:$K,$L109)=0,"",INT(INDEX('Invullen groen'!$K:$K,$L109))),""),"")</f>
        <v/>
      </c>
      <c r="J109" s="83">
        <f>IF($L109&gt;0,IFERROR($K$1&amp;" "&amp;TRIM(SUBSTITUTE(SUBSTITUTE(SUBSTITUTE(SUBSTITUTE(SUBSTITUTE(SUBSTITUTE(SUBSTITUTE(SUBSTITUTE(SUBSTITUTE(SUBSTITUTE(SUBSTITUTE(SUBSTITUTE(LOWER(INDEX('Invullen groen'!$O:$O,$L109)),"2024",""),"2025",""),"2026",""),"2027",""),"2028",""),"2029",""),"taakveld ",""),"installaties","inst"),"ruwbouw","ruwb"),"afbouw","afb"),"bijstelling","bijst"),"investeringen","invest")),""),"")</f>
        <v/>
      </c>
      <c r="K109" s="83" t="n"/>
      <c r="L109" s="83">
        <f>IFERROR(MATCH(ROW()-104,'Invullen groen'!$S$121:$S$272,0)+120,0)</f>
        <v/>
      </c>
    </row>
    <row r="110" hidden="1" s="402">
      <c r="A110" s="102">
        <f>IF($L110&gt;0,"+","")</f>
        <v/>
      </c>
      <c r="B110" s="83">
        <f>IFERROR(IF($L110&gt;0,IF(INDEX('Invullen groen'!$F:$F,$L110)&gt;0,INDEX('Invullen groen'!$F:$F,$L110),""),""),"")</f>
        <v/>
      </c>
      <c r="C110" s="83">
        <f>IFERROR(IF($L110&gt;0,IF(INDEX('Invullen groen'!$N:$N,$L110)&gt;0,INDEX('Invullen groen'!$N:$N,$L110),""),""),"")</f>
        <v/>
      </c>
      <c r="D110" s="83" t="n"/>
      <c r="E110" s="83">
        <f>IFERROR(IF(LEN(J110)&lt;=36,J110,IFERROR(LEFT(J110,FIND(CHAR(1),SUBSTITUTE(LEFT(J110,36)," ",CHAR(1),LEN(LEFT(J110,36))-LEN(SUBSTITUTE(LEFT(J110,36)," ",""))))-1),LEFT(J110,36))),"")</f>
        <v/>
      </c>
      <c r="F110" s="103">
        <f>IFERROR(IF($L110&gt;0,IF(INDEX('Invullen groen'!$H:$H,$L110)=0,"",INT(INDEX('Invullen groen'!$H:$H,$L110))),""),"")</f>
        <v/>
      </c>
      <c r="G110" s="103">
        <f>IFERROR(IF($L110&gt;0,IF(INDEX('Invullen groen'!$I:$I,$L110)=0,"",INT(INDEX('Invullen groen'!$I:$I,$L110))),""),"")</f>
        <v/>
      </c>
      <c r="H110" s="103">
        <f>IFERROR(IF($L110&gt;0,IF(INDEX('Invullen groen'!$J:$J,$L110)=0,"",INT(INDEX('Invullen groen'!$J:$J,$L110))),""),"")</f>
        <v/>
      </c>
      <c r="I110" s="103">
        <f>IFERROR(IF($L110&gt;0,IF(INDEX('Invullen groen'!$K:$K,$L110)=0,"",INT(INDEX('Invullen groen'!$K:$K,$L110))),""),"")</f>
        <v/>
      </c>
      <c r="J110" s="83">
        <f>IF($L110&gt;0,IFERROR($K$1&amp;" "&amp;TRIM(SUBSTITUTE(SUBSTITUTE(SUBSTITUTE(SUBSTITUTE(SUBSTITUTE(SUBSTITUTE(SUBSTITUTE(SUBSTITUTE(SUBSTITUTE(SUBSTITUTE(SUBSTITUTE(SUBSTITUTE(LOWER(INDEX('Invullen groen'!$O:$O,$L110)),"2024",""),"2025",""),"2026",""),"2027",""),"2028",""),"2029",""),"taakveld ",""),"installaties","inst"),"ruwbouw","ruwb"),"afbouw","afb"),"bijstelling","bijst"),"investeringen","invest")),""),"")</f>
        <v/>
      </c>
      <c r="K110" s="83" t="n"/>
      <c r="L110" s="83">
        <f>IFERROR(MATCH(ROW()-104,'Invullen groen'!$S$121:$S$272,0)+120,0)</f>
        <v/>
      </c>
    </row>
    <row r="111" hidden="1" s="402">
      <c r="A111" s="102">
        <f>IF($L111&gt;0,"+","")</f>
        <v/>
      </c>
      <c r="B111" s="83">
        <f>IFERROR(IF($L111&gt;0,IF(INDEX('Invullen groen'!$F:$F,$L111)&gt;0,INDEX('Invullen groen'!$F:$F,$L111),""),""),"")</f>
        <v/>
      </c>
      <c r="C111" s="83">
        <f>IFERROR(IF($L111&gt;0,IF(INDEX('Invullen groen'!$N:$N,$L111)&gt;0,INDEX('Invullen groen'!$N:$N,$L111),""),""),"")</f>
        <v/>
      </c>
      <c r="D111" s="83" t="n"/>
      <c r="E111" s="83">
        <f>IFERROR(IF(LEN(J111)&lt;=36,J111,IFERROR(LEFT(J111,FIND(CHAR(1),SUBSTITUTE(LEFT(J111,36)," ",CHAR(1),LEN(LEFT(J111,36))-LEN(SUBSTITUTE(LEFT(J111,36)," ",""))))-1),LEFT(J111,36))),"")</f>
        <v/>
      </c>
      <c r="F111" s="103">
        <f>IFERROR(IF($L111&gt;0,IF(INDEX('Invullen groen'!$H:$H,$L111)=0,"",INT(INDEX('Invullen groen'!$H:$H,$L111))),""),"")</f>
        <v/>
      </c>
      <c r="G111" s="103">
        <f>IFERROR(IF($L111&gt;0,IF(INDEX('Invullen groen'!$I:$I,$L111)=0,"",INT(INDEX('Invullen groen'!$I:$I,$L111))),""),"")</f>
        <v/>
      </c>
      <c r="H111" s="103">
        <f>IFERROR(IF($L111&gt;0,IF(INDEX('Invullen groen'!$J:$J,$L111)=0,"",INT(INDEX('Invullen groen'!$J:$J,$L111))),""),"")</f>
        <v/>
      </c>
      <c r="I111" s="103">
        <f>IFERROR(IF($L111&gt;0,IF(INDEX('Invullen groen'!$K:$K,$L111)=0,"",INT(INDEX('Invullen groen'!$K:$K,$L111))),""),"")</f>
        <v/>
      </c>
      <c r="J111" s="83">
        <f>IF($L111&gt;0,IFERROR($K$1&amp;" "&amp;TRIM(SUBSTITUTE(SUBSTITUTE(SUBSTITUTE(SUBSTITUTE(SUBSTITUTE(SUBSTITUTE(SUBSTITUTE(SUBSTITUTE(SUBSTITUTE(SUBSTITUTE(SUBSTITUTE(SUBSTITUTE(LOWER(INDEX('Invullen groen'!$O:$O,$L111)),"2024",""),"2025",""),"2026",""),"2027",""),"2028",""),"2029",""),"taakveld ",""),"installaties","inst"),"ruwbouw","ruwb"),"afbouw","afb"),"bijstelling","bijst"),"investeringen","invest")),""),"")</f>
        <v/>
      </c>
      <c r="K111" s="83" t="n"/>
      <c r="L111" s="83">
        <f>IFERROR(MATCH(ROW()-104,'Invullen groen'!$S$121:$S$272,0)+120,0)</f>
        <v/>
      </c>
    </row>
    <row r="112" hidden="1" s="402">
      <c r="A112" s="102">
        <f>IF($L112&gt;0,"+","")</f>
        <v/>
      </c>
      <c r="B112" s="83">
        <f>IFERROR(IF($L112&gt;0,IF(INDEX('Invullen groen'!$F:$F,$L112)&gt;0,INDEX('Invullen groen'!$F:$F,$L112),""),""),"")</f>
        <v/>
      </c>
      <c r="C112" s="83">
        <f>IFERROR(IF($L112&gt;0,IF(INDEX('Invullen groen'!$N:$N,$L112)&gt;0,INDEX('Invullen groen'!$N:$N,$L112),""),""),"")</f>
        <v/>
      </c>
      <c r="D112" s="83" t="n"/>
      <c r="E112" s="83">
        <f>IFERROR(IF(LEN(J112)&lt;=36,J112,IFERROR(LEFT(J112,FIND(CHAR(1),SUBSTITUTE(LEFT(J112,36)," ",CHAR(1),LEN(LEFT(J112,36))-LEN(SUBSTITUTE(LEFT(J112,36)," ",""))))-1),LEFT(J112,36))),"")</f>
        <v/>
      </c>
      <c r="F112" s="103">
        <f>IFERROR(IF($L112&gt;0,IF(INDEX('Invullen groen'!$H:$H,$L112)=0,"",INT(INDEX('Invullen groen'!$H:$H,$L112))),""),"")</f>
        <v/>
      </c>
      <c r="G112" s="103">
        <f>IFERROR(IF($L112&gt;0,IF(INDEX('Invullen groen'!$I:$I,$L112)=0,"",INT(INDEX('Invullen groen'!$I:$I,$L112))),""),"")</f>
        <v/>
      </c>
      <c r="H112" s="103">
        <f>IFERROR(IF($L112&gt;0,IF(INDEX('Invullen groen'!$J:$J,$L112)=0,"",INT(INDEX('Invullen groen'!$J:$J,$L112))),""),"")</f>
        <v/>
      </c>
      <c r="I112" s="103">
        <f>IFERROR(IF($L112&gt;0,IF(INDEX('Invullen groen'!$K:$K,$L112)=0,"",INT(INDEX('Invullen groen'!$K:$K,$L112))),""),"")</f>
        <v/>
      </c>
      <c r="J112" s="83">
        <f>IF($L112&gt;0,IFERROR($K$1&amp;" "&amp;TRIM(SUBSTITUTE(SUBSTITUTE(SUBSTITUTE(SUBSTITUTE(SUBSTITUTE(SUBSTITUTE(SUBSTITUTE(SUBSTITUTE(SUBSTITUTE(SUBSTITUTE(SUBSTITUTE(SUBSTITUTE(LOWER(INDEX('Invullen groen'!$O:$O,$L112)),"2024",""),"2025",""),"2026",""),"2027",""),"2028",""),"2029",""),"taakveld ",""),"installaties","inst"),"ruwbouw","ruwb"),"afbouw","afb"),"bijstelling","bijst"),"investeringen","invest")),""),"")</f>
        <v/>
      </c>
      <c r="K112" s="83" t="n"/>
      <c r="L112" s="83">
        <f>IFERROR(MATCH(ROW()-104,'Invullen groen'!$S$121:$S$272,0)+120,0)</f>
        <v/>
      </c>
    </row>
    <row r="113" hidden="1" s="402">
      <c r="A113" s="102">
        <f>IF($L113&gt;0,"+","")</f>
        <v/>
      </c>
      <c r="B113" s="83">
        <f>IFERROR(IF($L113&gt;0,IF(INDEX('Invullen groen'!$F:$F,$L113)&gt;0,INDEX('Invullen groen'!$F:$F,$L113),""),""),"")</f>
        <v/>
      </c>
      <c r="C113" s="83">
        <f>IFERROR(IF($L113&gt;0,IF(INDEX('Invullen groen'!$N:$N,$L113)&gt;0,INDEX('Invullen groen'!$N:$N,$L113),""),""),"")</f>
        <v/>
      </c>
      <c r="D113" s="83" t="n"/>
      <c r="E113" s="83">
        <f>IFERROR(IF(LEN(J113)&lt;=36,J113,IFERROR(LEFT(J113,FIND(CHAR(1),SUBSTITUTE(LEFT(J113,36)," ",CHAR(1),LEN(LEFT(J113,36))-LEN(SUBSTITUTE(LEFT(J113,36)," ",""))))-1),LEFT(J113,36))),"")</f>
        <v/>
      </c>
      <c r="F113" s="103">
        <f>IFERROR(IF($L113&gt;0,IF(INDEX('Invullen groen'!$H:$H,$L113)=0,"",INT(INDEX('Invullen groen'!$H:$H,$L113))),""),"")</f>
        <v/>
      </c>
      <c r="G113" s="103">
        <f>IFERROR(IF($L113&gt;0,IF(INDEX('Invullen groen'!$I:$I,$L113)=0,"",INT(INDEX('Invullen groen'!$I:$I,$L113))),""),"")</f>
        <v/>
      </c>
      <c r="H113" s="103">
        <f>IFERROR(IF($L113&gt;0,IF(INDEX('Invullen groen'!$J:$J,$L113)=0,"",INT(INDEX('Invullen groen'!$J:$J,$L113))),""),"")</f>
        <v/>
      </c>
      <c r="I113" s="103">
        <f>IFERROR(IF($L113&gt;0,IF(INDEX('Invullen groen'!$K:$K,$L113)=0,"",INT(INDEX('Invullen groen'!$K:$K,$L113))),""),"")</f>
        <v/>
      </c>
      <c r="J113" s="83">
        <f>IF($L113&gt;0,IFERROR($K$1&amp;" "&amp;TRIM(SUBSTITUTE(SUBSTITUTE(SUBSTITUTE(SUBSTITUTE(SUBSTITUTE(SUBSTITUTE(SUBSTITUTE(SUBSTITUTE(SUBSTITUTE(SUBSTITUTE(SUBSTITUTE(SUBSTITUTE(LOWER(INDEX('Invullen groen'!$O:$O,$L113)),"2024",""),"2025",""),"2026",""),"2027",""),"2028",""),"2029",""),"taakveld ",""),"installaties","inst"),"ruwbouw","ruwb"),"afbouw","afb"),"bijstelling","bijst"),"investeringen","invest")),""),"")</f>
        <v/>
      </c>
      <c r="K113" s="83" t="n"/>
      <c r="L113" s="83">
        <f>IFERROR(MATCH(ROW()-104,'Invullen groen'!$S$121:$S$272,0)+120,0)</f>
        <v/>
      </c>
    </row>
    <row r="114" hidden="1" s="402">
      <c r="A114" s="102">
        <f>IF($L114&gt;0,"+","")</f>
        <v/>
      </c>
      <c r="B114" s="83">
        <f>IFERROR(IF($L114&gt;0,IF(INDEX('Invullen groen'!$F:$F,$L114)&gt;0,INDEX('Invullen groen'!$F:$F,$L114),""),""),"")</f>
        <v/>
      </c>
      <c r="C114" s="83">
        <f>IFERROR(IF($L114&gt;0,IF(INDEX('Invullen groen'!$N:$N,$L114)&gt;0,INDEX('Invullen groen'!$N:$N,$L114),""),""),"")</f>
        <v/>
      </c>
      <c r="D114" s="83" t="n"/>
      <c r="E114" s="83">
        <f>IFERROR(IF(LEN(J114)&lt;=36,J114,IFERROR(LEFT(J114,FIND(CHAR(1),SUBSTITUTE(LEFT(J114,36)," ",CHAR(1),LEN(LEFT(J114,36))-LEN(SUBSTITUTE(LEFT(J114,36)," ",""))))-1),LEFT(J114,36))),"")</f>
        <v/>
      </c>
      <c r="F114" s="103">
        <f>IFERROR(IF($L114&gt;0,IF(INDEX('Invullen groen'!$H:$H,$L114)=0,"",INT(INDEX('Invullen groen'!$H:$H,$L114))),""),"")</f>
        <v/>
      </c>
      <c r="G114" s="103">
        <f>IFERROR(IF($L114&gt;0,IF(INDEX('Invullen groen'!$I:$I,$L114)=0,"",INT(INDEX('Invullen groen'!$I:$I,$L114))),""),"")</f>
        <v/>
      </c>
      <c r="H114" s="103">
        <f>IFERROR(IF($L114&gt;0,IF(INDEX('Invullen groen'!$J:$J,$L114)=0,"",INT(INDEX('Invullen groen'!$J:$J,$L114))),""),"")</f>
        <v/>
      </c>
      <c r="I114" s="103">
        <f>IFERROR(IF($L114&gt;0,IF(INDEX('Invullen groen'!$K:$K,$L114)=0,"",INT(INDEX('Invullen groen'!$K:$K,$L114))),""),"")</f>
        <v/>
      </c>
      <c r="J114" s="83">
        <f>IF($L114&gt;0,IFERROR($K$1&amp;" "&amp;TRIM(SUBSTITUTE(SUBSTITUTE(SUBSTITUTE(SUBSTITUTE(SUBSTITUTE(SUBSTITUTE(SUBSTITUTE(SUBSTITUTE(SUBSTITUTE(SUBSTITUTE(SUBSTITUTE(SUBSTITUTE(LOWER(INDEX('Invullen groen'!$O:$O,$L114)),"2024",""),"2025",""),"2026",""),"2027",""),"2028",""),"2029",""),"taakveld ",""),"installaties","inst"),"ruwbouw","ruwb"),"afbouw","afb"),"bijstelling","bijst"),"investeringen","invest")),""),"")</f>
        <v/>
      </c>
      <c r="K114" s="83" t="n"/>
      <c r="L114" s="83">
        <f>IFERROR(MATCH(ROW()-104,'Invullen groen'!$S$121:$S$272,0)+120,0)</f>
        <v/>
      </c>
    </row>
    <row r="115" hidden="1" s="402">
      <c r="A115" s="102">
        <f>IF($L115&gt;0,"+","")</f>
        <v/>
      </c>
      <c r="B115" s="83">
        <f>IFERROR(IF($L115&gt;0,IF(INDEX('Invullen groen'!$F:$F,$L115)&gt;0,INDEX('Invullen groen'!$F:$F,$L115),""),""),"")</f>
        <v/>
      </c>
      <c r="C115" s="83">
        <f>IFERROR(IF($L115&gt;0,IF(INDEX('Invullen groen'!$N:$N,$L115)&gt;0,INDEX('Invullen groen'!$N:$N,$L115),""),""),"")</f>
        <v/>
      </c>
      <c r="D115" s="83" t="n"/>
      <c r="E115" s="83">
        <f>IFERROR(IF(LEN(J115)&lt;=36,J115,IFERROR(LEFT(J115,FIND(CHAR(1),SUBSTITUTE(LEFT(J115,36)," ",CHAR(1),LEN(LEFT(J115,36))-LEN(SUBSTITUTE(LEFT(J115,36)," ",""))))-1),LEFT(J115,36))),"")</f>
        <v/>
      </c>
      <c r="F115" s="103">
        <f>IFERROR(IF($L115&gt;0,IF(INDEX('Invullen groen'!$H:$H,$L115)=0,"",INT(INDEX('Invullen groen'!$H:$H,$L115))),""),"")</f>
        <v/>
      </c>
      <c r="G115" s="103">
        <f>IFERROR(IF($L115&gt;0,IF(INDEX('Invullen groen'!$I:$I,$L115)=0,"",INT(INDEX('Invullen groen'!$I:$I,$L115))),""),"")</f>
        <v/>
      </c>
      <c r="H115" s="103">
        <f>IFERROR(IF($L115&gt;0,IF(INDEX('Invullen groen'!$J:$J,$L115)=0,"",INT(INDEX('Invullen groen'!$J:$J,$L115))),""),"")</f>
        <v/>
      </c>
      <c r="I115" s="103">
        <f>IFERROR(IF($L115&gt;0,IF(INDEX('Invullen groen'!$K:$K,$L115)=0,"",INT(INDEX('Invullen groen'!$K:$K,$L115))),""),"")</f>
        <v/>
      </c>
      <c r="J115" s="83">
        <f>IF($L115&gt;0,IFERROR($K$1&amp;" "&amp;TRIM(SUBSTITUTE(SUBSTITUTE(SUBSTITUTE(SUBSTITUTE(SUBSTITUTE(SUBSTITUTE(SUBSTITUTE(SUBSTITUTE(SUBSTITUTE(SUBSTITUTE(SUBSTITUTE(SUBSTITUTE(LOWER(INDEX('Invullen groen'!$O:$O,$L115)),"2024",""),"2025",""),"2026",""),"2027",""),"2028",""),"2029",""),"taakveld ",""),"installaties","inst"),"ruwbouw","ruwb"),"afbouw","afb"),"bijstelling","bijst"),"investeringen","invest")),""),"")</f>
        <v/>
      </c>
      <c r="K115" s="83" t="n"/>
      <c r="L115" s="83">
        <f>IFERROR(MATCH(ROW()-104,'Invullen groen'!$S$121:$S$272,0)+120,0)</f>
        <v/>
      </c>
    </row>
    <row r="116" hidden="1" s="402">
      <c r="A116" s="102">
        <f>IF($L116&gt;0,"+","")</f>
        <v/>
      </c>
      <c r="B116" s="83">
        <f>IFERROR(IF($L116&gt;0,IF(INDEX('Invullen groen'!$F:$F,$L116)&gt;0,INDEX('Invullen groen'!$F:$F,$L116),""),""),"")</f>
        <v/>
      </c>
      <c r="C116" s="83">
        <f>IFERROR(IF($L116&gt;0,IF(INDEX('Invullen groen'!$N:$N,$L116)&gt;0,INDEX('Invullen groen'!$N:$N,$L116),""),""),"")</f>
        <v/>
      </c>
      <c r="D116" s="83" t="n"/>
      <c r="E116" s="83">
        <f>IFERROR(IF(LEN(J116)&lt;=36,J116,IFERROR(LEFT(J116,FIND(CHAR(1),SUBSTITUTE(LEFT(J116,36)," ",CHAR(1),LEN(LEFT(J116,36))-LEN(SUBSTITUTE(LEFT(J116,36)," ",""))))-1),LEFT(J116,36))),"")</f>
        <v/>
      </c>
      <c r="F116" s="103">
        <f>IFERROR(IF($L116&gt;0,IF(INDEX('Invullen groen'!$H:$H,$L116)=0,"",INT(INDEX('Invullen groen'!$H:$H,$L116))),""),"")</f>
        <v/>
      </c>
      <c r="G116" s="103">
        <f>IFERROR(IF($L116&gt;0,IF(INDEX('Invullen groen'!$I:$I,$L116)=0,"",INT(INDEX('Invullen groen'!$I:$I,$L116))),""),"")</f>
        <v/>
      </c>
      <c r="H116" s="103">
        <f>IFERROR(IF($L116&gt;0,IF(INDEX('Invullen groen'!$J:$J,$L116)=0,"",INT(INDEX('Invullen groen'!$J:$J,$L116))),""),"")</f>
        <v/>
      </c>
      <c r="I116" s="103">
        <f>IFERROR(IF($L116&gt;0,IF(INDEX('Invullen groen'!$K:$K,$L116)=0,"",INT(INDEX('Invullen groen'!$K:$K,$L116))),""),"")</f>
        <v/>
      </c>
      <c r="J116" s="83">
        <f>IF($L116&gt;0,IFERROR($K$1&amp;" "&amp;TRIM(SUBSTITUTE(SUBSTITUTE(SUBSTITUTE(SUBSTITUTE(SUBSTITUTE(SUBSTITUTE(SUBSTITUTE(SUBSTITUTE(SUBSTITUTE(SUBSTITUTE(SUBSTITUTE(SUBSTITUTE(LOWER(INDEX('Invullen groen'!$O:$O,$L116)),"2024",""),"2025",""),"2026",""),"2027",""),"2028",""),"2029",""),"taakveld ",""),"installaties","inst"),"ruwbouw","ruwb"),"afbouw","afb"),"bijstelling","bijst"),"investeringen","invest")),""),"")</f>
        <v/>
      </c>
      <c r="K116" s="83" t="n"/>
      <c r="L116" s="83">
        <f>IFERROR(MATCH(ROW()-104,'Invullen groen'!$S$121:$S$272,0)+120,0)</f>
        <v/>
      </c>
    </row>
    <row r="117" hidden="1" s="402">
      <c r="A117" s="102">
        <f>IF($L117&gt;0,"+","")</f>
        <v/>
      </c>
      <c r="B117" s="83">
        <f>IFERROR(IF($L117&gt;0,IF(INDEX('Invullen groen'!$F:$F,$L117)&gt;0,INDEX('Invullen groen'!$F:$F,$L117),""),""),"")</f>
        <v/>
      </c>
      <c r="C117" s="83">
        <f>IFERROR(IF($L117&gt;0,IF(INDEX('Invullen groen'!$N:$N,$L117)&gt;0,INDEX('Invullen groen'!$N:$N,$L117),""),""),"")</f>
        <v/>
      </c>
      <c r="D117" s="83" t="n"/>
      <c r="E117" s="83">
        <f>IFERROR(IF(LEN(J117)&lt;=36,J117,IFERROR(LEFT(J117,FIND(CHAR(1),SUBSTITUTE(LEFT(J117,36)," ",CHAR(1),LEN(LEFT(J117,36))-LEN(SUBSTITUTE(LEFT(J117,36)," ",""))))-1),LEFT(J117,36))),"")</f>
        <v/>
      </c>
      <c r="F117" s="103">
        <f>IFERROR(IF($L117&gt;0,IF(INDEX('Invullen groen'!$H:$H,$L117)=0,"",INT(INDEX('Invullen groen'!$H:$H,$L117))),""),"")</f>
        <v/>
      </c>
      <c r="G117" s="103">
        <f>IFERROR(IF($L117&gt;0,IF(INDEX('Invullen groen'!$I:$I,$L117)=0,"",INT(INDEX('Invullen groen'!$I:$I,$L117))),""),"")</f>
        <v/>
      </c>
      <c r="H117" s="103">
        <f>IFERROR(IF($L117&gt;0,IF(INDEX('Invullen groen'!$J:$J,$L117)=0,"",INT(INDEX('Invullen groen'!$J:$J,$L117))),""),"")</f>
        <v/>
      </c>
      <c r="I117" s="103">
        <f>IFERROR(IF($L117&gt;0,IF(INDEX('Invullen groen'!$K:$K,$L117)=0,"",INT(INDEX('Invullen groen'!$K:$K,$L117))),""),"")</f>
        <v/>
      </c>
      <c r="J117" s="83">
        <f>IF($L117&gt;0,IFERROR($K$1&amp;" "&amp;TRIM(SUBSTITUTE(SUBSTITUTE(SUBSTITUTE(SUBSTITUTE(SUBSTITUTE(SUBSTITUTE(SUBSTITUTE(SUBSTITUTE(SUBSTITUTE(SUBSTITUTE(SUBSTITUTE(SUBSTITUTE(LOWER(INDEX('Invullen groen'!$O:$O,$L117)),"2024",""),"2025",""),"2026",""),"2027",""),"2028",""),"2029",""),"taakveld ",""),"installaties","inst"),"ruwbouw","ruwb"),"afbouw","afb"),"bijstelling","bijst"),"investeringen","invest")),""),"")</f>
        <v/>
      </c>
      <c r="K117" s="83" t="n"/>
      <c r="L117" s="83">
        <f>IFERROR(MATCH(ROW()-104,'Invullen groen'!$S$121:$S$272,0)+120,0)</f>
        <v/>
      </c>
    </row>
    <row r="118" hidden="1" s="402">
      <c r="A118" s="102">
        <f>IF($L118&gt;0,"+","")</f>
        <v/>
      </c>
      <c r="B118" s="83">
        <f>IFERROR(IF($L118&gt;0,IF(INDEX('Invullen groen'!$F:$F,$L118)&gt;0,INDEX('Invullen groen'!$F:$F,$L118),""),""),"")</f>
        <v/>
      </c>
      <c r="C118" s="83">
        <f>IFERROR(IF($L118&gt;0,IF(INDEX('Invullen groen'!$N:$N,$L118)&gt;0,INDEX('Invullen groen'!$N:$N,$L118),""),""),"")</f>
        <v/>
      </c>
      <c r="D118" s="83" t="n"/>
      <c r="E118" s="83">
        <f>IFERROR(IF(LEN(J118)&lt;=36,J118,IFERROR(LEFT(J118,FIND(CHAR(1),SUBSTITUTE(LEFT(J118,36)," ",CHAR(1),LEN(LEFT(J118,36))-LEN(SUBSTITUTE(LEFT(J118,36)," ",""))))-1),LEFT(J118,36))),"")</f>
        <v/>
      </c>
      <c r="F118" s="103">
        <f>IFERROR(IF($L118&gt;0,IF(INDEX('Invullen groen'!$H:$H,$L118)=0,"",INT(INDEX('Invullen groen'!$H:$H,$L118))),""),"")</f>
        <v/>
      </c>
      <c r="G118" s="103">
        <f>IFERROR(IF($L118&gt;0,IF(INDEX('Invullen groen'!$I:$I,$L118)=0,"",INT(INDEX('Invullen groen'!$I:$I,$L118))),""),"")</f>
        <v/>
      </c>
      <c r="H118" s="103">
        <f>IFERROR(IF($L118&gt;0,IF(INDEX('Invullen groen'!$J:$J,$L118)=0,"",INT(INDEX('Invullen groen'!$J:$J,$L118))),""),"")</f>
        <v/>
      </c>
      <c r="I118" s="103">
        <f>IFERROR(IF($L118&gt;0,IF(INDEX('Invullen groen'!$K:$K,$L118)=0,"",INT(INDEX('Invullen groen'!$K:$K,$L118))),""),"")</f>
        <v/>
      </c>
      <c r="J118" s="83">
        <f>IF($L118&gt;0,IFERROR($K$1&amp;" "&amp;TRIM(SUBSTITUTE(SUBSTITUTE(SUBSTITUTE(SUBSTITUTE(SUBSTITUTE(SUBSTITUTE(SUBSTITUTE(SUBSTITUTE(SUBSTITUTE(SUBSTITUTE(SUBSTITUTE(SUBSTITUTE(LOWER(INDEX('Invullen groen'!$O:$O,$L118)),"2024",""),"2025",""),"2026",""),"2027",""),"2028",""),"2029",""),"taakveld ",""),"installaties","inst"),"ruwbouw","ruwb"),"afbouw","afb"),"bijstelling","bijst"),"investeringen","invest")),""),"")</f>
        <v/>
      </c>
      <c r="K118" s="83" t="n"/>
      <c r="L118" s="83">
        <f>IFERROR(MATCH(ROW()-104,'Invullen groen'!$S$121:$S$272,0)+120,0)</f>
        <v/>
      </c>
    </row>
    <row r="119" hidden="1" s="402">
      <c r="A119" s="102">
        <f>IF($L119&gt;0,"+","")</f>
        <v/>
      </c>
      <c r="B119" s="83">
        <f>IFERROR(IF($L119&gt;0,IF(INDEX('Invullen groen'!$F:$F,$L119)&gt;0,INDEX('Invullen groen'!$F:$F,$L119),""),""),"")</f>
        <v/>
      </c>
      <c r="C119" s="83">
        <f>IFERROR(IF($L119&gt;0,IF(INDEX('Invullen groen'!$N:$N,$L119)&gt;0,INDEX('Invullen groen'!$N:$N,$L119),""),""),"")</f>
        <v/>
      </c>
      <c r="D119" s="83" t="n"/>
      <c r="E119" s="83">
        <f>IFERROR(IF(LEN(J119)&lt;=36,J119,IFERROR(LEFT(J119,FIND(CHAR(1),SUBSTITUTE(LEFT(J119,36)," ",CHAR(1),LEN(LEFT(J119,36))-LEN(SUBSTITUTE(LEFT(J119,36)," ",""))))-1),LEFT(J119,36))),"")</f>
        <v/>
      </c>
      <c r="F119" s="103">
        <f>IFERROR(IF($L119&gt;0,IF(INDEX('Invullen groen'!$H:$H,$L119)=0,"",INT(INDEX('Invullen groen'!$H:$H,$L119))),""),"")</f>
        <v/>
      </c>
      <c r="G119" s="103">
        <f>IFERROR(IF($L119&gt;0,IF(INDEX('Invullen groen'!$I:$I,$L119)=0,"",INT(INDEX('Invullen groen'!$I:$I,$L119))),""),"")</f>
        <v/>
      </c>
      <c r="H119" s="103">
        <f>IFERROR(IF($L119&gt;0,IF(INDEX('Invullen groen'!$J:$J,$L119)=0,"",INT(INDEX('Invullen groen'!$J:$J,$L119))),""),"")</f>
        <v/>
      </c>
      <c r="I119" s="103">
        <f>IFERROR(IF($L119&gt;0,IF(INDEX('Invullen groen'!$K:$K,$L119)=0,"",INT(INDEX('Invullen groen'!$K:$K,$L119))),""),"")</f>
        <v/>
      </c>
      <c r="J119" s="83">
        <f>IF($L119&gt;0,IFERROR($K$1&amp;" "&amp;TRIM(SUBSTITUTE(SUBSTITUTE(SUBSTITUTE(SUBSTITUTE(SUBSTITUTE(SUBSTITUTE(SUBSTITUTE(SUBSTITUTE(SUBSTITUTE(SUBSTITUTE(SUBSTITUTE(SUBSTITUTE(LOWER(INDEX('Invullen groen'!$O:$O,$L119)),"2024",""),"2025",""),"2026",""),"2027",""),"2028",""),"2029",""),"taakveld ",""),"installaties","inst"),"ruwbouw","ruwb"),"afbouw","afb"),"bijstelling","bijst"),"investeringen","invest")),""),"")</f>
        <v/>
      </c>
      <c r="K119" s="83" t="n"/>
      <c r="L119" s="83">
        <f>IFERROR(MATCH(ROW()-104,'Invullen groen'!$S$121:$S$272,0)+120,0)</f>
        <v/>
      </c>
    </row>
    <row r="120" hidden="1" s="402">
      <c r="A120" s="102">
        <f>IF($L120&gt;0,"+","")</f>
        <v/>
      </c>
      <c r="B120" s="83">
        <f>IFERROR(IF($L120&gt;0,IF(INDEX('Invullen groen'!$F:$F,$L120)&gt;0,INDEX('Invullen groen'!$F:$F,$L120),""),""),"")</f>
        <v/>
      </c>
      <c r="C120" s="83">
        <f>IFERROR(IF($L120&gt;0,IF(INDEX('Invullen groen'!$N:$N,$L120)&gt;0,INDEX('Invullen groen'!$N:$N,$L120),""),""),"")</f>
        <v/>
      </c>
      <c r="D120" s="83" t="n"/>
      <c r="E120" s="83">
        <f>IFERROR(IF(LEN(J120)&lt;=36,J120,IFERROR(LEFT(J120,FIND(CHAR(1),SUBSTITUTE(LEFT(J120,36)," ",CHAR(1),LEN(LEFT(J120,36))-LEN(SUBSTITUTE(LEFT(J120,36)," ",""))))-1),LEFT(J120,36))),"")</f>
        <v/>
      </c>
      <c r="F120" s="103">
        <f>IFERROR(IF($L120&gt;0,IF(INDEX('Invullen groen'!$H:$H,$L120)=0,"",INT(INDEX('Invullen groen'!$H:$H,$L120))),""),"")</f>
        <v/>
      </c>
      <c r="G120" s="103">
        <f>IFERROR(IF($L120&gt;0,IF(INDEX('Invullen groen'!$I:$I,$L120)=0,"",INT(INDEX('Invullen groen'!$I:$I,$L120))),""),"")</f>
        <v/>
      </c>
      <c r="H120" s="103">
        <f>IFERROR(IF($L120&gt;0,IF(INDEX('Invullen groen'!$J:$J,$L120)=0,"",INT(INDEX('Invullen groen'!$J:$J,$L120))),""),"")</f>
        <v/>
      </c>
      <c r="I120" s="103">
        <f>IFERROR(IF($L120&gt;0,IF(INDEX('Invullen groen'!$K:$K,$L120)=0,"",INT(INDEX('Invullen groen'!$K:$K,$L120))),""),"")</f>
        <v/>
      </c>
      <c r="J120" s="83">
        <f>IF($L120&gt;0,IFERROR($K$1&amp;" "&amp;TRIM(SUBSTITUTE(SUBSTITUTE(SUBSTITUTE(SUBSTITUTE(SUBSTITUTE(SUBSTITUTE(SUBSTITUTE(SUBSTITUTE(SUBSTITUTE(SUBSTITUTE(SUBSTITUTE(SUBSTITUTE(LOWER(INDEX('Invullen groen'!$O:$O,$L120)),"2024",""),"2025",""),"2026",""),"2027",""),"2028",""),"2029",""),"taakveld ",""),"installaties","inst"),"ruwbouw","ruwb"),"afbouw","afb"),"bijstelling","bijst"),"investeringen","invest")),""),"")</f>
        <v/>
      </c>
      <c r="K120" s="83" t="n"/>
      <c r="L120" s="83">
        <f>IFERROR(MATCH(ROW()-104,'Invullen groen'!$S$121:$S$272,0)+120,0)</f>
        <v/>
      </c>
    </row>
    <row r="121" hidden="1" s="402">
      <c r="A121" s="102">
        <f>IF($L121&gt;0,"+","")</f>
        <v/>
      </c>
      <c r="B121" s="83">
        <f>IFERROR(IF($L121&gt;0,IF(INDEX('Invullen groen'!$F:$F,$L121)&gt;0,INDEX('Invullen groen'!$F:$F,$L121),""),""),"")</f>
        <v/>
      </c>
      <c r="C121" s="83">
        <f>IFERROR(IF($L121&gt;0,IF(INDEX('Invullen groen'!$N:$N,$L121)&gt;0,INDEX('Invullen groen'!$N:$N,$L121),""),""),"")</f>
        <v/>
      </c>
      <c r="D121" s="83" t="n"/>
      <c r="E121" s="83">
        <f>IFERROR(IF(LEN(J121)&lt;=36,J121,IFERROR(LEFT(J121,FIND(CHAR(1),SUBSTITUTE(LEFT(J121,36)," ",CHAR(1),LEN(LEFT(J121,36))-LEN(SUBSTITUTE(LEFT(J121,36)," ",""))))-1),LEFT(J121,36))),"")</f>
        <v/>
      </c>
      <c r="F121" s="103">
        <f>IFERROR(IF($L121&gt;0,IF(INDEX('Invullen groen'!$H:$H,$L121)=0,"",INT(INDEX('Invullen groen'!$H:$H,$L121))),""),"")</f>
        <v/>
      </c>
      <c r="G121" s="103">
        <f>IFERROR(IF($L121&gt;0,IF(INDEX('Invullen groen'!$I:$I,$L121)=0,"",INT(INDEX('Invullen groen'!$I:$I,$L121))),""),"")</f>
        <v/>
      </c>
      <c r="H121" s="103">
        <f>IFERROR(IF($L121&gt;0,IF(INDEX('Invullen groen'!$J:$J,$L121)=0,"",INT(INDEX('Invullen groen'!$J:$J,$L121))),""),"")</f>
        <v/>
      </c>
      <c r="I121" s="103">
        <f>IFERROR(IF($L121&gt;0,IF(INDEX('Invullen groen'!$K:$K,$L121)=0,"",INT(INDEX('Invullen groen'!$K:$K,$L121))),""),"")</f>
        <v/>
      </c>
      <c r="J121" s="83">
        <f>IF($L121&gt;0,IFERROR($K$1&amp;" "&amp;TRIM(SUBSTITUTE(SUBSTITUTE(SUBSTITUTE(SUBSTITUTE(SUBSTITUTE(SUBSTITUTE(SUBSTITUTE(SUBSTITUTE(SUBSTITUTE(SUBSTITUTE(SUBSTITUTE(SUBSTITUTE(LOWER(INDEX('Invullen groen'!$O:$O,$L121)),"2024",""),"2025",""),"2026",""),"2027",""),"2028",""),"2029",""),"taakveld ",""),"installaties","inst"),"ruwbouw","ruwb"),"afbouw","afb"),"bijstelling","bijst"),"investeringen","invest")),""),"")</f>
        <v/>
      </c>
      <c r="K121" s="83" t="n"/>
      <c r="L121" s="83">
        <f>IFERROR(MATCH(ROW()-104,'Invullen groen'!$S$121:$S$272,0)+120,0)</f>
        <v/>
      </c>
    </row>
    <row r="122" hidden="1" s="402">
      <c r="A122" s="102">
        <f>IF($L122&gt;0,"+","")</f>
        <v/>
      </c>
      <c r="B122" s="83">
        <f>IFERROR(IF($L122&gt;0,IF(INDEX('Invullen groen'!$F:$F,$L122)&gt;0,INDEX('Invullen groen'!$F:$F,$L122),""),""),"")</f>
        <v/>
      </c>
      <c r="C122" s="83">
        <f>IFERROR(IF($L122&gt;0,IF(INDEX('Invullen groen'!$N:$N,$L122)&gt;0,INDEX('Invullen groen'!$N:$N,$L122),""),""),"")</f>
        <v/>
      </c>
      <c r="D122" s="83" t="n"/>
      <c r="E122" s="83">
        <f>IFERROR(IF(LEN(J122)&lt;=36,J122,IFERROR(LEFT(J122,FIND(CHAR(1),SUBSTITUTE(LEFT(J122,36)," ",CHAR(1),LEN(LEFT(J122,36))-LEN(SUBSTITUTE(LEFT(J122,36)," ",""))))-1),LEFT(J122,36))),"")</f>
        <v/>
      </c>
      <c r="F122" s="103">
        <f>IFERROR(IF($L122&gt;0,IF(INDEX('Invullen groen'!$H:$H,$L122)=0,"",INT(INDEX('Invullen groen'!$H:$H,$L122))),""),"")</f>
        <v/>
      </c>
      <c r="G122" s="103">
        <f>IFERROR(IF($L122&gt;0,IF(INDEX('Invullen groen'!$I:$I,$L122)=0,"",INT(INDEX('Invullen groen'!$I:$I,$L122))),""),"")</f>
        <v/>
      </c>
      <c r="H122" s="103">
        <f>IFERROR(IF($L122&gt;0,IF(INDEX('Invullen groen'!$J:$J,$L122)=0,"",INT(INDEX('Invullen groen'!$J:$J,$L122))),""),"")</f>
        <v/>
      </c>
      <c r="I122" s="103">
        <f>IFERROR(IF($L122&gt;0,IF(INDEX('Invullen groen'!$K:$K,$L122)=0,"",INT(INDEX('Invullen groen'!$K:$K,$L122))),""),"")</f>
        <v/>
      </c>
      <c r="J122" s="83">
        <f>IF($L122&gt;0,IFERROR($K$1&amp;" "&amp;TRIM(SUBSTITUTE(SUBSTITUTE(SUBSTITUTE(SUBSTITUTE(SUBSTITUTE(SUBSTITUTE(SUBSTITUTE(SUBSTITUTE(SUBSTITUTE(SUBSTITUTE(SUBSTITUTE(SUBSTITUTE(LOWER(INDEX('Invullen groen'!$O:$O,$L122)),"2024",""),"2025",""),"2026",""),"2027",""),"2028",""),"2029",""),"taakveld ",""),"installaties","inst"),"ruwbouw","ruwb"),"afbouw","afb"),"bijstelling","bijst"),"investeringen","invest")),""),"")</f>
        <v/>
      </c>
      <c r="K122" s="83" t="n"/>
      <c r="L122" s="83">
        <f>IFERROR(MATCH(ROW()-104,'Invullen groen'!$S$121:$S$272,0)+120,0)</f>
        <v/>
      </c>
    </row>
    <row r="123" hidden="1" s="402">
      <c r="A123" s="102">
        <f>IF($L123&gt;0,"+","")</f>
        <v/>
      </c>
      <c r="B123" s="83">
        <f>IFERROR(IF($L123&gt;0,IF(INDEX('Invullen groen'!$F:$F,$L123)&gt;0,INDEX('Invullen groen'!$F:$F,$L123),""),""),"")</f>
        <v/>
      </c>
      <c r="C123" s="83">
        <f>IFERROR(IF($L123&gt;0,IF(INDEX('Invullen groen'!$N:$N,$L123)&gt;0,INDEX('Invullen groen'!$N:$N,$L123),""),""),"")</f>
        <v/>
      </c>
      <c r="D123" s="83" t="n"/>
      <c r="E123" s="83">
        <f>IFERROR(IF(LEN(J123)&lt;=36,J123,IFERROR(LEFT(J123,FIND(CHAR(1),SUBSTITUTE(LEFT(J123,36)," ",CHAR(1),LEN(LEFT(J123,36))-LEN(SUBSTITUTE(LEFT(J123,36)," ",""))))-1),LEFT(J123,36))),"")</f>
        <v/>
      </c>
      <c r="F123" s="103">
        <f>IFERROR(IF($L123&gt;0,IF(INDEX('Invullen groen'!$H:$H,$L123)=0,"",INT(INDEX('Invullen groen'!$H:$H,$L123))),""),"")</f>
        <v/>
      </c>
      <c r="G123" s="103">
        <f>IFERROR(IF($L123&gt;0,IF(INDEX('Invullen groen'!$I:$I,$L123)=0,"",INT(INDEX('Invullen groen'!$I:$I,$L123))),""),"")</f>
        <v/>
      </c>
      <c r="H123" s="103">
        <f>IFERROR(IF($L123&gt;0,IF(INDEX('Invullen groen'!$J:$J,$L123)=0,"",INT(INDEX('Invullen groen'!$J:$J,$L123))),""),"")</f>
        <v/>
      </c>
      <c r="I123" s="103">
        <f>IFERROR(IF($L123&gt;0,IF(INDEX('Invullen groen'!$K:$K,$L123)=0,"",INT(INDEX('Invullen groen'!$K:$K,$L123))),""),"")</f>
        <v/>
      </c>
      <c r="J123" s="83">
        <f>IF($L123&gt;0,IFERROR($K$1&amp;" "&amp;TRIM(SUBSTITUTE(SUBSTITUTE(SUBSTITUTE(SUBSTITUTE(SUBSTITUTE(SUBSTITUTE(SUBSTITUTE(SUBSTITUTE(SUBSTITUTE(SUBSTITUTE(SUBSTITUTE(SUBSTITUTE(LOWER(INDEX('Invullen groen'!$O:$O,$L123)),"2024",""),"2025",""),"2026",""),"2027",""),"2028",""),"2029",""),"taakveld ",""),"installaties","inst"),"ruwbouw","ruwb"),"afbouw","afb"),"bijstelling","bijst"),"investeringen","invest")),""),"")</f>
        <v/>
      </c>
      <c r="K123" s="83" t="n"/>
      <c r="L123" s="83">
        <f>IFERROR(MATCH(ROW()-104,'Invullen groen'!$S$121:$S$272,0)+120,0)</f>
        <v/>
      </c>
    </row>
    <row r="124" hidden="1" s="402">
      <c r="A124" s="102">
        <f>IF($L124&gt;0,"+","")</f>
        <v/>
      </c>
      <c r="B124" s="83">
        <f>IFERROR(IF($L124&gt;0,IF(INDEX('Invullen groen'!$F:$F,$L124)&gt;0,INDEX('Invullen groen'!$F:$F,$L124),""),""),"")</f>
        <v/>
      </c>
      <c r="C124" s="83">
        <f>IFERROR(IF($L124&gt;0,IF(INDEX('Invullen groen'!$N:$N,$L124)&gt;0,INDEX('Invullen groen'!$N:$N,$L124),""),""),"")</f>
        <v/>
      </c>
      <c r="D124" s="83" t="n"/>
      <c r="E124" s="83">
        <f>IFERROR(IF(LEN(J124)&lt;=36,J124,IFERROR(LEFT(J124,FIND(CHAR(1),SUBSTITUTE(LEFT(J124,36)," ",CHAR(1),LEN(LEFT(J124,36))-LEN(SUBSTITUTE(LEFT(J124,36)," ",""))))-1),LEFT(J124,36))),"")</f>
        <v/>
      </c>
      <c r="F124" s="103">
        <f>IFERROR(IF($L124&gt;0,IF(INDEX('Invullen groen'!$H:$H,$L124)=0,"",INT(INDEX('Invullen groen'!$H:$H,$L124))),""),"")</f>
        <v/>
      </c>
      <c r="G124" s="103">
        <f>IFERROR(IF($L124&gt;0,IF(INDEX('Invullen groen'!$I:$I,$L124)=0,"",INT(INDEX('Invullen groen'!$I:$I,$L124))),""),"")</f>
        <v/>
      </c>
      <c r="H124" s="103">
        <f>IFERROR(IF($L124&gt;0,IF(INDEX('Invullen groen'!$J:$J,$L124)=0,"",INT(INDEX('Invullen groen'!$J:$J,$L124))),""),"")</f>
        <v/>
      </c>
      <c r="I124" s="103">
        <f>IFERROR(IF($L124&gt;0,IF(INDEX('Invullen groen'!$K:$K,$L124)=0,"",INT(INDEX('Invullen groen'!$K:$K,$L124))),""),"")</f>
        <v/>
      </c>
      <c r="J124" s="83">
        <f>IF($L124&gt;0,IFERROR($K$1&amp;" "&amp;TRIM(SUBSTITUTE(SUBSTITUTE(SUBSTITUTE(SUBSTITUTE(SUBSTITUTE(SUBSTITUTE(SUBSTITUTE(SUBSTITUTE(SUBSTITUTE(SUBSTITUTE(SUBSTITUTE(SUBSTITUTE(LOWER(INDEX('Invullen groen'!$O:$O,$L124)),"2024",""),"2025",""),"2026",""),"2027",""),"2028",""),"2029",""),"taakveld ",""),"installaties","inst"),"ruwbouw","ruwb"),"afbouw","afb"),"bijstelling","bijst"),"investeringen","invest")),""),"")</f>
        <v/>
      </c>
      <c r="K124" s="83" t="n"/>
      <c r="L124" s="83">
        <f>IFERROR(MATCH(ROW()-104,'Invullen groen'!$S$121:$S$272,0)+120,0)</f>
        <v/>
      </c>
    </row>
    <row r="125" hidden="1" s="402">
      <c r="A125" s="102">
        <f>IF($L125&gt;0,"+","")</f>
        <v/>
      </c>
      <c r="B125" s="83">
        <f>IFERROR(IF($L125&gt;0,IF(INDEX('Invullen groen'!$F:$F,$L125)&gt;0,INDEX('Invullen groen'!$F:$F,$L125),""),""),"")</f>
        <v/>
      </c>
      <c r="C125" s="83">
        <f>IFERROR(IF($L125&gt;0,IF(INDEX('Invullen groen'!$N:$N,$L125)&gt;0,INDEX('Invullen groen'!$N:$N,$L125),""),""),"")</f>
        <v/>
      </c>
      <c r="D125" s="83" t="n"/>
      <c r="E125" s="83">
        <f>IFERROR(IF(LEN(J125)&lt;=36,J125,IFERROR(LEFT(J125,FIND(CHAR(1),SUBSTITUTE(LEFT(J125,36)," ",CHAR(1),LEN(LEFT(J125,36))-LEN(SUBSTITUTE(LEFT(J125,36)," ",""))))-1),LEFT(J125,36))),"")</f>
        <v/>
      </c>
      <c r="F125" s="103">
        <f>IFERROR(IF($L125&gt;0,IF(INDEX('Invullen groen'!$H:$H,$L125)=0,"",INT(INDEX('Invullen groen'!$H:$H,$L125))),""),"")</f>
        <v/>
      </c>
      <c r="G125" s="103">
        <f>IFERROR(IF($L125&gt;0,IF(INDEX('Invullen groen'!$I:$I,$L125)=0,"",INT(INDEX('Invullen groen'!$I:$I,$L125))),""),"")</f>
        <v/>
      </c>
      <c r="H125" s="103">
        <f>IFERROR(IF($L125&gt;0,IF(INDEX('Invullen groen'!$J:$J,$L125)=0,"",INT(INDEX('Invullen groen'!$J:$J,$L125))),""),"")</f>
        <v/>
      </c>
      <c r="I125" s="103">
        <f>IFERROR(IF($L125&gt;0,IF(INDEX('Invullen groen'!$K:$K,$L125)=0,"",INT(INDEX('Invullen groen'!$K:$K,$L125))),""),"")</f>
        <v/>
      </c>
      <c r="J125" s="83">
        <f>IF($L125&gt;0,IFERROR($K$1&amp;" "&amp;TRIM(SUBSTITUTE(SUBSTITUTE(SUBSTITUTE(SUBSTITUTE(SUBSTITUTE(SUBSTITUTE(SUBSTITUTE(SUBSTITUTE(SUBSTITUTE(SUBSTITUTE(SUBSTITUTE(SUBSTITUTE(LOWER(INDEX('Invullen groen'!$O:$O,$L125)),"2024",""),"2025",""),"2026",""),"2027",""),"2028",""),"2029",""),"taakveld ",""),"installaties","inst"),"ruwbouw","ruwb"),"afbouw","afb"),"bijstelling","bijst"),"investeringen","invest")),""),"")</f>
        <v/>
      </c>
      <c r="K125" s="83" t="n"/>
      <c r="L125" s="83">
        <f>IFERROR(MATCH(ROW()-104,'Invullen groen'!$S$121:$S$272,0)+120,0)</f>
        <v/>
      </c>
    </row>
    <row r="126" hidden="1" s="402">
      <c r="A126" s="102">
        <f>IF($L126&gt;0,"+","")</f>
        <v/>
      </c>
      <c r="B126" s="83">
        <f>IFERROR(IF($L126&gt;0,IF(INDEX('Invullen groen'!$F:$F,$L126)&gt;0,INDEX('Invullen groen'!$F:$F,$L126),""),""),"")</f>
        <v/>
      </c>
      <c r="C126" s="83">
        <f>IFERROR(IF($L126&gt;0,IF(INDEX('Invullen groen'!$N:$N,$L126)&gt;0,INDEX('Invullen groen'!$N:$N,$L126),""),""),"")</f>
        <v/>
      </c>
      <c r="D126" s="83" t="n"/>
      <c r="E126" s="83">
        <f>IFERROR(IF(LEN(J126)&lt;=36,J126,IFERROR(LEFT(J126,FIND(CHAR(1),SUBSTITUTE(LEFT(J126,36)," ",CHAR(1),LEN(LEFT(J126,36))-LEN(SUBSTITUTE(LEFT(J126,36)," ",""))))-1),LEFT(J126,36))),"")</f>
        <v/>
      </c>
      <c r="F126" s="103">
        <f>IFERROR(IF($L126&gt;0,IF(INDEX('Invullen groen'!$H:$H,$L126)=0,"",INT(INDEX('Invullen groen'!$H:$H,$L126))),""),"")</f>
        <v/>
      </c>
      <c r="G126" s="103">
        <f>IFERROR(IF($L126&gt;0,IF(INDEX('Invullen groen'!$I:$I,$L126)=0,"",INT(INDEX('Invullen groen'!$I:$I,$L126))),""),"")</f>
        <v/>
      </c>
      <c r="H126" s="103">
        <f>IFERROR(IF($L126&gt;0,IF(INDEX('Invullen groen'!$J:$J,$L126)=0,"",INT(INDEX('Invullen groen'!$J:$J,$L126))),""),"")</f>
        <v/>
      </c>
      <c r="I126" s="103">
        <f>IFERROR(IF($L126&gt;0,IF(INDEX('Invullen groen'!$K:$K,$L126)=0,"",INT(INDEX('Invullen groen'!$K:$K,$L126))),""),"")</f>
        <v/>
      </c>
      <c r="J126" s="83">
        <f>IF($L126&gt;0,IFERROR($K$1&amp;" "&amp;TRIM(SUBSTITUTE(SUBSTITUTE(SUBSTITUTE(SUBSTITUTE(SUBSTITUTE(SUBSTITUTE(SUBSTITUTE(SUBSTITUTE(SUBSTITUTE(SUBSTITUTE(SUBSTITUTE(SUBSTITUTE(LOWER(INDEX('Invullen groen'!$O:$O,$L126)),"2024",""),"2025",""),"2026",""),"2027",""),"2028",""),"2029",""),"taakveld ",""),"installaties","inst"),"ruwbouw","ruwb"),"afbouw","afb"),"bijstelling","bijst"),"investeringen","invest")),""),"")</f>
        <v/>
      </c>
      <c r="K126" s="83" t="n"/>
      <c r="L126" s="83">
        <f>IFERROR(MATCH(ROW()-104,'Invullen groen'!$S$121:$S$272,0)+120,0)</f>
        <v/>
      </c>
    </row>
    <row r="127" hidden="1" s="402">
      <c r="A127" s="102">
        <f>IF($L127&gt;0,"+","")</f>
        <v/>
      </c>
      <c r="B127" s="83">
        <f>IFERROR(IF($L127&gt;0,IF(INDEX('Invullen groen'!$F:$F,$L127)&gt;0,INDEX('Invullen groen'!$F:$F,$L127),""),""),"")</f>
        <v/>
      </c>
      <c r="C127" s="83">
        <f>IFERROR(IF($L127&gt;0,IF(INDEX('Invullen groen'!$N:$N,$L127)&gt;0,INDEX('Invullen groen'!$N:$N,$L127),""),""),"")</f>
        <v/>
      </c>
      <c r="D127" s="83" t="n"/>
      <c r="E127" s="83">
        <f>IFERROR(IF(LEN(J127)&lt;=36,J127,IFERROR(LEFT(J127,FIND(CHAR(1),SUBSTITUTE(LEFT(J127,36)," ",CHAR(1),LEN(LEFT(J127,36))-LEN(SUBSTITUTE(LEFT(J127,36)," ",""))))-1),LEFT(J127,36))),"")</f>
        <v/>
      </c>
      <c r="F127" s="103">
        <f>IFERROR(IF($L127&gt;0,IF(INDEX('Invullen groen'!$H:$H,$L127)=0,"",INT(INDEX('Invullen groen'!$H:$H,$L127))),""),"")</f>
        <v/>
      </c>
      <c r="G127" s="103">
        <f>IFERROR(IF($L127&gt;0,IF(INDEX('Invullen groen'!$I:$I,$L127)=0,"",INT(INDEX('Invullen groen'!$I:$I,$L127))),""),"")</f>
        <v/>
      </c>
      <c r="H127" s="103">
        <f>IFERROR(IF($L127&gt;0,IF(INDEX('Invullen groen'!$J:$J,$L127)=0,"",INT(INDEX('Invullen groen'!$J:$J,$L127))),""),"")</f>
        <v/>
      </c>
      <c r="I127" s="103">
        <f>IFERROR(IF($L127&gt;0,IF(INDEX('Invullen groen'!$K:$K,$L127)=0,"",INT(INDEX('Invullen groen'!$K:$K,$L127))),""),"")</f>
        <v/>
      </c>
      <c r="J127" s="83">
        <f>IF($L127&gt;0,IFERROR($K$1&amp;" "&amp;TRIM(SUBSTITUTE(SUBSTITUTE(SUBSTITUTE(SUBSTITUTE(SUBSTITUTE(SUBSTITUTE(SUBSTITUTE(SUBSTITUTE(SUBSTITUTE(SUBSTITUTE(SUBSTITUTE(SUBSTITUTE(LOWER(INDEX('Invullen groen'!$O:$O,$L127)),"2024",""),"2025",""),"2026",""),"2027",""),"2028",""),"2029",""),"taakveld ",""),"installaties","inst"),"ruwbouw","ruwb"),"afbouw","afb"),"bijstelling","bijst"),"investeringen","invest")),""),"")</f>
        <v/>
      </c>
      <c r="K127" s="83" t="n"/>
      <c r="L127" s="83">
        <f>IFERROR(MATCH(ROW()-104,'Invullen groen'!$S$121:$S$272,0)+120,0)</f>
        <v/>
      </c>
    </row>
    <row r="128" hidden="1" s="402">
      <c r="A128" s="102">
        <f>IF($L128&gt;0,"+","")</f>
        <v/>
      </c>
      <c r="B128" s="83">
        <f>IFERROR(IF($L128&gt;0,IF(INDEX('Invullen groen'!$F:$F,$L128)&gt;0,INDEX('Invullen groen'!$F:$F,$L128),""),""),"")</f>
        <v/>
      </c>
      <c r="C128" s="83">
        <f>IFERROR(IF($L128&gt;0,IF(INDEX('Invullen groen'!$N:$N,$L128)&gt;0,INDEX('Invullen groen'!$N:$N,$L128),""),""),"")</f>
        <v/>
      </c>
      <c r="D128" s="83" t="n"/>
      <c r="E128" s="83">
        <f>IFERROR(IF(LEN(J128)&lt;=36,J128,IFERROR(LEFT(J128,FIND(CHAR(1),SUBSTITUTE(LEFT(J128,36)," ",CHAR(1),LEN(LEFT(J128,36))-LEN(SUBSTITUTE(LEFT(J128,36)," ",""))))-1),LEFT(J128,36))),"")</f>
        <v/>
      </c>
      <c r="F128" s="103">
        <f>IFERROR(IF($L128&gt;0,IF(INDEX('Invullen groen'!$H:$H,$L128)=0,"",INT(INDEX('Invullen groen'!$H:$H,$L128))),""),"")</f>
        <v/>
      </c>
      <c r="G128" s="103">
        <f>IFERROR(IF($L128&gt;0,IF(INDEX('Invullen groen'!$I:$I,$L128)=0,"",INT(INDEX('Invullen groen'!$I:$I,$L128))),""),"")</f>
        <v/>
      </c>
      <c r="H128" s="103">
        <f>IFERROR(IF($L128&gt;0,IF(INDEX('Invullen groen'!$J:$J,$L128)=0,"",INT(INDEX('Invullen groen'!$J:$J,$L128))),""),"")</f>
        <v/>
      </c>
      <c r="I128" s="103">
        <f>IFERROR(IF($L128&gt;0,IF(INDEX('Invullen groen'!$K:$K,$L128)=0,"",INT(INDEX('Invullen groen'!$K:$K,$L128))),""),"")</f>
        <v/>
      </c>
      <c r="J128" s="83">
        <f>IF($L128&gt;0,IFERROR($K$1&amp;" "&amp;TRIM(SUBSTITUTE(SUBSTITUTE(SUBSTITUTE(SUBSTITUTE(SUBSTITUTE(SUBSTITUTE(SUBSTITUTE(SUBSTITUTE(SUBSTITUTE(SUBSTITUTE(SUBSTITUTE(SUBSTITUTE(LOWER(INDEX('Invullen groen'!$O:$O,$L128)),"2024",""),"2025",""),"2026",""),"2027",""),"2028",""),"2029",""),"taakveld ",""),"installaties","inst"),"ruwbouw","ruwb"),"afbouw","afb"),"bijstelling","bijst"),"investeringen","invest")),""),"")</f>
        <v/>
      </c>
      <c r="K128" s="83" t="n"/>
      <c r="L128" s="83">
        <f>IFERROR(MATCH(ROW()-104,'Invullen groen'!$S$121:$S$272,0)+120,0)</f>
        <v/>
      </c>
    </row>
    <row r="129" hidden="1" s="402">
      <c r="A129" s="102">
        <f>IF($L129&gt;0,"+","")</f>
        <v/>
      </c>
      <c r="B129" s="83">
        <f>IFERROR(IF($L129&gt;0,IF(INDEX('Invullen groen'!$F:$F,$L129)&gt;0,INDEX('Invullen groen'!$F:$F,$L129),""),""),"")</f>
        <v/>
      </c>
      <c r="C129" s="83">
        <f>IFERROR(IF($L129&gt;0,IF(INDEX('Invullen groen'!$N:$N,$L129)&gt;0,INDEX('Invullen groen'!$N:$N,$L129),""),""),"")</f>
        <v/>
      </c>
      <c r="D129" s="83" t="n"/>
      <c r="E129" s="83">
        <f>IFERROR(IF(LEN(J129)&lt;=36,J129,IFERROR(LEFT(J129,FIND(CHAR(1),SUBSTITUTE(LEFT(J129,36)," ",CHAR(1),LEN(LEFT(J129,36))-LEN(SUBSTITUTE(LEFT(J129,36)," ",""))))-1),LEFT(J129,36))),"")</f>
        <v/>
      </c>
      <c r="F129" s="103">
        <f>IFERROR(IF($L129&gt;0,IF(INDEX('Invullen groen'!$H:$H,$L129)=0,"",INT(INDEX('Invullen groen'!$H:$H,$L129))),""),"")</f>
        <v/>
      </c>
      <c r="G129" s="103">
        <f>IFERROR(IF($L129&gt;0,IF(INDEX('Invullen groen'!$I:$I,$L129)=0,"",INT(INDEX('Invullen groen'!$I:$I,$L129))),""),"")</f>
        <v/>
      </c>
      <c r="H129" s="103">
        <f>IFERROR(IF($L129&gt;0,IF(INDEX('Invullen groen'!$J:$J,$L129)=0,"",INT(INDEX('Invullen groen'!$J:$J,$L129))),""),"")</f>
        <v/>
      </c>
      <c r="I129" s="103">
        <f>IFERROR(IF($L129&gt;0,IF(INDEX('Invullen groen'!$K:$K,$L129)=0,"",INT(INDEX('Invullen groen'!$K:$K,$L129))),""),"")</f>
        <v/>
      </c>
      <c r="J129" s="83">
        <f>IF($L129&gt;0,IFERROR($K$1&amp;" "&amp;TRIM(SUBSTITUTE(SUBSTITUTE(SUBSTITUTE(SUBSTITUTE(SUBSTITUTE(SUBSTITUTE(SUBSTITUTE(SUBSTITUTE(SUBSTITUTE(SUBSTITUTE(SUBSTITUTE(SUBSTITUTE(LOWER(INDEX('Invullen groen'!$O:$O,$L129)),"2024",""),"2025",""),"2026",""),"2027",""),"2028",""),"2029",""),"taakveld ",""),"installaties","inst"),"ruwbouw","ruwb"),"afbouw","afb"),"bijstelling","bijst"),"investeringen","invest")),""),"")</f>
        <v/>
      </c>
      <c r="K129" s="83" t="n"/>
      <c r="L129" s="83">
        <f>IFERROR(MATCH(ROW()-104,'Invullen groen'!$S$121:$S$272,0)+120,0)</f>
        <v/>
      </c>
    </row>
    <row r="130" hidden="1" s="402">
      <c r="A130" s="102">
        <f>IF($L130&gt;0,"+","")</f>
        <v/>
      </c>
      <c r="B130" s="83">
        <f>IFERROR(IF($L130&gt;0,IF(INDEX('Invullen groen'!$F:$F,$L130)&gt;0,INDEX('Invullen groen'!$F:$F,$L130),""),""),"")</f>
        <v/>
      </c>
      <c r="C130" s="83">
        <f>IFERROR(IF($L130&gt;0,IF(INDEX('Invullen groen'!$N:$N,$L130)&gt;0,INDEX('Invullen groen'!$N:$N,$L130),""),""),"")</f>
        <v/>
      </c>
      <c r="D130" s="83" t="n"/>
      <c r="E130" s="83">
        <f>IFERROR(IF(LEN(J130)&lt;=36,J130,IFERROR(LEFT(J130,FIND(CHAR(1),SUBSTITUTE(LEFT(J130,36)," ",CHAR(1),LEN(LEFT(J130,36))-LEN(SUBSTITUTE(LEFT(J130,36)," ",""))))-1),LEFT(J130,36))),"")</f>
        <v/>
      </c>
      <c r="F130" s="103">
        <f>IFERROR(IF($L130&gt;0,IF(INDEX('Invullen groen'!$H:$H,$L130)=0,"",INT(INDEX('Invullen groen'!$H:$H,$L130))),""),"")</f>
        <v/>
      </c>
      <c r="G130" s="103">
        <f>IFERROR(IF($L130&gt;0,IF(INDEX('Invullen groen'!$I:$I,$L130)=0,"",INT(INDEX('Invullen groen'!$I:$I,$L130))),""),"")</f>
        <v/>
      </c>
      <c r="H130" s="103">
        <f>IFERROR(IF($L130&gt;0,IF(INDEX('Invullen groen'!$J:$J,$L130)=0,"",INT(INDEX('Invullen groen'!$J:$J,$L130))),""),"")</f>
        <v/>
      </c>
      <c r="I130" s="103">
        <f>IFERROR(IF($L130&gt;0,IF(INDEX('Invullen groen'!$K:$K,$L130)=0,"",INT(INDEX('Invullen groen'!$K:$K,$L130))),""),"")</f>
        <v/>
      </c>
      <c r="J130" s="83">
        <f>IF($L130&gt;0,IFERROR($K$1&amp;" "&amp;TRIM(SUBSTITUTE(SUBSTITUTE(SUBSTITUTE(SUBSTITUTE(SUBSTITUTE(SUBSTITUTE(SUBSTITUTE(SUBSTITUTE(SUBSTITUTE(SUBSTITUTE(SUBSTITUTE(SUBSTITUTE(LOWER(INDEX('Invullen groen'!$O:$O,$L130)),"2024",""),"2025",""),"2026",""),"2027",""),"2028",""),"2029",""),"taakveld ",""),"installaties","inst"),"ruwbouw","ruwb"),"afbouw","afb"),"bijstelling","bijst"),"investeringen","invest")),""),"")</f>
        <v/>
      </c>
      <c r="K130" s="83" t="n"/>
      <c r="L130" s="83">
        <f>IFERROR(MATCH(ROW()-104,'Invullen groen'!$S$121:$S$272,0)+120,0)</f>
        <v/>
      </c>
    </row>
    <row r="131" hidden="1" s="402">
      <c r="A131" s="102">
        <f>IF($L131&gt;0,"+","")</f>
        <v/>
      </c>
      <c r="B131" s="83">
        <f>IFERROR(IF($L131&gt;0,IF(INDEX('Invullen groen'!$F:$F,$L131)&gt;0,INDEX('Invullen groen'!$F:$F,$L131),""),""),"")</f>
        <v/>
      </c>
      <c r="C131" s="83">
        <f>IFERROR(IF($L131&gt;0,IF(INDEX('Invullen groen'!$N:$N,$L131)&gt;0,INDEX('Invullen groen'!$N:$N,$L131),""),""),"")</f>
        <v/>
      </c>
      <c r="D131" s="83" t="n"/>
      <c r="E131" s="83">
        <f>IFERROR(IF(LEN(J131)&lt;=36,J131,IFERROR(LEFT(J131,FIND(CHAR(1),SUBSTITUTE(LEFT(J131,36)," ",CHAR(1),LEN(LEFT(J131,36))-LEN(SUBSTITUTE(LEFT(J131,36)," ",""))))-1),LEFT(J131,36))),"")</f>
        <v/>
      </c>
      <c r="F131" s="103">
        <f>IFERROR(IF($L131&gt;0,IF(INDEX('Invullen groen'!$H:$H,$L131)=0,"",INT(INDEX('Invullen groen'!$H:$H,$L131))),""),"")</f>
        <v/>
      </c>
      <c r="G131" s="103">
        <f>IFERROR(IF($L131&gt;0,IF(INDEX('Invullen groen'!$I:$I,$L131)=0,"",INT(INDEX('Invullen groen'!$I:$I,$L131))),""),"")</f>
        <v/>
      </c>
      <c r="H131" s="103">
        <f>IFERROR(IF($L131&gt;0,IF(INDEX('Invullen groen'!$J:$J,$L131)=0,"",INT(INDEX('Invullen groen'!$J:$J,$L131))),""),"")</f>
        <v/>
      </c>
      <c r="I131" s="103">
        <f>IFERROR(IF($L131&gt;0,IF(INDEX('Invullen groen'!$K:$K,$L131)=0,"",INT(INDEX('Invullen groen'!$K:$K,$L131))),""),"")</f>
        <v/>
      </c>
      <c r="J131" s="83">
        <f>IF($L131&gt;0,IFERROR($K$1&amp;" "&amp;TRIM(SUBSTITUTE(SUBSTITUTE(SUBSTITUTE(SUBSTITUTE(SUBSTITUTE(SUBSTITUTE(SUBSTITUTE(SUBSTITUTE(SUBSTITUTE(SUBSTITUTE(SUBSTITUTE(SUBSTITUTE(LOWER(INDEX('Invullen groen'!$O:$O,$L131)),"2024",""),"2025",""),"2026",""),"2027",""),"2028",""),"2029",""),"taakveld ",""),"installaties","inst"),"ruwbouw","ruwb"),"afbouw","afb"),"bijstelling","bijst"),"investeringen","invest")),""),"")</f>
        <v/>
      </c>
      <c r="K131" s="83" t="n"/>
      <c r="L131" s="83">
        <f>IFERROR(MATCH(ROW()-104,'Invullen groen'!$S$121:$S$272,0)+120,0)</f>
        <v/>
      </c>
    </row>
    <row r="132" hidden="1" s="402">
      <c r="A132" s="102">
        <f>IF($L132&gt;0,"+","")</f>
        <v/>
      </c>
      <c r="B132" s="83">
        <f>IFERROR(IF($L132&gt;0,IF(INDEX('Invullen groen'!$F:$F,$L132)&gt;0,INDEX('Invullen groen'!$F:$F,$L132),""),""),"")</f>
        <v/>
      </c>
      <c r="C132" s="83">
        <f>IFERROR(IF($L132&gt;0,IF(INDEX('Invullen groen'!$N:$N,$L132)&gt;0,INDEX('Invullen groen'!$N:$N,$L132),""),""),"")</f>
        <v/>
      </c>
      <c r="D132" s="83" t="n"/>
      <c r="E132" s="83">
        <f>IFERROR(IF(LEN(J132)&lt;=36,J132,IFERROR(LEFT(J132,FIND(CHAR(1),SUBSTITUTE(LEFT(J132,36)," ",CHAR(1),LEN(LEFT(J132,36))-LEN(SUBSTITUTE(LEFT(J132,36)," ",""))))-1),LEFT(J132,36))),"")</f>
        <v/>
      </c>
      <c r="F132" s="103">
        <f>IFERROR(IF($L132&gt;0,IF(INDEX('Invullen groen'!$H:$H,$L132)=0,"",INT(INDEX('Invullen groen'!$H:$H,$L132))),""),"")</f>
        <v/>
      </c>
      <c r="G132" s="103">
        <f>IFERROR(IF($L132&gt;0,IF(INDEX('Invullen groen'!$I:$I,$L132)=0,"",INT(INDEX('Invullen groen'!$I:$I,$L132))),""),"")</f>
        <v/>
      </c>
      <c r="H132" s="103">
        <f>IFERROR(IF($L132&gt;0,IF(INDEX('Invullen groen'!$J:$J,$L132)=0,"",INT(INDEX('Invullen groen'!$J:$J,$L132))),""),"")</f>
        <v/>
      </c>
      <c r="I132" s="103">
        <f>IFERROR(IF($L132&gt;0,IF(INDEX('Invullen groen'!$K:$K,$L132)=0,"",INT(INDEX('Invullen groen'!$K:$K,$L132))),""),"")</f>
        <v/>
      </c>
      <c r="J132" s="83">
        <f>IF($L132&gt;0,IFERROR($K$1&amp;" "&amp;TRIM(SUBSTITUTE(SUBSTITUTE(SUBSTITUTE(SUBSTITUTE(SUBSTITUTE(SUBSTITUTE(SUBSTITUTE(SUBSTITUTE(SUBSTITUTE(SUBSTITUTE(SUBSTITUTE(SUBSTITUTE(LOWER(INDEX('Invullen groen'!$O:$O,$L132)),"2024",""),"2025",""),"2026",""),"2027",""),"2028",""),"2029",""),"taakveld ",""),"installaties","inst"),"ruwbouw","ruwb"),"afbouw","afb"),"bijstelling","bijst"),"investeringen","invest")),""),"")</f>
        <v/>
      </c>
      <c r="K132" s="83" t="n"/>
      <c r="L132" s="83">
        <f>IFERROR(MATCH(ROW()-104,'Invullen groen'!$S$121:$S$272,0)+120,0)</f>
        <v/>
      </c>
    </row>
    <row r="133" hidden="1" s="402">
      <c r="A133" s="102">
        <f>IF($L133&gt;0,"+","")</f>
        <v/>
      </c>
      <c r="B133" s="83">
        <f>IFERROR(IF($L133&gt;0,IF(INDEX('Invullen groen'!$F:$F,$L133)&gt;0,INDEX('Invullen groen'!$F:$F,$L133),""),""),"")</f>
        <v/>
      </c>
      <c r="C133" s="83">
        <f>IFERROR(IF($L133&gt;0,IF(INDEX('Invullen groen'!$N:$N,$L133)&gt;0,INDEX('Invullen groen'!$N:$N,$L133),""),""),"")</f>
        <v/>
      </c>
      <c r="D133" s="83" t="n"/>
      <c r="E133" s="83">
        <f>IFERROR(IF(LEN(J133)&lt;=36,J133,IFERROR(LEFT(J133,FIND(CHAR(1),SUBSTITUTE(LEFT(J133,36)," ",CHAR(1),LEN(LEFT(J133,36))-LEN(SUBSTITUTE(LEFT(J133,36)," ",""))))-1),LEFT(J133,36))),"")</f>
        <v/>
      </c>
      <c r="F133" s="103">
        <f>IFERROR(IF($L133&gt;0,IF(INDEX('Invullen groen'!$H:$H,$L133)=0,"",INT(INDEX('Invullen groen'!$H:$H,$L133))),""),"")</f>
        <v/>
      </c>
      <c r="G133" s="103">
        <f>IFERROR(IF($L133&gt;0,IF(INDEX('Invullen groen'!$I:$I,$L133)=0,"",INT(INDEX('Invullen groen'!$I:$I,$L133))),""),"")</f>
        <v/>
      </c>
      <c r="H133" s="103">
        <f>IFERROR(IF($L133&gt;0,IF(INDEX('Invullen groen'!$J:$J,$L133)=0,"",INT(INDEX('Invullen groen'!$J:$J,$L133))),""),"")</f>
        <v/>
      </c>
      <c r="I133" s="103">
        <f>IFERROR(IF($L133&gt;0,IF(INDEX('Invullen groen'!$K:$K,$L133)=0,"",INT(INDEX('Invullen groen'!$K:$K,$L133))),""),"")</f>
        <v/>
      </c>
      <c r="J133" s="83">
        <f>IF($L133&gt;0,IFERROR($K$1&amp;" "&amp;TRIM(SUBSTITUTE(SUBSTITUTE(SUBSTITUTE(SUBSTITUTE(SUBSTITUTE(SUBSTITUTE(SUBSTITUTE(SUBSTITUTE(SUBSTITUTE(SUBSTITUTE(SUBSTITUTE(SUBSTITUTE(LOWER(INDEX('Invullen groen'!$O:$O,$L133)),"2024",""),"2025",""),"2026",""),"2027",""),"2028",""),"2029",""),"taakveld ",""),"installaties","inst"),"ruwbouw","ruwb"),"afbouw","afb"),"bijstelling","bijst"),"investeringen","invest")),""),"")</f>
        <v/>
      </c>
      <c r="K133" s="83" t="n"/>
      <c r="L133" s="83">
        <f>IFERROR(MATCH(ROW()-104,'Invullen groen'!$S$121:$S$272,0)+120,0)</f>
        <v/>
      </c>
    </row>
    <row r="134" hidden="1" s="402">
      <c r="A134" s="102">
        <f>IF($L134&gt;0,"+","")</f>
        <v/>
      </c>
      <c r="B134" s="83">
        <f>IFERROR(IF($L134&gt;0,IF(INDEX('Invullen groen'!$F:$F,$L134)&gt;0,INDEX('Invullen groen'!$F:$F,$L134),""),""),"")</f>
        <v/>
      </c>
      <c r="C134" s="83">
        <f>IFERROR(IF($L134&gt;0,IF(INDEX('Invullen groen'!$N:$N,$L134)&gt;0,INDEX('Invullen groen'!$N:$N,$L134),""),""),"")</f>
        <v/>
      </c>
      <c r="D134" s="83" t="n"/>
      <c r="E134" s="83">
        <f>IFERROR(IF(LEN(J134)&lt;=36,J134,IFERROR(LEFT(J134,FIND(CHAR(1),SUBSTITUTE(LEFT(J134,36)," ",CHAR(1),LEN(LEFT(J134,36))-LEN(SUBSTITUTE(LEFT(J134,36)," ",""))))-1),LEFT(J134,36))),"")</f>
        <v/>
      </c>
      <c r="F134" s="103">
        <f>IFERROR(IF($L134&gt;0,IF(INDEX('Invullen groen'!$H:$H,$L134)=0,"",INT(INDEX('Invullen groen'!$H:$H,$L134))),""),"")</f>
        <v/>
      </c>
      <c r="G134" s="103">
        <f>IFERROR(IF($L134&gt;0,IF(INDEX('Invullen groen'!$I:$I,$L134)=0,"",INT(INDEX('Invullen groen'!$I:$I,$L134))),""),"")</f>
        <v/>
      </c>
      <c r="H134" s="103">
        <f>IFERROR(IF($L134&gt;0,IF(INDEX('Invullen groen'!$J:$J,$L134)=0,"",INT(INDEX('Invullen groen'!$J:$J,$L134))),""),"")</f>
        <v/>
      </c>
      <c r="I134" s="103">
        <f>IFERROR(IF($L134&gt;0,IF(INDEX('Invullen groen'!$K:$K,$L134)=0,"",INT(INDEX('Invullen groen'!$K:$K,$L134))),""),"")</f>
        <v/>
      </c>
      <c r="J134" s="83">
        <f>IF($L134&gt;0,IFERROR($K$1&amp;" "&amp;TRIM(SUBSTITUTE(SUBSTITUTE(SUBSTITUTE(SUBSTITUTE(SUBSTITUTE(SUBSTITUTE(SUBSTITUTE(SUBSTITUTE(SUBSTITUTE(SUBSTITUTE(SUBSTITUTE(SUBSTITUTE(LOWER(INDEX('Invullen groen'!$O:$O,$L134)),"2024",""),"2025",""),"2026",""),"2027",""),"2028",""),"2029",""),"taakveld ",""),"installaties","inst"),"ruwbouw","ruwb"),"afbouw","afb"),"bijstelling","bijst"),"investeringen","invest")),""),"")</f>
        <v/>
      </c>
      <c r="K134" s="83" t="n"/>
      <c r="L134" s="83">
        <f>IFERROR(MATCH(ROW()-104,'Invullen groen'!$S$121:$S$272,0)+120,0)</f>
        <v/>
      </c>
    </row>
    <row r="135" hidden="1" s="402">
      <c r="A135" s="102">
        <f>IF($L135&gt;0,"+","")</f>
        <v/>
      </c>
      <c r="B135" s="83">
        <f>IFERROR(IF($L135&gt;0,IF(INDEX('Invullen groen'!$F:$F,$L135)&gt;0,INDEX('Invullen groen'!$F:$F,$L135),""),""),"")</f>
        <v/>
      </c>
      <c r="C135" s="83">
        <f>IFERROR(IF($L135&gt;0,IF(INDEX('Invullen groen'!$N:$N,$L135)&gt;0,INDEX('Invullen groen'!$N:$N,$L135),""),""),"")</f>
        <v/>
      </c>
      <c r="D135" s="83" t="n"/>
      <c r="E135" s="83">
        <f>IFERROR(IF(LEN(J135)&lt;=36,J135,IFERROR(LEFT(J135,FIND(CHAR(1),SUBSTITUTE(LEFT(J135,36)," ",CHAR(1),LEN(LEFT(J135,36))-LEN(SUBSTITUTE(LEFT(J135,36)," ",""))))-1),LEFT(J135,36))),"")</f>
        <v/>
      </c>
      <c r="F135" s="103">
        <f>IFERROR(IF($L135&gt;0,IF(INDEX('Invullen groen'!$H:$H,$L135)=0,"",INT(INDEX('Invullen groen'!$H:$H,$L135))),""),"")</f>
        <v/>
      </c>
      <c r="G135" s="103">
        <f>IFERROR(IF($L135&gt;0,IF(INDEX('Invullen groen'!$I:$I,$L135)=0,"",INT(INDEX('Invullen groen'!$I:$I,$L135))),""),"")</f>
        <v/>
      </c>
      <c r="H135" s="103">
        <f>IFERROR(IF($L135&gt;0,IF(INDEX('Invullen groen'!$J:$J,$L135)=0,"",INT(INDEX('Invullen groen'!$J:$J,$L135))),""),"")</f>
        <v/>
      </c>
      <c r="I135" s="103">
        <f>IFERROR(IF($L135&gt;0,IF(INDEX('Invullen groen'!$K:$K,$L135)=0,"",INT(INDEX('Invullen groen'!$K:$K,$L135))),""),"")</f>
        <v/>
      </c>
      <c r="J135" s="83">
        <f>IF($L135&gt;0,IFERROR($K$1&amp;" "&amp;TRIM(SUBSTITUTE(SUBSTITUTE(SUBSTITUTE(SUBSTITUTE(SUBSTITUTE(SUBSTITUTE(SUBSTITUTE(SUBSTITUTE(SUBSTITUTE(SUBSTITUTE(SUBSTITUTE(SUBSTITUTE(LOWER(INDEX('Invullen groen'!$O:$O,$L135)),"2024",""),"2025",""),"2026",""),"2027",""),"2028",""),"2029",""),"taakveld ",""),"installaties","inst"),"ruwbouw","ruwb"),"afbouw","afb"),"bijstelling","bijst"),"investeringen","invest")),""),"")</f>
        <v/>
      </c>
      <c r="K135" s="83" t="n"/>
      <c r="L135" s="83">
        <f>IFERROR(MATCH(ROW()-104,'Invullen groen'!$S$121:$S$272,0)+120,0)</f>
        <v/>
      </c>
    </row>
    <row r="136" hidden="1" s="402">
      <c r="A136" s="102">
        <f>IF($L136&gt;0,"+","")</f>
        <v/>
      </c>
      <c r="B136" s="83">
        <f>IFERROR(IF($L136&gt;0,IF(INDEX('Invullen groen'!$F:$F,$L136)&gt;0,INDEX('Invullen groen'!$F:$F,$L136),""),""),"")</f>
        <v/>
      </c>
      <c r="C136" s="83">
        <f>IFERROR(IF($L136&gt;0,IF(INDEX('Invullen groen'!$N:$N,$L136)&gt;0,INDEX('Invullen groen'!$N:$N,$L136),""),""),"")</f>
        <v/>
      </c>
      <c r="D136" s="83" t="n"/>
      <c r="E136" s="83">
        <f>IFERROR(IF(LEN(J136)&lt;=36,J136,IFERROR(LEFT(J136,FIND(CHAR(1),SUBSTITUTE(LEFT(J136,36)," ",CHAR(1),LEN(LEFT(J136,36))-LEN(SUBSTITUTE(LEFT(J136,36)," ",""))))-1),LEFT(J136,36))),"")</f>
        <v/>
      </c>
      <c r="F136" s="103">
        <f>IFERROR(IF($L136&gt;0,IF(INDEX('Invullen groen'!$H:$H,$L136)=0,"",INT(INDEX('Invullen groen'!$H:$H,$L136))),""),"")</f>
        <v/>
      </c>
      <c r="G136" s="103">
        <f>IFERROR(IF($L136&gt;0,IF(INDEX('Invullen groen'!$I:$I,$L136)=0,"",INT(INDEX('Invullen groen'!$I:$I,$L136))),""),"")</f>
        <v/>
      </c>
      <c r="H136" s="103">
        <f>IFERROR(IF($L136&gt;0,IF(INDEX('Invullen groen'!$J:$J,$L136)=0,"",INT(INDEX('Invullen groen'!$J:$J,$L136))),""),"")</f>
        <v/>
      </c>
      <c r="I136" s="103">
        <f>IFERROR(IF($L136&gt;0,IF(INDEX('Invullen groen'!$K:$K,$L136)=0,"",INT(INDEX('Invullen groen'!$K:$K,$L136))),""),"")</f>
        <v/>
      </c>
      <c r="J136" s="83">
        <f>IF($L136&gt;0,IFERROR($K$1&amp;" "&amp;TRIM(SUBSTITUTE(SUBSTITUTE(SUBSTITUTE(SUBSTITUTE(SUBSTITUTE(SUBSTITUTE(SUBSTITUTE(SUBSTITUTE(SUBSTITUTE(SUBSTITUTE(SUBSTITUTE(SUBSTITUTE(LOWER(INDEX('Invullen groen'!$O:$O,$L136)),"2024",""),"2025",""),"2026",""),"2027",""),"2028",""),"2029",""),"taakveld ",""),"installaties","inst"),"ruwbouw","ruwb"),"afbouw","afb"),"bijstelling","bijst"),"investeringen","invest")),""),"")</f>
        <v/>
      </c>
      <c r="K136" s="83" t="n"/>
      <c r="L136" s="83">
        <f>IFERROR(MATCH(ROW()-104,'Invullen groen'!$S$121:$S$272,0)+120,0)</f>
        <v/>
      </c>
    </row>
    <row r="137" hidden="1" s="402">
      <c r="A137" s="102">
        <f>IF($L137&gt;0,"+","")</f>
        <v/>
      </c>
      <c r="B137" s="83">
        <f>IFERROR(IF($L137&gt;0,IF(INDEX('Invullen groen'!$F:$F,$L137)&gt;0,INDEX('Invullen groen'!$F:$F,$L137),""),""),"")</f>
        <v/>
      </c>
      <c r="C137" s="83">
        <f>IFERROR(IF($L137&gt;0,IF(INDEX('Invullen groen'!$N:$N,$L137)&gt;0,INDEX('Invullen groen'!$N:$N,$L137),""),""),"")</f>
        <v/>
      </c>
      <c r="D137" s="83" t="n"/>
      <c r="E137" s="83">
        <f>IFERROR(IF(LEN(J137)&lt;=36,J137,IFERROR(LEFT(J137,FIND(CHAR(1),SUBSTITUTE(LEFT(J137,36)," ",CHAR(1),LEN(LEFT(J137,36))-LEN(SUBSTITUTE(LEFT(J137,36)," ",""))))-1),LEFT(J137,36))),"")</f>
        <v/>
      </c>
      <c r="F137" s="103">
        <f>IFERROR(IF($L137&gt;0,IF(INDEX('Invullen groen'!$H:$H,$L137)=0,"",INT(INDEX('Invullen groen'!$H:$H,$L137))),""),"")</f>
        <v/>
      </c>
      <c r="G137" s="103">
        <f>IFERROR(IF($L137&gt;0,IF(INDEX('Invullen groen'!$I:$I,$L137)=0,"",INT(INDEX('Invullen groen'!$I:$I,$L137))),""),"")</f>
        <v/>
      </c>
      <c r="H137" s="103">
        <f>IFERROR(IF($L137&gt;0,IF(INDEX('Invullen groen'!$J:$J,$L137)=0,"",INT(INDEX('Invullen groen'!$J:$J,$L137))),""),"")</f>
        <v/>
      </c>
      <c r="I137" s="103">
        <f>IFERROR(IF($L137&gt;0,IF(INDEX('Invullen groen'!$K:$K,$L137)=0,"",INT(INDEX('Invullen groen'!$K:$K,$L137))),""),"")</f>
        <v/>
      </c>
      <c r="J137" s="83">
        <f>IF($L137&gt;0,IFERROR($K$1&amp;" "&amp;TRIM(SUBSTITUTE(SUBSTITUTE(SUBSTITUTE(SUBSTITUTE(SUBSTITUTE(SUBSTITUTE(SUBSTITUTE(SUBSTITUTE(SUBSTITUTE(SUBSTITUTE(SUBSTITUTE(SUBSTITUTE(LOWER(INDEX('Invullen groen'!$O:$O,$L137)),"2024",""),"2025",""),"2026",""),"2027",""),"2028",""),"2029",""),"taakveld ",""),"installaties","inst"),"ruwbouw","ruwb"),"afbouw","afb"),"bijstelling","bijst"),"investeringen","invest")),""),"")</f>
        <v/>
      </c>
      <c r="K137" s="83" t="n"/>
      <c r="L137" s="83">
        <f>IFERROR(MATCH(ROW()-104,'Invullen groen'!$S$121:$S$272,0)+120,0)</f>
        <v/>
      </c>
    </row>
    <row r="138" hidden="1" s="402">
      <c r="A138" s="102">
        <f>IF($L138&gt;0,"+","")</f>
        <v/>
      </c>
      <c r="B138" s="83">
        <f>IFERROR(IF($L138&gt;0,IF(INDEX('Invullen groen'!$F:$F,$L138)&gt;0,INDEX('Invullen groen'!$F:$F,$L138),""),""),"")</f>
        <v/>
      </c>
      <c r="C138" s="83">
        <f>IFERROR(IF($L138&gt;0,IF(INDEX('Invullen groen'!$N:$N,$L138)&gt;0,INDEX('Invullen groen'!$N:$N,$L138),""),""),"")</f>
        <v/>
      </c>
      <c r="D138" s="83" t="n"/>
      <c r="E138" s="83">
        <f>IFERROR(IF(LEN(J138)&lt;=36,J138,IFERROR(LEFT(J138,FIND(CHAR(1),SUBSTITUTE(LEFT(J138,36)," ",CHAR(1),LEN(LEFT(J138,36))-LEN(SUBSTITUTE(LEFT(J138,36)," ",""))))-1),LEFT(J138,36))),"")</f>
        <v/>
      </c>
      <c r="F138" s="103">
        <f>IFERROR(IF($L138&gt;0,IF(INDEX('Invullen groen'!$H:$H,$L138)=0,"",INT(INDEX('Invullen groen'!$H:$H,$L138))),""),"")</f>
        <v/>
      </c>
      <c r="G138" s="103">
        <f>IFERROR(IF($L138&gt;0,IF(INDEX('Invullen groen'!$I:$I,$L138)=0,"",INT(INDEX('Invullen groen'!$I:$I,$L138))),""),"")</f>
        <v/>
      </c>
      <c r="H138" s="103">
        <f>IFERROR(IF($L138&gt;0,IF(INDEX('Invullen groen'!$J:$J,$L138)=0,"",INT(INDEX('Invullen groen'!$J:$J,$L138))),""),"")</f>
        <v/>
      </c>
      <c r="I138" s="103">
        <f>IFERROR(IF($L138&gt;0,IF(INDEX('Invullen groen'!$K:$K,$L138)=0,"",INT(INDEX('Invullen groen'!$K:$K,$L138))),""),"")</f>
        <v/>
      </c>
      <c r="J138" s="83">
        <f>IF($L138&gt;0,IFERROR($K$1&amp;" "&amp;TRIM(SUBSTITUTE(SUBSTITUTE(SUBSTITUTE(SUBSTITUTE(SUBSTITUTE(SUBSTITUTE(SUBSTITUTE(SUBSTITUTE(SUBSTITUTE(SUBSTITUTE(SUBSTITUTE(SUBSTITUTE(LOWER(INDEX('Invullen groen'!$O:$O,$L138)),"2024",""),"2025",""),"2026",""),"2027",""),"2028",""),"2029",""),"taakveld ",""),"installaties","inst"),"ruwbouw","ruwb"),"afbouw","afb"),"bijstelling","bijst"),"investeringen","invest")),""),"")</f>
        <v/>
      </c>
      <c r="K138" s="83" t="n"/>
      <c r="L138" s="83">
        <f>IFERROR(MATCH(ROW()-104,'Invullen groen'!$S$121:$S$272,0)+120,0)</f>
        <v/>
      </c>
    </row>
    <row r="139" hidden="1" s="402">
      <c r="A139" s="102">
        <f>IF($L139&gt;0,"+","")</f>
        <v/>
      </c>
      <c r="B139" s="83">
        <f>IFERROR(IF($L139&gt;0,IF(INDEX('Invullen groen'!$F:$F,$L139)&gt;0,INDEX('Invullen groen'!$F:$F,$L139),""),""),"")</f>
        <v/>
      </c>
      <c r="C139" s="83">
        <f>IFERROR(IF($L139&gt;0,IF(INDEX('Invullen groen'!$N:$N,$L139)&gt;0,INDEX('Invullen groen'!$N:$N,$L139),""),""),"")</f>
        <v/>
      </c>
      <c r="D139" s="83" t="n"/>
      <c r="E139" s="83">
        <f>IFERROR(IF(LEN(J139)&lt;=36,J139,IFERROR(LEFT(J139,FIND(CHAR(1),SUBSTITUTE(LEFT(J139,36)," ",CHAR(1),LEN(LEFT(J139,36))-LEN(SUBSTITUTE(LEFT(J139,36)," ",""))))-1),LEFT(J139,36))),"")</f>
        <v/>
      </c>
      <c r="F139" s="103">
        <f>IFERROR(IF($L139&gt;0,IF(INDEX('Invullen groen'!$H:$H,$L139)=0,"",INT(INDEX('Invullen groen'!$H:$H,$L139))),""),"")</f>
        <v/>
      </c>
      <c r="G139" s="103">
        <f>IFERROR(IF($L139&gt;0,IF(INDEX('Invullen groen'!$I:$I,$L139)=0,"",INT(INDEX('Invullen groen'!$I:$I,$L139))),""),"")</f>
        <v/>
      </c>
      <c r="H139" s="103">
        <f>IFERROR(IF($L139&gt;0,IF(INDEX('Invullen groen'!$J:$J,$L139)=0,"",INT(INDEX('Invullen groen'!$J:$J,$L139))),""),"")</f>
        <v/>
      </c>
      <c r="I139" s="103">
        <f>IFERROR(IF($L139&gt;0,IF(INDEX('Invullen groen'!$K:$K,$L139)=0,"",INT(INDEX('Invullen groen'!$K:$K,$L139))),""),"")</f>
        <v/>
      </c>
      <c r="J139" s="83">
        <f>IF($L139&gt;0,IFERROR($K$1&amp;" "&amp;TRIM(SUBSTITUTE(SUBSTITUTE(SUBSTITUTE(SUBSTITUTE(SUBSTITUTE(SUBSTITUTE(SUBSTITUTE(SUBSTITUTE(SUBSTITUTE(SUBSTITUTE(SUBSTITUTE(SUBSTITUTE(LOWER(INDEX('Invullen groen'!$O:$O,$L139)),"2024",""),"2025",""),"2026",""),"2027",""),"2028",""),"2029",""),"taakveld ",""),"installaties","inst"),"ruwbouw","ruwb"),"afbouw","afb"),"bijstelling","bijst"),"investeringen","invest")),""),"")</f>
        <v/>
      </c>
      <c r="K139" s="83" t="n"/>
      <c r="L139" s="83">
        <f>IFERROR(MATCH(ROW()-104,'Invullen groen'!$S$121:$S$272,0)+120,0)</f>
        <v/>
      </c>
    </row>
    <row r="140" hidden="1" s="402">
      <c r="A140" s="102">
        <f>IF($L140&gt;0,"+","")</f>
        <v/>
      </c>
      <c r="B140" s="83">
        <f>IFERROR(IF($L140&gt;0,IF(INDEX('Invullen groen'!$F:$F,$L140)&gt;0,INDEX('Invullen groen'!$F:$F,$L140),""),""),"")</f>
        <v/>
      </c>
      <c r="C140" s="83">
        <f>IFERROR(IF($L140&gt;0,IF(INDEX('Invullen groen'!$N:$N,$L140)&gt;0,INDEX('Invullen groen'!$N:$N,$L140),""),""),"")</f>
        <v/>
      </c>
      <c r="D140" s="83" t="n"/>
      <c r="E140" s="83">
        <f>IFERROR(IF(LEN(J140)&lt;=36,J140,IFERROR(LEFT(J140,FIND(CHAR(1),SUBSTITUTE(LEFT(J140,36)," ",CHAR(1),LEN(LEFT(J140,36))-LEN(SUBSTITUTE(LEFT(J140,36)," ",""))))-1),LEFT(J140,36))),"")</f>
        <v/>
      </c>
      <c r="F140" s="103">
        <f>IFERROR(IF($L140&gt;0,IF(INDEX('Invullen groen'!$H:$H,$L140)=0,"",INT(INDEX('Invullen groen'!$H:$H,$L140))),""),"")</f>
        <v/>
      </c>
      <c r="G140" s="103">
        <f>IFERROR(IF($L140&gt;0,IF(INDEX('Invullen groen'!$I:$I,$L140)=0,"",INT(INDEX('Invullen groen'!$I:$I,$L140))),""),"")</f>
        <v/>
      </c>
      <c r="H140" s="103">
        <f>IFERROR(IF($L140&gt;0,IF(INDEX('Invullen groen'!$J:$J,$L140)=0,"",INT(INDEX('Invullen groen'!$J:$J,$L140))),""),"")</f>
        <v/>
      </c>
      <c r="I140" s="103">
        <f>IFERROR(IF($L140&gt;0,IF(INDEX('Invullen groen'!$K:$K,$L140)=0,"",INT(INDEX('Invullen groen'!$K:$K,$L140))),""),"")</f>
        <v/>
      </c>
      <c r="J140" s="83">
        <f>IF($L140&gt;0,IFERROR($K$1&amp;" "&amp;TRIM(SUBSTITUTE(SUBSTITUTE(SUBSTITUTE(SUBSTITUTE(SUBSTITUTE(SUBSTITUTE(SUBSTITUTE(SUBSTITUTE(SUBSTITUTE(SUBSTITUTE(SUBSTITUTE(SUBSTITUTE(LOWER(INDEX('Invullen groen'!$O:$O,$L140)),"2024",""),"2025",""),"2026",""),"2027",""),"2028",""),"2029",""),"taakveld ",""),"installaties","inst"),"ruwbouw","ruwb"),"afbouw","afb"),"bijstelling","bijst"),"investeringen","invest")),""),"")</f>
        <v/>
      </c>
      <c r="K140" s="83" t="n"/>
      <c r="L140" s="83">
        <f>IFERROR(MATCH(ROW()-104,'Invullen groen'!$S$121:$S$272,0)+120,0)</f>
        <v/>
      </c>
    </row>
    <row r="141" hidden="1" s="402">
      <c r="A141" s="102">
        <f>IF($L141&gt;0,"+","")</f>
        <v/>
      </c>
      <c r="B141" s="83">
        <f>IFERROR(IF($L141&gt;0,IF(INDEX('Invullen groen'!$F:$F,$L141)&gt;0,INDEX('Invullen groen'!$F:$F,$L141),""),""),"")</f>
        <v/>
      </c>
      <c r="C141" s="83">
        <f>IFERROR(IF($L141&gt;0,IF(INDEX('Invullen groen'!$N:$N,$L141)&gt;0,INDEX('Invullen groen'!$N:$N,$L141),""),""),"")</f>
        <v/>
      </c>
      <c r="D141" s="83" t="n"/>
      <c r="E141" s="83">
        <f>IFERROR(IF(LEN(J141)&lt;=36,J141,IFERROR(LEFT(J141,FIND(CHAR(1),SUBSTITUTE(LEFT(J141,36)," ",CHAR(1),LEN(LEFT(J141,36))-LEN(SUBSTITUTE(LEFT(J141,36)," ",""))))-1),LEFT(J141,36))),"")</f>
        <v/>
      </c>
      <c r="F141" s="103">
        <f>IFERROR(IF($L141&gt;0,IF(INDEX('Invullen groen'!$H:$H,$L141)=0,"",INT(INDEX('Invullen groen'!$H:$H,$L141))),""),"")</f>
        <v/>
      </c>
      <c r="G141" s="103">
        <f>IFERROR(IF($L141&gt;0,IF(INDEX('Invullen groen'!$I:$I,$L141)=0,"",INT(INDEX('Invullen groen'!$I:$I,$L141))),""),"")</f>
        <v/>
      </c>
      <c r="H141" s="103">
        <f>IFERROR(IF($L141&gt;0,IF(INDEX('Invullen groen'!$J:$J,$L141)=0,"",INT(INDEX('Invullen groen'!$J:$J,$L141))),""),"")</f>
        <v/>
      </c>
      <c r="I141" s="103">
        <f>IFERROR(IF($L141&gt;0,IF(INDEX('Invullen groen'!$K:$K,$L141)=0,"",INT(INDEX('Invullen groen'!$K:$K,$L141))),""),"")</f>
        <v/>
      </c>
      <c r="J141" s="83">
        <f>IF($L141&gt;0,IFERROR($K$1&amp;" "&amp;TRIM(SUBSTITUTE(SUBSTITUTE(SUBSTITUTE(SUBSTITUTE(SUBSTITUTE(SUBSTITUTE(SUBSTITUTE(SUBSTITUTE(SUBSTITUTE(SUBSTITUTE(SUBSTITUTE(SUBSTITUTE(LOWER(INDEX('Invullen groen'!$O:$O,$L141)),"2024",""),"2025",""),"2026",""),"2027",""),"2028",""),"2029",""),"taakveld ",""),"installaties","inst"),"ruwbouw","ruwb"),"afbouw","afb"),"bijstelling","bijst"),"investeringen","invest")),""),"")</f>
        <v/>
      </c>
      <c r="K141" s="83" t="n"/>
      <c r="L141" s="83">
        <f>IFERROR(MATCH(ROW()-104,'Invullen groen'!$S$121:$S$272,0)+120,0)</f>
        <v/>
      </c>
    </row>
    <row r="142" hidden="1" s="402">
      <c r="A142" s="102">
        <f>IF($L142&gt;0,"+","")</f>
        <v/>
      </c>
      <c r="B142" s="83">
        <f>IFERROR(IF($L142&gt;0,IF(INDEX('Invullen groen'!$F:$F,$L142)&gt;0,INDEX('Invullen groen'!$F:$F,$L142),""),""),"")</f>
        <v/>
      </c>
      <c r="C142" s="83">
        <f>IFERROR(IF($L142&gt;0,IF(INDEX('Invullen groen'!$N:$N,$L142)&gt;0,INDEX('Invullen groen'!$N:$N,$L142),""),""),"")</f>
        <v/>
      </c>
      <c r="D142" s="83" t="n"/>
      <c r="E142" s="83">
        <f>IFERROR(IF(LEN(J142)&lt;=36,J142,IFERROR(LEFT(J142,FIND(CHAR(1),SUBSTITUTE(LEFT(J142,36)," ",CHAR(1),LEN(LEFT(J142,36))-LEN(SUBSTITUTE(LEFT(J142,36)," ",""))))-1),LEFT(J142,36))),"")</f>
        <v/>
      </c>
      <c r="F142" s="103">
        <f>IFERROR(IF($L142&gt;0,IF(INDEX('Invullen groen'!$H:$H,$L142)=0,"",INT(INDEX('Invullen groen'!$H:$H,$L142))),""),"")</f>
        <v/>
      </c>
      <c r="G142" s="103">
        <f>IFERROR(IF($L142&gt;0,IF(INDEX('Invullen groen'!$I:$I,$L142)=0,"",INT(INDEX('Invullen groen'!$I:$I,$L142))),""),"")</f>
        <v/>
      </c>
      <c r="H142" s="103">
        <f>IFERROR(IF($L142&gt;0,IF(INDEX('Invullen groen'!$J:$J,$L142)=0,"",INT(INDEX('Invullen groen'!$J:$J,$L142))),""),"")</f>
        <v/>
      </c>
      <c r="I142" s="103">
        <f>IFERROR(IF($L142&gt;0,IF(INDEX('Invullen groen'!$K:$K,$L142)=0,"",INT(INDEX('Invullen groen'!$K:$K,$L142))),""),"")</f>
        <v/>
      </c>
      <c r="J142" s="83">
        <f>IF($L142&gt;0,IFERROR($K$1&amp;" "&amp;TRIM(SUBSTITUTE(SUBSTITUTE(SUBSTITUTE(SUBSTITUTE(SUBSTITUTE(SUBSTITUTE(SUBSTITUTE(SUBSTITUTE(SUBSTITUTE(SUBSTITUTE(SUBSTITUTE(SUBSTITUTE(LOWER(INDEX('Invullen groen'!$O:$O,$L142)),"2024",""),"2025",""),"2026",""),"2027",""),"2028",""),"2029",""),"taakveld ",""),"installaties","inst"),"ruwbouw","ruwb"),"afbouw","afb"),"bijstelling","bijst"),"investeringen","invest")),""),"")</f>
        <v/>
      </c>
      <c r="K142" s="83" t="n"/>
      <c r="L142" s="83">
        <f>IFERROR(MATCH(ROW()-104,'Invullen groen'!$S$121:$S$272,0)+120,0)</f>
        <v/>
      </c>
    </row>
    <row r="143" hidden="1" s="402">
      <c r="A143" s="102">
        <f>IF($L143&gt;0,"+","")</f>
        <v/>
      </c>
      <c r="B143" s="83">
        <f>IFERROR(IF($L143&gt;0,IF(INDEX('Invullen groen'!$F:$F,$L143)&gt;0,INDEX('Invullen groen'!$F:$F,$L143),""),""),"")</f>
        <v/>
      </c>
      <c r="C143" s="83">
        <f>IFERROR(IF($L143&gt;0,IF(INDEX('Invullen groen'!$N:$N,$L143)&gt;0,INDEX('Invullen groen'!$N:$N,$L143),""),""),"")</f>
        <v/>
      </c>
      <c r="D143" s="83" t="n"/>
      <c r="E143" s="83">
        <f>IFERROR(IF(LEN(J143)&lt;=36,J143,IFERROR(LEFT(J143,FIND(CHAR(1),SUBSTITUTE(LEFT(J143,36)," ",CHAR(1),LEN(LEFT(J143,36))-LEN(SUBSTITUTE(LEFT(J143,36)," ",""))))-1),LEFT(J143,36))),"")</f>
        <v/>
      </c>
      <c r="F143" s="103">
        <f>IFERROR(IF($L143&gt;0,IF(INDEX('Invullen groen'!$H:$H,$L143)=0,"",INT(INDEX('Invullen groen'!$H:$H,$L143))),""),"")</f>
        <v/>
      </c>
      <c r="G143" s="103">
        <f>IFERROR(IF($L143&gt;0,IF(INDEX('Invullen groen'!$I:$I,$L143)=0,"",INT(INDEX('Invullen groen'!$I:$I,$L143))),""),"")</f>
        <v/>
      </c>
      <c r="H143" s="103">
        <f>IFERROR(IF($L143&gt;0,IF(INDEX('Invullen groen'!$J:$J,$L143)=0,"",INT(INDEX('Invullen groen'!$J:$J,$L143))),""),"")</f>
        <v/>
      </c>
      <c r="I143" s="103">
        <f>IFERROR(IF($L143&gt;0,IF(INDEX('Invullen groen'!$K:$K,$L143)=0,"",INT(INDEX('Invullen groen'!$K:$K,$L143))),""),"")</f>
        <v/>
      </c>
      <c r="J143" s="83">
        <f>IF($L143&gt;0,IFERROR($K$1&amp;" "&amp;TRIM(SUBSTITUTE(SUBSTITUTE(SUBSTITUTE(SUBSTITUTE(SUBSTITUTE(SUBSTITUTE(SUBSTITUTE(SUBSTITUTE(SUBSTITUTE(SUBSTITUTE(SUBSTITUTE(SUBSTITUTE(LOWER(INDEX('Invullen groen'!$O:$O,$L143)),"2024",""),"2025",""),"2026",""),"2027",""),"2028",""),"2029",""),"taakveld ",""),"installaties","inst"),"ruwbouw","ruwb"),"afbouw","afb"),"bijstelling","bijst"),"investeringen","invest")),""),"")</f>
        <v/>
      </c>
      <c r="K143" s="83" t="n"/>
      <c r="L143" s="83">
        <f>IFERROR(MATCH(ROW()-104,'Invullen groen'!$S$121:$S$272,0)+120,0)</f>
        <v/>
      </c>
    </row>
    <row r="144" hidden="1" s="402">
      <c r="A144" s="102">
        <f>IF($L144&gt;0,"+","")</f>
        <v/>
      </c>
      <c r="B144" s="83">
        <f>IFERROR(IF($L144&gt;0,IF(INDEX('Invullen groen'!$F:$F,$L144)&gt;0,INDEX('Invullen groen'!$F:$F,$L144),""),""),"")</f>
        <v/>
      </c>
      <c r="C144" s="83">
        <f>IFERROR(IF($L144&gt;0,IF(INDEX('Invullen groen'!$N:$N,$L144)&gt;0,INDEX('Invullen groen'!$N:$N,$L144),""),""),"")</f>
        <v/>
      </c>
      <c r="D144" s="83" t="n"/>
      <c r="E144" s="83">
        <f>IFERROR(IF(LEN(J144)&lt;=36,J144,IFERROR(LEFT(J144,FIND(CHAR(1),SUBSTITUTE(LEFT(J144,36)," ",CHAR(1),LEN(LEFT(J144,36))-LEN(SUBSTITUTE(LEFT(J144,36)," ",""))))-1),LEFT(J144,36))),"")</f>
        <v/>
      </c>
      <c r="F144" s="103">
        <f>IFERROR(IF($L144&gt;0,IF(INDEX('Invullen groen'!$H:$H,$L144)=0,"",INT(INDEX('Invullen groen'!$H:$H,$L144))),""),"")</f>
        <v/>
      </c>
      <c r="G144" s="103">
        <f>IFERROR(IF($L144&gt;0,IF(INDEX('Invullen groen'!$I:$I,$L144)=0,"",INT(INDEX('Invullen groen'!$I:$I,$L144))),""),"")</f>
        <v/>
      </c>
      <c r="H144" s="103">
        <f>IFERROR(IF($L144&gt;0,IF(INDEX('Invullen groen'!$J:$J,$L144)=0,"",INT(INDEX('Invullen groen'!$J:$J,$L144))),""),"")</f>
        <v/>
      </c>
      <c r="I144" s="103">
        <f>IFERROR(IF($L144&gt;0,IF(INDEX('Invullen groen'!$K:$K,$L144)=0,"",INT(INDEX('Invullen groen'!$K:$K,$L144))),""),"")</f>
        <v/>
      </c>
      <c r="J144" s="83">
        <f>IF($L144&gt;0,IFERROR($K$1&amp;" "&amp;TRIM(SUBSTITUTE(SUBSTITUTE(SUBSTITUTE(SUBSTITUTE(SUBSTITUTE(SUBSTITUTE(SUBSTITUTE(SUBSTITUTE(SUBSTITUTE(SUBSTITUTE(SUBSTITUTE(SUBSTITUTE(LOWER(INDEX('Invullen groen'!$O:$O,$L144)),"2024",""),"2025",""),"2026",""),"2027",""),"2028",""),"2029",""),"taakveld ",""),"installaties","inst"),"ruwbouw","ruwb"),"afbouw","afb"),"bijstelling","bijst"),"investeringen","invest")),""),"")</f>
        <v/>
      </c>
      <c r="K144" s="83" t="n"/>
      <c r="L144" s="83">
        <f>IFERROR(MATCH(ROW()-104,'Invullen groen'!$S$121:$S$272,0)+120,0)</f>
        <v/>
      </c>
    </row>
    <row r="145" hidden="1" s="402">
      <c r="A145" s="102">
        <f>IF($L145&gt;0,"+","")</f>
        <v/>
      </c>
      <c r="B145" s="83">
        <f>IFERROR(IF($L145&gt;0,IF(INDEX('Invullen groen'!$F:$F,$L145)&gt;0,INDEX('Invullen groen'!$F:$F,$L145),""),""),"")</f>
        <v/>
      </c>
      <c r="C145" s="83">
        <f>IFERROR(IF($L145&gt;0,IF(INDEX('Invullen groen'!$N:$N,$L145)&gt;0,INDEX('Invullen groen'!$N:$N,$L145),""),""),"")</f>
        <v/>
      </c>
      <c r="D145" s="83" t="n"/>
      <c r="E145" s="83">
        <f>IFERROR(IF(LEN(J145)&lt;=36,J145,IFERROR(LEFT(J145,FIND(CHAR(1),SUBSTITUTE(LEFT(J145,36)," ",CHAR(1),LEN(LEFT(J145,36))-LEN(SUBSTITUTE(LEFT(J145,36)," ",""))))-1),LEFT(J145,36))),"")</f>
        <v/>
      </c>
      <c r="F145" s="103">
        <f>IFERROR(IF($L145&gt;0,IF(INDEX('Invullen groen'!$H:$H,$L145)=0,"",INT(INDEX('Invullen groen'!$H:$H,$L145))),""),"")</f>
        <v/>
      </c>
      <c r="G145" s="103">
        <f>IFERROR(IF($L145&gt;0,IF(INDEX('Invullen groen'!$I:$I,$L145)=0,"",INT(INDEX('Invullen groen'!$I:$I,$L145))),""),"")</f>
        <v/>
      </c>
      <c r="H145" s="103">
        <f>IFERROR(IF($L145&gt;0,IF(INDEX('Invullen groen'!$J:$J,$L145)=0,"",INT(INDEX('Invullen groen'!$J:$J,$L145))),""),"")</f>
        <v/>
      </c>
      <c r="I145" s="103">
        <f>IFERROR(IF($L145&gt;0,IF(INDEX('Invullen groen'!$K:$K,$L145)=0,"",INT(INDEX('Invullen groen'!$K:$K,$L145))),""),"")</f>
        <v/>
      </c>
      <c r="J145" s="83">
        <f>IF($L145&gt;0,IFERROR($K$1&amp;" "&amp;TRIM(SUBSTITUTE(SUBSTITUTE(SUBSTITUTE(SUBSTITUTE(SUBSTITUTE(SUBSTITUTE(SUBSTITUTE(SUBSTITUTE(SUBSTITUTE(SUBSTITUTE(SUBSTITUTE(SUBSTITUTE(LOWER(INDEX('Invullen groen'!$O:$O,$L145)),"2024",""),"2025",""),"2026",""),"2027",""),"2028",""),"2029",""),"taakveld ",""),"installaties","inst"),"ruwbouw","ruwb"),"afbouw","afb"),"bijstelling","bijst"),"investeringen","invest")),""),"")</f>
        <v/>
      </c>
      <c r="K145" s="83" t="n"/>
      <c r="L145" s="83">
        <f>IFERROR(MATCH(ROW()-104,'Invullen groen'!$S$121:$S$272,0)+120,0)</f>
        <v/>
      </c>
    </row>
    <row r="146" hidden="1" s="402">
      <c r="A146" s="102">
        <f>IF($L146&gt;0,"+","")</f>
        <v/>
      </c>
      <c r="B146" s="83">
        <f>IFERROR(IF($L146&gt;0,IF(INDEX('Invullen groen'!$F:$F,$L146)&gt;0,INDEX('Invullen groen'!$F:$F,$L146),""),""),"")</f>
        <v/>
      </c>
      <c r="C146" s="83">
        <f>IFERROR(IF($L146&gt;0,IF(INDEX('Invullen groen'!$N:$N,$L146)&gt;0,INDEX('Invullen groen'!$N:$N,$L146),""),""),"")</f>
        <v/>
      </c>
      <c r="D146" s="83" t="n"/>
      <c r="E146" s="83">
        <f>IFERROR(IF(LEN(J146)&lt;=36,J146,IFERROR(LEFT(J146,FIND(CHAR(1),SUBSTITUTE(LEFT(J146,36)," ",CHAR(1),LEN(LEFT(J146,36))-LEN(SUBSTITUTE(LEFT(J146,36)," ",""))))-1),LEFT(J146,36))),"")</f>
        <v/>
      </c>
      <c r="F146" s="103">
        <f>IFERROR(IF($L146&gt;0,IF(INDEX('Invullen groen'!$H:$H,$L146)=0,"",INT(INDEX('Invullen groen'!$H:$H,$L146))),""),"")</f>
        <v/>
      </c>
      <c r="G146" s="103">
        <f>IFERROR(IF($L146&gt;0,IF(INDEX('Invullen groen'!$I:$I,$L146)=0,"",INT(INDEX('Invullen groen'!$I:$I,$L146))),""),"")</f>
        <v/>
      </c>
      <c r="H146" s="103">
        <f>IFERROR(IF($L146&gt;0,IF(INDEX('Invullen groen'!$J:$J,$L146)=0,"",INT(INDEX('Invullen groen'!$J:$J,$L146))),""),"")</f>
        <v/>
      </c>
      <c r="I146" s="103">
        <f>IFERROR(IF($L146&gt;0,IF(INDEX('Invullen groen'!$K:$K,$L146)=0,"",INT(INDEX('Invullen groen'!$K:$K,$L146))),""),"")</f>
        <v/>
      </c>
      <c r="J146" s="83">
        <f>IF($L146&gt;0,IFERROR($K$1&amp;" "&amp;TRIM(SUBSTITUTE(SUBSTITUTE(SUBSTITUTE(SUBSTITUTE(SUBSTITUTE(SUBSTITUTE(SUBSTITUTE(SUBSTITUTE(SUBSTITUTE(SUBSTITUTE(SUBSTITUTE(SUBSTITUTE(LOWER(INDEX('Invullen groen'!$O:$O,$L146)),"2024",""),"2025",""),"2026",""),"2027",""),"2028",""),"2029",""),"taakveld ",""),"installaties","inst"),"ruwbouw","ruwb"),"afbouw","afb"),"bijstelling","bijst"),"investeringen","invest")),""),"")</f>
        <v/>
      </c>
      <c r="K146" s="83" t="n"/>
      <c r="L146" s="83">
        <f>IFERROR(MATCH(ROW()-104,'Invullen groen'!$S$121:$S$272,0)+120,0)</f>
        <v/>
      </c>
    </row>
    <row r="147" hidden="1" s="402">
      <c r="A147" s="102">
        <f>IF($L147&gt;0,"+","")</f>
        <v/>
      </c>
      <c r="B147" s="83">
        <f>IFERROR(IF($L147&gt;0,IF(INDEX('Invullen groen'!$F:$F,$L147)&gt;0,INDEX('Invullen groen'!$F:$F,$L147),""),""),"")</f>
        <v/>
      </c>
      <c r="C147" s="83">
        <f>IFERROR(IF($L147&gt;0,IF(INDEX('Invullen groen'!$N:$N,$L147)&gt;0,INDEX('Invullen groen'!$N:$N,$L147),""),""),"")</f>
        <v/>
      </c>
      <c r="D147" s="83" t="n"/>
      <c r="E147" s="83">
        <f>IFERROR(IF(LEN(J147)&lt;=36,J147,IFERROR(LEFT(J147,FIND(CHAR(1),SUBSTITUTE(LEFT(J147,36)," ",CHAR(1),LEN(LEFT(J147,36))-LEN(SUBSTITUTE(LEFT(J147,36)," ",""))))-1),LEFT(J147,36))),"")</f>
        <v/>
      </c>
      <c r="F147" s="103">
        <f>IFERROR(IF($L147&gt;0,IF(INDEX('Invullen groen'!$H:$H,$L147)=0,"",INT(INDEX('Invullen groen'!$H:$H,$L147))),""),"")</f>
        <v/>
      </c>
      <c r="G147" s="103">
        <f>IFERROR(IF($L147&gt;0,IF(INDEX('Invullen groen'!$I:$I,$L147)=0,"",INT(INDEX('Invullen groen'!$I:$I,$L147))),""),"")</f>
        <v/>
      </c>
      <c r="H147" s="103">
        <f>IFERROR(IF($L147&gt;0,IF(INDEX('Invullen groen'!$J:$J,$L147)=0,"",INT(INDEX('Invullen groen'!$J:$J,$L147))),""),"")</f>
        <v/>
      </c>
      <c r="I147" s="103">
        <f>IFERROR(IF($L147&gt;0,IF(INDEX('Invullen groen'!$K:$K,$L147)=0,"",INT(INDEX('Invullen groen'!$K:$K,$L147))),""),"")</f>
        <v/>
      </c>
      <c r="J147" s="83">
        <f>IF($L147&gt;0,IFERROR($K$1&amp;" "&amp;TRIM(SUBSTITUTE(SUBSTITUTE(SUBSTITUTE(SUBSTITUTE(SUBSTITUTE(SUBSTITUTE(SUBSTITUTE(SUBSTITUTE(SUBSTITUTE(SUBSTITUTE(SUBSTITUTE(SUBSTITUTE(LOWER(INDEX('Invullen groen'!$O:$O,$L147)),"2024",""),"2025",""),"2026",""),"2027",""),"2028",""),"2029",""),"taakveld ",""),"installaties","inst"),"ruwbouw","ruwb"),"afbouw","afb"),"bijstelling","bijst"),"investeringen","invest")),""),"")</f>
        <v/>
      </c>
      <c r="K147" s="83" t="n"/>
      <c r="L147" s="83">
        <f>IFERROR(MATCH(ROW()-104,'Invullen groen'!$S$121:$S$272,0)+120,0)</f>
        <v/>
      </c>
    </row>
    <row r="148" hidden="1" s="402">
      <c r="A148" s="102">
        <f>IF($L148&gt;0,"+","")</f>
        <v/>
      </c>
      <c r="B148" s="83">
        <f>IFERROR(IF($L148&gt;0,IF(INDEX('Invullen groen'!$F:$F,$L148)&gt;0,INDEX('Invullen groen'!$F:$F,$L148),""),""),"")</f>
        <v/>
      </c>
      <c r="C148" s="83">
        <f>IFERROR(IF($L148&gt;0,IF(INDEX('Invullen groen'!$N:$N,$L148)&gt;0,INDEX('Invullen groen'!$N:$N,$L148),""),""),"")</f>
        <v/>
      </c>
      <c r="D148" s="83" t="n"/>
      <c r="E148" s="83">
        <f>IFERROR(IF(LEN(J148)&lt;=36,J148,IFERROR(LEFT(J148,FIND(CHAR(1),SUBSTITUTE(LEFT(J148,36)," ",CHAR(1),LEN(LEFT(J148,36))-LEN(SUBSTITUTE(LEFT(J148,36)," ",""))))-1),LEFT(J148,36))),"")</f>
        <v/>
      </c>
      <c r="F148" s="103">
        <f>IFERROR(IF($L148&gt;0,IF(INDEX('Invullen groen'!$H:$H,$L148)=0,"",INT(INDEX('Invullen groen'!$H:$H,$L148))),""),"")</f>
        <v/>
      </c>
      <c r="G148" s="103">
        <f>IFERROR(IF($L148&gt;0,IF(INDEX('Invullen groen'!$I:$I,$L148)=0,"",INT(INDEX('Invullen groen'!$I:$I,$L148))),""),"")</f>
        <v/>
      </c>
      <c r="H148" s="103">
        <f>IFERROR(IF($L148&gt;0,IF(INDEX('Invullen groen'!$J:$J,$L148)=0,"",INT(INDEX('Invullen groen'!$J:$J,$L148))),""),"")</f>
        <v/>
      </c>
      <c r="I148" s="103">
        <f>IFERROR(IF($L148&gt;0,IF(INDEX('Invullen groen'!$K:$K,$L148)=0,"",INT(INDEX('Invullen groen'!$K:$K,$L148))),""),"")</f>
        <v/>
      </c>
      <c r="J148" s="83">
        <f>IF($L148&gt;0,IFERROR($K$1&amp;" "&amp;TRIM(SUBSTITUTE(SUBSTITUTE(SUBSTITUTE(SUBSTITUTE(SUBSTITUTE(SUBSTITUTE(SUBSTITUTE(SUBSTITUTE(SUBSTITUTE(SUBSTITUTE(SUBSTITUTE(SUBSTITUTE(LOWER(INDEX('Invullen groen'!$O:$O,$L148)),"2024",""),"2025",""),"2026",""),"2027",""),"2028",""),"2029",""),"taakveld ",""),"installaties","inst"),"ruwbouw","ruwb"),"afbouw","afb"),"bijstelling","bijst"),"investeringen","invest")),""),"")</f>
        <v/>
      </c>
      <c r="K148" s="83" t="n"/>
      <c r="L148" s="83">
        <f>IFERROR(MATCH(ROW()-104,'Invullen groen'!$S$121:$S$272,0)+120,0)</f>
        <v/>
      </c>
    </row>
    <row r="149" hidden="1" s="402">
      <c r="A149" s="102">
        <f>IF($L149&gt;0,"+","")</f>
        <v/>
      </c>
      <c r="B149" s="83">
        <f>IFERROR(IF($L149&gt;0,IF(INDEX('Invullen groen'!$F:$F,$L149)&gt;0,INDEX('Invullen groen'!$F:$F,$L149),""),""),"")</f>
        <v/>
      </c>
      <c r="C149" s="83">
        <f>IFERROR(IF($L149&gt;0,IF(INDEX('Invullen groen'!$N:$N,$L149)&gt;0,INDEX('Invullen groen'!$N:$N,$L149),""),""),"")</f>
        <v/>
      </c>
      <c r="D149" s="83" t="n"/>
      <c r="E149" s="83">
        <f>IFERROR(IF(LEN(J149)&lt;=36,J149,IFERROR(LEFT(J149,FIND(CHAR(1),SUBSTITUTE(LEFT(J149,36)," ",CHAR(1),LEN(LEFT(J149,36))-LEN(SUBSTITUTE(LEFT(J149,36)," ",""))))-1),LEFT(J149,36))),"")</f>
        <v/>
      </c>
      <c r="F149" s="103">
        <f>IFERROR(IF($L149&gt;0,IF(INDEX('Invullen groen'!$H:$H,$L149)=0,"",INT(INDEX('Invullen groen'!$H:$H,$L149))),""),"")</f>
        <v/>
      </c>
      <c r="G149" s="103">
        <f>IFERROR(IF($L149&gt;0,IF(INDEX('Invullen groen'!$I:$I,$L149)=0,"",INT(INDEX('Invullen groen'!$I:$I,$L149))),""),"")</f>
        <v/>
      </c>
      <c r="H149" s="103">
        <f>IFERROR(IF($L149&gt;0,IF(INDEX('Invullen groen'!$J:$J,$L149)=0,"",INT(INDEX('Invullen groen'!$J:$J,$L149))),""),"")</f>
        <v/>
      </c>
      <c r="I149" s="103">
        <f>IFERROR(IF($L149&gt;0,IF(INDEX('Invullen groen'!$K:$K,$L149)=0,"",INT(INDEX('Invullen groen'!$K:$K,$L149))),""),"")</f>
        <v/>
      </c>
      <c r="J149" s="83">
        <f>IF($L149&gt;0,IFERROR($K$1&amp;" "&amp;TRIM(SUBSTITUTE(SUBSTITUTE(SUBSTITUTE(SUBSTITUTE(SUBSTITUTE(SUBSTITUTE(SUBSTITUTE(SUBSTITUTE(SUBSTITUTE(SUBSTITUTE(SUBSTITUTE(SUBSTITUTE(LOWER(INDEX('Invullen groen'!$O:$O,$L149)),"2024",""),"2025",""),"2026",""),"2027",""),"2028",""),"2029",""),"taakveld ",""),"installaties","inst"),"ruwbouw","ruwb"),"afbouw","afb"),"bijstelling","bijst"),"investeringen","invest")),""),"")</f>
        <v/>
      </c>
      <c r="K149" s="83" t="n"/>
      <c r="L149" s="83">
        <f>IFERROR(MATCH(ROW()-104,'Invullen groen'!$S$121:$S$272,0)+120,0)</f>
        <v/>
      </c>
    </row>
    <row r="150" hidden="1" s="402">
      <c r="A150" s="102">
        <f>IF($L150&gt;0,"+","")</f>
        <v/>
      </c>
      <c r="B150" s="83">
        <f>IFERROR(IF($L150&gt;0,IF(INDEX('Invullen groen'!$F:$F,$L150)&gt;0,INDEX('Invullen groen'!$F:$F,$L150),""),""),"")</f>
        <v/>
      </c>
      <c r="C150" s="83">
        <f>IFERROR(IF($L150&gt;0,IF(INDEX('Invullen groen'!$N:$N,$L150)&gt;0,INDEX('Invullen groen'!$N:$N,$L150),""),""),"")</f>
        <v/>
      </c>
      <c r="D150" s="83" t="n"/>
      <c r="E150" s="83">
        <f>IFERROR(IF(LEN(J150)&lt;=36,J150,IFERROR(LEFT(J150,FIND(CHAR(1),SUBSTITUTE(LEFT(J150,36)," ",CHAR(1),LEN(LEFT(J150,36))-LEN(SUBSTITUTE(LEFT(J150,36)," ",""))))-1),LEFT(J150,36))),"")</f>
        <v/>
      </c>
      <c r="F150" s="103">
        <f>IFERROR(IF($L150&gt;0,IF(INDEX('Invullen groen'!$H:$H,$L150)=0,"",INT(INDEX('Invullen groen'!$H:$H,$L150))),""),"")</f>
        <v/>
      </c>
      <c r="G150" s="103">
        <f>IFERROR(IF($L150&gt;0,IF(INDEX('Invullen groen'!$I:$I,$L150)=0,"",INT(INDEX('Invullen groen'!$I:$I,$L150))),""),"")</f>
        <v/>
      </c>
      <c r="H150" s="103">
        <f>IFERROR(IF($L150&gt;0,IF(INDEX('Invullen groen'!$J:$J,$L150)=0,"",INT(INDEX('Invullen groen'!$J:$J,$L150))),""),"")</f>
        <v/>
      </c>
      <c r="I150" s="103">
        <f>IFERROR(IF($L150&gt;0,IF(INDEX('Invullen groen'!$K:$K,$L150)=0,"",INT(INDEX('Invullen groen'!$K:$K,$L150))),""),"")</f>
        <v/>
      </c>
      <c r="J150" s="83">
        <f>IF($L150&gt;0,IFERROR($K$1&amp;" "&amp;TRIM(SUBSTITUTE(SUBSTITUTE(SUBSTITUTE(SUBSTITUTE(SUBSTITUTE(SUBSTITUTE(SUBSTITUTE(SUBSTITUTE(SUBSTITUTE(SUBSTITUTE(SUBSTITUTE(SUBSTITUTE(LOWER(INDEX('Invullen groen'!$O:$O,$L150)),"2024",""),"2025",""),"2026",""),"2027",""),"2028",""),"2029",""),"taakveld ",""),"installaties","inst"),"ruwbouw","ruwb"),"afbouw","afb"),"bijstelling","bijst"),"investeringen","invest")),""),"")</f>
        <v/>
      </c>
      <c r="K150" s="83" t="n"/>
      <c r="L150" s="83">
        <f>IFERROR(MATCH(ROW()-104,'Invullen groen'!$S$121:$S$272,0)+120,0)</f>
        <v/>
      </c>
    </row>
    <row r="151" hidden="1" s="402">
      <c r="A151" s="102">
        <f>IF($L151&gt;0,"+","")</f>
        <v/>
      </c>
      <c r="B151" s="83">
        <f>IFERROR(IF($L151&gt;0,IF(INDEX('Invullen groen'!$F:$F,$L151)&gt;0,INDEX('Invullen groen'!$F:$F,$L151),""),""),"")</f>
        <v/>
      </c>
      <c r="C151" s="83">
        <f>IFERROR(IF($L151&gt;0,IF(INDEX('Invullen groen'!$N:$N,$L151)&gt;0,INDEX('Invullen groen'!$N:$N,$L151),""),""),"")</f>
        <v/>
      </c>
      <c r="D151" s="83" t="n"/>
      <c r="E151" s="83">
        <f>IFERROR(IF(LEN(J151)&lt;=36,J151,IFERROR(LEFT(J151,FIND(CHAR(1),SUBSTITUTE(LEFT(J151,36)," ",CHAR(1),LEN(LEFT(J151,36))-LEN(SUBSTITUTE(LEFT(J151,36)," ",""))))-1),LEFT(J151,36))),"")</f>
        <v/>
      </c>
      <c r="F151" s="103">
        <f>IFERROR(IF($L151&gt;0,IF(INDEX('Invullen groen'!$H:$H,$L151)=0,"",INT(INDEX('Invullen groen'!$H:$H,$L151))),""),"")</f>
        <v/>
      </c>
      <c r="G151" s="103">
        <f>IFERROR(IF($L151&gt;0,IF(INDEX('Invullen groen'!$I:$I,$L151)=0,"",INT(INDEX('Invullen groen'!$I:$I,$L151))),""),"")</f>
        <v/>
      </c>
      <c r="H151" s="103">
        <f>IFERROR(IF($L151&gt;0,IF(INDEX('Invullen groen'!$J:$J,$L151)=0,"",INT(INDEX('Invullen groen'!$J:$J,$L151))),""),"")</f>
        <v/>
      </c>
      <c r="I151" s="103">
        <f>IFERROR(IF($L151&gt;0,IF(INDEX('Invullen groen'!$K:$K,$L151)=0,"",INT(INDEX('Invullen groen'!$K:$K,$L151))),""),"")</f>
        <v/>
      </c>
      <c r="J151" s="83">
        <f>IF($L151&gt;0,IFERROR($K$1&amp;" "&amp;TRIM(SUBSTITUTE(SUBSTITUTE(SUBSTITUTE(SUBSTITUTE(SUBSTITUTE(SUBSTITUTE(SUBSTITUTE(SUBSTITUTE(SUBSTITUTE(SUBSTITUTE(SUBSTITUTE(SUBSTITUTE(LOWER(INDEX('Invullen groen'!$O:$O,$L151)),"2024",""),"2025",""),"2026",""),"2027",""),"2028",""),"2029",""),"taakveld ",""),"installaties","inst"),"ruwbouw","ruwb"),"afbouw","afb"),"bijstelling","bijst"),"investeringen","invest")),""),"")</f>
        <v/>
      </c>
      <c r="K151" s="83" t="n"/>
      <c r="L151" s="83">
        <f>IFERROR(MATCH(ROW()-104,'Invullen groen'!$S$121:$S$272,0)+120,0)</f>
        <v/>
      </c>
    </row>
    <row r="152" hidden="1" s="402">
      <c r="A152" s="102">
        <f>IF($L152&gt;0,"+","")</f>
        <v/>
      </c>
      <c r="B152" s="83">
        <f>IFERROR(IF($L152&gt;0,IF(INDEX('Invullen groen'!$F:$F,$L152)&gt;0,INDEX('Invullen groen'!$F:$F,$L152),""),""),"")</f>
        <v/>
      </c>
      <c r="C152" s="83">
        <f>IFERROR(IF($L152&gt;0,IF(INDEX('Invullen groen'!$N:$N,$L152)&gt;0,INDEX('Invullen groen'!$N:$N,$L152),""),""),"")</f>
        <v/>
      </c>
      <c r="D152" s="83" t="n"/>
      <c r="E152" s="83">
        <f>IFERROR(IF(LEN(J152)&lt;=36,J152,IFERROR(LEFT(J152,FIND(CHAR(1),SUBSTITUTE(LEFT(J152,36)," ",CHAR(1),LEN(LEFT(J152,36))-LEN(SUBSTITUTE(LEFT(J152,36)," ",""))))-1),LEFT(J152,36))),"")</f>
        <v/>
      </c>
      <c r="F152" s="103">
        <f>IFERROR(IF($L152&gt;0,IF(INDEX('Invullen groen'!$H:$H,$L152)=0,"",INT(INDEX('Invullen groen'!$H:$H,$L152))),""),"")</f>
        <v/>
      </c>
      <c r="G152" s="103">
        <f>IFERROR(IF($L152&gt;0,IF(INDEX('Invullen groen'!$I:$I,$L152)=0,"",INT(INDEX('Invullen groen'!$I:$I,$L152))),""),"")</f>
        <v/>
      </c>
      <c r="H152" s="103">
        <f>IFERROR(IF($L152&gt;0,IF(INDEX('Invullen groen'!$J:$J,$L152)=0,"",INT(INDEX('Invullen groen'!$J:$J,$L152))),""),"")</f>
        <v/>
      </c>
      <c r="I152" s="103">
        <f>IFERROR(IF($L152&gt;0,IF(INDEX('Invullen groen'!$K:$K,$L152)=0,"",INT(INDEX('Invullen groen'!$K:$K,$L152))),""),"")</f>
        <v/>
      </c>
      <c r="J152" s="83">
        <f>IF($L152&gt;0,IFERROR($K$1&amp;" "&amp;TRIM(SUBSTITUTE(SUBSTITUTE(SUBSTITUTE(SUBSTITUTE(SUBSTITUTE(SUBSTITUTE(SUBSTITUTE(SUBSTITUTE(SUBSTITUTE(SUBSTITUTE(SUBSTITUTE(SUBSTITUTE(LOWER(INDEX('Invullen groen'!$O:$O,$L152)),"2024",""),"2025",""),"2026",""),"2027",""),"2028",""),"2029",""),"taakveld ",""),"installaties","inst"),"ruwbouw","ruwb"),"afbouw","afb"),"bijstelling","bijst"),"investeringen","invest")),""),"")</f>
        <v/>
      </c>
      <c r="K152" s="83" t="n"/>
      <c r="L152" s="83">
        <f>IFERROR(MATCH(ROW()-104,'Invullen groen'!$S$121:$S$272,0)+120,0)</f>
        <v/>
      </c>
    </row>
    <row r="153" hidden="1" s="402">
      <c r="A153" s="102">
        <f>IF($L153&gt;0,"+","")</f>
        <v/>
      </c>
      <c r="B153" s="83">
        <f>IFERROR(IF($L153&gt;0,IF(INDEX('Invullen groen'!$F:$F,$L153)&gt;0,INDEX('Invullen groen'!$F:$F,$L153),""),""),"")</f>
        <v/>
      </c>
      <c r="C153" s="83">
        <f>IFERROR(IF($L153&gt;0,IF(INDEX('Invullen groen'!$N:$N,$L153)&gt;0,INDEX('Invullen groen'!$N:$N,$L153),""),""),"")</f>
        <v/>
      </c>
      <c r="D153" s="83" t="n"/>
      <c r="E153" s="83">
        <f>IFERROR(IF(LEN(J153)&lt;=36,J153,IFERROR(LEFT(J153,FIND(CHAR(1),SUBSTITUTE(LEFT(J153,36)," ",CHAR(1),LEN(LEFT(J153,36))-LEN(SUBSTITUTE(LEFT(J153,36)," ",""))))-1),LEFT(J153,36))),"")</f>
        <v/>
      </c>
      <c r="F153" s="103">
        <f>IFERROR(IF($L153&gt;0,IF(INDEX('Invullen groen'!$H:$H,$L153)=0,"",INT(INDEX('Invullen groen'!$H:$H,$L153))),""),"")</f>
        <v/>
      </c>
      <c r="G153" s="103">
        <f>IFERROR(IF($L153&gt;0,IF(INDEX('Invullen groen'!$I:$I,$L153)=0,"",INT(INDEX('Invullen groen'!$I:$I,$L153))),""),"")</f>
        <v/>
      </c>
      <c r="H153" s="103">
        <f>IFERROR(IF($L153&gt;0,IF(INDEX('Invullen groen'!$J:$J,$L153)=0,"",INT(INDEX('Invullen groen'!$J:$J,$L153))),""),"")</f>
        <v/>
      </c>
      <c r="I153" s="103">
        <f>IFERROR(IF($L153&gt;0,IF(INDEX('Invullen groen'!$K:$K,$L153)=0,"",INT(INDEX('Invullen groen'!$K:$K,$L153))),""),"")</f>
        <v/>
      </c>
      <c r="J153" s="83">
        <f>IF($L153&gt;0,IFERROR($K$1&amp;" "&amp;TRIM(SUBSTITUTE(SUBSTITUTE(SUBSTITUTE(SUBSTITUTE(SUBSTITUTE(SUBSTITUTE(SUBSTITUTE(SUBSTITUTE(SUBSTITUTE(SUBSTITUTE(SUBSTITUTE(SUBSTITUTE(LOWER(INDEX('Invullen groen'!$O:$O,$L153)),"2024",""),"2025",""),"2026",""),"2027",""),"2028",""),"2029",""),"taakveld ",""),"installaties","inst"),"ruwbouw","ruwb"),"afbouw","afb"),"bijstelling","bijst"),"investeringen","invest")),""),"")</f>
        <v/>
      </c>
      <c r="K153" s="83" t="n"/>
      <c r="L153" s="83">
        <f>IFERROR(MATCH(ROW()-104,'Invullen groen'!$S$121:$S$272,0)+120,0)</f>
        <v/>
      </c>
    </row>
    <row r="154" hidden="1" s="402">
      <c r="A154" s="102">
        <f>IF($L154&gt;0,"+","")</f>
        <v/>
      </c>
      <c r="B154" s="83">
        <f>IFERROR(IF($L154&gt;0,IF(INDEX('Invullen groen'!$F:$F,$L154)&gt;0,INDEX('Invullen groen'!$F:$F,$L154),""),""),"")</f>
        <v/>
      </c>
      <c r="C154" s="83">
        <f>IFERROR(IF($L154&gt;0,IF(INDEX('Invullen groen'!$N:$N,$L154)&gt;0,INDEX('Invullen groen'!$N:$N,$L154),""),""),"")</f>
        <v/>
      </c>
      <c r="D154" s="83" t="n"/>
      <c r="E154" s="83">
        <f>IFERROR(IF(LEN(J154)&lt;=36,J154,IFERROR(LEFT(J154,FIND(CHAR(1),SUBSTITUTE(LEFT(J154,36)," ",CHAR(1),LEN(LEFT(J154,36))-LEN(SUBSTITUTE(LEFT(J154,36)," ",""))))-1),LEFT(J154,36))),"")</f>
        <v/>
      </c>
      <c r="F154" s="103">
        <f>IFERROR(IF($L154&gt;0,IF(INDEX('Invullen groen'!$H:$H,$L154)=0,"",INT(INDEX('Invullen groen'!$H:$H,$L154))),""),"")</f>
        <v/>
      </c>
      <c r="G154" s="103">
        <f>IFERROR(IF($L154&gt;0,IF(INDEX('Invullen groen'!$I:$I,$L154)=0,"",INT(INDEX('Invullen groen'!$I:$I,$L154))),""),"")</f>
        <v/>
      </c>
      <c r="H154" s="103">
        <f>IFERROR(IF($L154&gt;0,IF(INDEX('Invullen groen'!$J:$J,$L154)=0,"",INT(INDEX('Invullen groen'!$J:$J,$L154))),""),"")</f>
        <v/>
      </c>
      <c r="I154" s="103">
        <f>IFERROR(IF($L154&gt;0,IF(INDEX('Invullen groen'!$K:$K,$L154)=0,"",INT(INDEX('Invullen groen'!$K:$K,$L154))),""),"")</f>
        <v/>
      </c>
      <c r="J154" s="83">
        <f>IF($L154&gt;0,IFERROR($K$1&amp;" "&amp;TRIM(SUBSTITUTE(SUBSTITUTE(SUBSTITUTE(SUBSTITUTE(SUBSTITUTE(SUBSTITUTE(SUBSTITUTE(SUBSTITUTE(SUBSTITUTE(SUBSTITUTE(SUBSTITUTE(SUBSTITUTE(LOWER(INDEX('Invullen groen'!$O:$O,$L154)),"2024",""),"2025",""),"2026",""),"2027",""),"2028",""),"2029",""),"taakveld ",""),"installaties","inst"),"ruwbouw","ruwb"),"afbouw","afb"),"bijstelling","bijst"),"investeringen","invest")),""),"")</f>
        <v/>
      </c>
      <c r="K154" s="83" t="n"/>
      <c r="L154" s="83">
        <f>IFERROR(MATCH(ROW()-104,'Invullen groen'!$S$121:$S$272,0)+120,0)</f>
        <v/>
      </c>
    </row>
    <row r="155" hidden="1" s="402">
      <c r="A155" s="102">
        <f>IF($L155&gt;0,"+","")</f>
        <v/>
      </c>
      <c r="B155" s="83">
        <f>IFERROR(IF($L155&gt;0,IF(INDEX('Invullen groen'!$F:$F,$L155)&gt;0,INDEX('Invullen groen'!$F:$F,$L155),""),""),"")</f>
        <v/>
      </c>
      <c r="C155" s="83">
        <f>IFERROR(IF($L155&gt;0,IF(INDEX('Invullen groen'!$N:$N,$L155)&gt;0,INDEX('Invullen groen'!$N:$N,$L155),""),""),"")</f>
        <v/>
      </c>
      <c r="D155" s="83" t="n"/>
      <c r="E155" s="83">
        <f>IFERROR(IF(LEN(J155)&lt;=36,J155,IFERROR(LEFT(J155,FIND(CHAR(1),SUBSTITUTE(LEFT(J155,36)," ",CHAR(1),LEN(LEFT(J155,36))-LEN(SUBSTITUTE(LEFT(J155,36)," ",""))))-1),LEFT(J155,36))),"")</f>
        <v/>
      </c>
      <c r="F155" s="103">
        <f>IFERROR(IF($L155&gt;0,IF(INDEX('Invullen groen'!$H:$H,$L155)=0,"",INT(INDEX('Invullen groen'!$H:$H,$L155))),""),"")</f>
        <v/>
      </c>
      <c r="G155" s="103">
        <f>IFERROR(IF($L155&gt;0,IF(INDEX('Invullen groen'!$I:$I,$L155)=0,"",INT(INDEX('Invullen groen'!$I:$I,$L155))),""),"")</f>
        <v/>
      </c>
      <c r="H155" s="103">
        <f>IFERROR(IF($L155&gt;0,IF(INDEX('Invullen groen'!$J:$J,$L155)=0,"",INT(INDEX('Invullen groen'!$J:$J,$L155))),""),"")</f>
        <v/>
      </c>
      <c r="I155" s="103">
        <f>IFERROR(IF($L155&gt;0,IF(INDEX('Invullen groen'!$K:$K,$L155)=0,"",INT(INDEX('Invullen groen'!$K:$K,$L155))),""),"")</f>
        <v/>
      </c>
      <c r="J155" s="83">
        <f>IF($L155&gt;0,IFERROR($K$1&amp;" "&amp;TRIM(SUBSTITUTE(SUBSTITUTE(SUBSTITUTE(SUBSTITUTE(SUBSTITUTE(SUBSTITUTE(SUBSTITUTE(SUBSTITUTE(SUBSTITUTE(SUBSTITUTE(SUBSTITUTE(SUBSTITUTE(LOWER(INDEX('Invullen groen'!$O:$O,$L155)),"2024",""),"2025",""),"2026",""),"2027",""),"2028",""),"2029",""),"taakveld ",""),"installaties","inst"),"ruwbouw","ruwb"),"afbouw","afb"),"bijstelling","bijst"),"investeringen","invest")),""),"")</f>
        <v/>
      </c>
      <c r="K155" s="83" t="n"/>
      <c r="L155" s="83">
        <f>IFERROR(MATCH(ROW()-104,'Invullen groen'!$S$121:$S$272,0)+120,0)</f>
        <v/>
      </c>
    </row>
    <row r="156" hidden="1" s="402">
      <c r="A156" s="102">
        <f>IF($L156&gt;0,"+","")</f>
        <v/>
      </c>
      <c r="B156" s="83">
        <f>IFERROR(IF($L156&gt;0,IF(INDEX('Invullen groen'!$F:$F,$L156)&gt;0,INDEX('Invullen groen'!$F:$F,$L156),""),""),"")</f>
        <v/>
      </c>
      <c r="C156" s="83">
        <f>IFERROR(IF($L156&gt;0,IF(INDEX('Invullen groen'!$N:$N,$L156)&gt;0,INDEX('Invullen groen'!$N:$N,$L156),""),""),"")</f>
        <v/>
      </c>
      <c r="D156" s="83" t="n"/>
      <c r="E156" s="83">
        <f>IFERROR(IF(LEN(J156)&lt;=36,J156,IFERROR(LEFT(J156,FIND(CHAR(1),SUBSTITUTE(LEFT(J156,36)," ",CHAR(1),LEN(LEFT(J156,36))-LEN(SUBSTITUTE(LEFT(J156,36)," ",""))))-1),LEFT(J156,36))),"")</f>
        <v/>
      </c>
      <c r="F156" s="103">
        <f>IFERROR(IF($L156&gt;0,IF(INDEX('Invullen groen'!$H:$H,$L156)=0,"",INT(INDEX('Invullen groen'!$H:$H,$L156))),""),"")</f>
        <v/>
      </c>
      <c r="G156" s="103">
        <f>IFERROR(IF($L156&gt;0,IF(INDEX('Invullen groen'!$I:$I,$L156)=0,"",INT(INDEX('Invullen groen'!$I:$I,$L156))),""),"")</f>
        <v/>
      </c>
      <c r="H156" s="103">
        <f>IFERROR(IF($L156&gt;0,IF(INDEX('Invullen groen'!$J:$J,$L156)=0,"",INT(INDEX('Invullen groen'!$J:$J,$L156))),""),"")</f>
        <v/>
      </c>
      <c r="I156" s="103">
        <f>IFERROR(IF($L156&gt;0,IF(INDEX('Invullen groen'!$K:$K,$L156)=0,"",INT(INDEX('Invullen groen'!$K:$K,$L156))),""),"")</f>
        <v/>
      </c>
      <c r="J156" s="83">
        <f>IF($L156&gt;0,IFERROR($K$1&amp;" "&amp;TRIM(SUBSTITUTE(SUBSTITUTE(SUBSTITUTE(SUBSTITUTE(SUBSTITUTE(SUBSTITUTE(SUBSTITUTE(SUBSTITUTE(SUBSTITUTE(SUBSTITUTE(SUBSTITUTE(SUBSTITUTE(LOWER(INDEX('Invullen groen'!$O:$O,$L156)),"2024",""),"2025",""),"2026",""),"2027",""),"2028",""),"2029",""),"taakveld ",""),"installaties","inst"),"ruwbouw","ruwb"),"afbouw","afb"),"bijstelling","bijst"),"investeringen","invest")),""),"")</f>
        <v/>
      </c>
      <c r="K156" s="83" t="n"/>
      <c r="L156" s="83">
        <f>IFERROR(MATCH(ROW()-104,'Invullen groen'!$S$121:$S$272,0)+120,0)</f>
        <v/>
      </c>
    </row>
    <row r="157" hidden="1" s="402">
      <c r="A157" s="102">
        <f>IF($L157&gt;0,"+","")</f>
        <v/>
      </c>
      <c r="B157" s="83">
        <f>IFERROR(IF($L157&gt;0,IF(INDEX('Invullen groen'!$F:$F,$L157)&gt;0,INDEX('Invullen groen'!$F:$F,$L157),""),""),"")</f>
        <v/>
      </c>
      <c r="C157" s="83">
        <f>IFERROR(IF($L157&gt;0,IF(INDEX('Invullen groen'!$N:$N,$L157)&gt;0,INDEX('Invullen groen'!$N:$N,$L157),""),""),"")</f>
        <v/>
      </c>
      <c r="D157" s="83" t="n"/>
      <c r="E157" s="83">
        <f>IFERROR(IF(LEN(J157)&lt;=36,J157,IFERROR(LEFT(J157,FIND(CHAR(1),SUBSTITUTE(LEFT(J157,36)," ",CHAR(1),LEN(LEFT(J157,36))-LEN(SUBSTITUTE(LEFT(J157,36)," ",""))))-1),LEFT(J157,36))),"")</f>
        <v/>
      </c>
      <c r="F157" s="103">
        <f>IFERROR(IF($L157&gt;0,IF(INDEX('Invullen groen'!$H:$H,$L157)=0,"",INT(INDEX('Invullen groen'!$H:$H,$L157))),""),"")</f>
        <v/>
      </c>
      <c r="G157" s="103">
        <f>IFERROR(IF($L157&gt;0,IF(INDEX('Invullen groen'!$I:$I,$L157)=0,"",INT(INDEX('Invullen groen'!$I:$I,$L157))),""),"")</f>
        <v/>
      </c>
      <c r="H157" s="103">
        <f>IFERROR(IF($L157&gt;0,IF(INDEX('Invullen groen'!$J:$J,$L157)=0,"",INT(INDEX('Invullen groen'!$J:$J,$L157))),""),"")</f>
        <v/>
      </c>
      <c r="I157" s="103">
        <f>IFERROR(IF($L157&gt;0,IF(INDEX('Invullen groen'!$K:$K,$L157)=0,"",INT(INDEX('Invullen groen'!$K:$K,$L157))),""),"")</f>
        <v/>
      </c>
      <c r="J157" s="83">
        <f>IF($L157&gt;0,IFERROR($K$1&amp;" "&amp;TRIM(SUBSTITUTE(SUBSTITUTE(SUBSTITUTE(SUBSTITUTE(SUBSTITUTE(SUBSTITUTE(SUBSTITUTE(SUBSTITUTE(SUBSTITUTE(SUBSTITUTE(SUBSTITUTE(SUBSTITUTE(LOWER(INDEX('Invullen groen'!$O:$O,$L157)),"2024",""),"2025",""),"2026",""),"2027",""),"2028",""),"2029",""),"taakveld ",""),"installaties","inst"),"ruwbouw","ruwb"),"afbouw","afb"),"bijstelling","bijst"),"investeringen","invest")),""),"")</f>
        <v/>
      </c>
      <c r="K157" s="83" t="n"/>
      <c r="L157" s="83">
        <f>IFERROR(MATCH(ROW()-104,'Invullen groen'!$S$121:$S$272,0)+120,0)</f>
        <v/>
      </c>
    </row>
    <row r="158" hidden="1" s="402">
      <c r="A158" s="102">
        <f>IF($L158&gt;0,"+","")</f>
        <v/>
      </c>
      <c r="B158" s="83">
        <f>IFERROR(IF($L158&gt;0,IF(INDEX('Invullen groen'!$F:$F,$L158)&gt;0,INDEX('Invullen groen'!$F:$F,$L158),""),""),"")</f>
        <v/>
      </c>
      <c r="C158" s="83">
        <f>IFERROR(IF($L158&gt;0,IF(INDEX('Invullen groen'!$N:$N,$L158)&gt;0,INDEX('Invullen groen'!$N:$N,$L158),""),""),"")</f>
        <v/>
      </c>
      <c r="D158" s="83" t="n"/>
      <c r="E158" s="83">
        <f>IFERROR(IF(LEN(J158)&lt;=36,J158,IFERROR(LEFT(J158,FIND(CHAR(1),SUBSTITUTE(LEFT(J158,36)," ",CHAR(1),LEN(LEFT(J158,36))-LEN(SUBSTITUTE(LEFT(J158,36)," ",""))))-1),LEFT(J158,36))),"")</f>
        <v/>
      </c>
      <c r="F158" s="103">
        <f>IFERROR(IF($L158&gt;0,IF(INDEX('Invullen groen'!$H:$H,$L158)=0,"",INT(INDEX('Invullen groen'!$H:$H,$L158))),""),"")</f>
        <v/>
      </c>
      <c r="G158" s="103">
        <f>IFERROR(IF($L158&gt;0,IF(INDEX('Invullen groen'!$I:$I,$L158)=0,"",INT(INDEX('Invullen groen'!$I:$I,$L158))),""),"")</f>
        <v/>
      </c>
      <c r="H158" s="103">
        <f>IFERROR(IF($L158&gt;0,IF(INDEX('Invullen groen'!$J:$J,$L158)=0,"",INT(INDEX('Invullen groen'!$J:$J,$L158))),""),"")</f>
        <v/>
      </c>
      <c r="I158" s="103">
        <f>IFERROR(IF($L158&gt;0,IF(INDEX('Invullen groen'!$K:$K,$L158)=0,"",INT(INDEX('Invullen groen'!$K:$K,$L158))),""),"")</f>
        <v/>
      </c>
      <c r="J158" s="83">
        <f>IF($L158&gt;0,IFERROR($K$1&amp;" "&amp;TRIM(SUBSTITUTE(SUBSTITUTE(SUBSTITUTE(SUBSTITUTE(SUBSTITUTE(SUBSTITUTE(SUBSTITUTE(SUBSTITUTE(SUBSTITUTE(SUBSTITUTE(SUBSTITUTE(SUBSTITUTE(LOWER(INDEX('Invullen groen'!$O:$O,$L158)),"2024",""),"2025",""),"2026",""),"2027",""),"2028",""),"2029",""),"taakveld ",""),"installaties","inst"),"ruwbouw","ruwb"),"afbouw","afb"),"bijstelling","bijst"),"investeringen","invest")),""),"")</f>
        <v/>
      </c>
      <c r="K158" s="83" t="n"/>
      <c r="L158" s="83">
        <f>IFERROR(MATCH(ROW()-104,'Invullen groen'!$S$121:$S$272,0)+120,0)</f>
        <v/>
      </c>
    </row>
    <row r="159" hidden="1" s="402">
      <c r="A159" s="102">
        <f>IF($L159&gt;0,"+","")</f>
        <v/>
      </c>
      <c r="B159" s="83">
        <f>IFERROR(IF($L159&gt;0,IF(INDEX('Invullen groen'!$F:$F,$L159)&gt;0,INDEX('Invullen groen'!$F:$F,$L159),""),""),"")</f>
        <v/>
      </c>
      <c r="C159" s="83">
        <f>IFERROR(IF($L159&gt;0,IF(INDEX('Invullen groen'!$N:$N,$L159)&gt;0,INDEX('Invullen groen'!$N:$N,$L159),""),""),"")</f>
        <v/>
      </c>
      <c r="D159" s="83" t="n"/>
      <c r="E159" s="83">
        <f>IFERROR(IF(LEN(J159)&lt;=36,J159,IFERROR(LEFT(J159,FIND(CHAR(1),SUBSTITUTE(LEFT(J159,36)," ",CHAR(1),LEN(LEFT(J159,36))-LEN(SUBSTITUTE(LEFT(J159,36)," ",""))))-1),LEFT(J159,36))),"")</f>
        <v/>
      </c>
      <c r="F159" s="103">
        <f>IFERROR(IF($L159&gt;0,IF(INDEX('Invullen groen'!$H:$H,$L159)=0,"",INT(INDEX('Invullen groen'!$H:$H,$L159))),""),"")</f>
        <v/>
      </c>
      <c r="G159" s="103">
        <f>IFERROR(IF($L159&gt;0,IF(INDEX('Invullen groen'!$I:$I,$L159)=0,"",INT(INDEX('Invullen groen'!$I:$I,$L159))),""),"")</f>
        <v/>
      </c>
      <c r="H159" s="103">
        <f>IFERROR(IF($L159&gt;0,IF(INDEX('Invullen groen'!$J:$J,$L159)=0,"",INT(INDEX('Invullen groen'!$J:$J,$L159))),""),"")</f>
        <v/>
      </c>
      <c r="I159" s="103">
        <f>IFERROR(IF($L159&gt;0,IF(INDEX('Invullen groen'!$K:$K,$L159)=0,"",INT(INDEX('Invullen groen'!$K:$K,$L159))),""),"")</f>
        <v/>
      </c>
      <c r="J159" s="83">
        <f>IF($L159&gt;0,IFERROR($K$1&amp;" "&amp;TRIM(SUBSTITUTE(SUBSTITUTE(SUBSTITUTE(SUBSTITUTE(SUBSTITUTE(SUBSTITUTE(SUBSTITUTE(SUBSTITUTE(SUBSTITUTE(SUBSTITUTE(SUBSTITUTE(SUBSTITUTE(LOWER(INDEX('Invullen groen'!$O:$O,$L159)),"2024",""),"2025",""),"2026",""),"2027",""),"2028",""),"2029",""),"taakveld ",""),"installaties","inst"),"ruwbouw","ruwb"),"afbouw","afb"),"bijstelling","bijst"),"investeringen","invest")),""),"")</f>
        <v/>
      </c>
      <c r="K159" s="83" t="n"/>
      <c r="L159" s="83">
        <f>IFERROR(MATCH(ROW()-104,'Invullen groen'!$S$121:$S$272,0)+120,0)</f>
        <v/>
      </c>
    </row>
    <row r="160" hidden="1" s="402">
      <c r="A160" s="102">
        <f>IF($L160&gt;0,"+","")</f>
        <v/>
      </c>
      <c r="B160" s="83">
        <f>IFERROR(IF($L160&gt;0,IF(INDEX('Invullen groen'!$F:$F,$L160)&gt;0,INDEX('Invullen groen'!$F:$F,$L160),""),""),"")</f>
        <v/>
      </c>
      <c r="C160" s="83">
        <f>IFERROR(IF($L160&gt;0,IF(INDEX('Invullen groen'!$N:$N,$L160)&gt;0,INDEX('Invullen groen'!$N:$N,$L160),""),""),"")</f>
        <v/>
      </c>
      <c r="D160" s="83" t="n"/>
      <c r="E160" s="83">
        <f>IFERROR(IF(LEN(J160)&lt;=36,J160,IFERROR(LEFT(J160,FIND(CHAR(1),SUBSTITUTE(LEFT(J160,36)," ",CHAR(1),LEN(LEFT(J160,36))-LEN(SUBSTITUTE(LEFT(J160,36)," ",""))))-1),LEFT(J160,36))),"")</f>
        <v/>
      </c>
      <c r="F160" s="103">
        <f>IFERROR(IF($L160&gt;0,IF(INDEX('Invullen groen'!$H:$H,$L160)=0,"",INT(INDEX('Invullen groen'!$H:$H,$L160))),""),"")</f>
        <v/>
      </c>
      <c r="G160" s="103">
        <f>IFERROR(IF($L160&gt;0,IF(INDEX('Invullen groen'!$I:$I,$L160)=0,"",INT(INDEX('Invullen groen'!$I:$I,$L160))),""),"")</f>
        <v/>
      </c>
      <c r="H160" s="103">
        <f>IFERROR(IF($L160&gt;0,IF(INDEX('Invullen groen'!$J:$J,$L160)=0,"",INT(INDEX('Invullen groen'!$J:$J,$L160))),""),"")</f>
        <v/>
      </c>
      <c r="I160" s="103">
        <f>IFERROR(IF($L160&gt;0,IF(INDEX('Invullen groen'!$K:$K,$L160)=0,"",INT(INDEX('Invullen groen'!$K:$K,$L160))),""),"")</f>
        <v/>
      </c>
      <c r="J160" s="83">
        <f>IF($L160&gt;0,IFERROR($K$1&amp;" "&amp;TRIM(SUBSTITUTE(SUBSTITUTE(SUBSTITUTE(SUBSTITUTE(SUBSTITUTE(SUBSTITUTE(SUBSTITUTE(SUBSTITUTE(SUBSTITUTE(SUBSTITUTE(SUBSTITUTE(SUBSTITUTE(LOWER(INDEX('Invullen groen'!$O:$O,$L160)),"2024",""),"2025",""),"2026",""),"2027",""),"2028",""),"2029",""),"taakveld ",""),"installaties","inst"),"ruwbouw","ruwb"),"afbouw","afb"),"bijstelling","bijst"),"investeringen","invest")),""),"")</f>
        <v/>
      </c>
      <c r="K160" s="83" t="n"/>
      <c r="L160" s="83">
        <f>IFERROR(MATCH(ROW()-104,'Invullen groen'!$S$121:$S$272,0)+120,0)</f>
        <v/>
      </c>
    </row>
    <row r="161" hidden="1" s="402">
      <c r="A161" s="102">
        <f>IF($L161&gt;0,"+","")</f>
        <v/>
      </c>
      <c r="B161" s="83">
        <f>IFERROR(IF($L161&gt;0,IF(INDEX('Invullen groen'!$F:$F,$L161)&gt;0,INDEX('Invullen groen'!$F:$F,$L161),""),""),"")</f>
        <v/>
      </c>
      <c r="C161" s="83">
        <f>IFERROR(IF($L161&gt;0,IF(INDEX('Invullen groen'!$N:$N,$L161)&gt;0,INDEX('Invullen groen'!$N:$N,$L161),""),""),"")</f>
        <v/>
      </c>
      <c r="D161" s="83" t="n"/>
      <c r="E161" s="83">
        <f>IFERROR(IF(LEN(J161)&lt;=36,J161,IFERROR(LEFT(J161,FIND(CHAR(1),SUBSTITUTE(LEFT(J161,36)," ",CHAR(1),LEN(LEFT(J161,36))-LEN(SUBSTITUTE(LEFT(J161,36)," ",""))))-1),LEFT(J161,36))),"")</f>
        <v/>
      </c>
      <c r="F161" s="103">
        <f>IFERROR(IF($L161&gt;0,IF(INDEX('Invullen groen'!$H:$H,$L161)=0,"",INT(INDEX('Invullen groen'!$H:$H,$L161))),""),"")</f>
        <v/>
      </c>
      <c r="G161" s="103">
        <f>IFERROR(IF($L161&gt;0,IF(INDEX('Invullen groen'!$I:$I,$L161)=0,"",INT(INDEX('Invullen groen'!$I:$I,$L161))),""),"")</f>
        <v/>
      </c>
      <c r="H161" s="103">
        <f>IFERROR(IF($L161&gt;0,IF(INDEX('Invullen groen'!$J:$J,$L161)=0,"",INT(INDEX('Invullen groen'!$J:$J,$L161))),""),"")</f>
        <v/>
      </c>
      <c r="I161" s="103">
        <f>IFERROR(IF($L161&gt;0,IF(INDEX('Invullen groen'!$K:$K,$L161)=0,"",INT(INDEX('Invullen groen'!$K:$K,$L161))),""),"")</f>
        <v/>
      </c>
      <c r="J161" s="83">
        <f>IF($L161&gt;0,IFERROR($K$1&amp;" "&amp;TRIM(SUBSTITUTE(SUBSTITUTE(SUBSTITUTE(SUBSTITUTE(SUBSTITUTE(SUBSTITUTE(SUBSTITUTE(SUBSTITUTE(SUBSTITUTE(SUBSTITUTE(SUBSTITUTE(SUBSTITUTE(LOWER(INDEX('Invullen groen'!$O:$O,$L161)),"2024",""),"2025",""),"2026",""),"2027",""),"2028",""),"2029",""),"taakveld ",""),"installaties","inst"),"ruwbouw","ruwb"),"afbouw","afb"),"bijstelling","bijst"),"investeringen","invest")),""),"")</f>
        <v/>
      </c>
      <c r="K161" s="83" t="n"/>
      <c r="L161" s="83">
        <f>IFERROR(MATCH(ROW()-104,'Invullen groen'!$S$121:$S$272,0)+120,0)</f>
        <v/>
      </c>
    </row>
    <row r="162" hidden="1" s="402">
      <c r="A162" s="102">
        <f>IF($L162&gt;0,"+","")</f>
        <v/>
      </c>
      <c r="B162" s="83">
        <f>IFERROR(IF($L162&gt;0,IF(INDEX('Invullen groen'!$F:$F,$L162)&gt;0,INDEX('Invullen groen'!$F:$F,$L162),""),""),"")</f>
        <v/>
      </c>
      <c r="C162" s="83">
        <f>IFERROR(IF($L162&gt;0,IF(INDEX('Invullen groen'!$N:$N,$L162)&gt;0,INDEX('Invullen groen'!$N:$N,$L162),""),""),"")</f>
        <v/>
      </c>
      <c r="D162" s="83" t="n"/>
      <c r="E162" s="83">
        <f>IFERROR(IF(LEN(J162)&lt;=36,J162,IFERROR(LEFT(J162,FIND(CHAR(1),SUBSTITUTE(LEFT(J162,36)," ",CHAR(1),LEN(LEFT(J162,36))-LEN(SUBSTITUTE(LEFT(J162,36)," ",""))))-1),LEFT(J162,36))),"")</f>
        <v/>
      </c>
      <c r="F162" s="103">
        <f>IFERROR(IF($L162&gt;0,IF(INDEX('Invullen groen'!$H:$H,$L162)=0,"",INT(INDEX('Invullen groen'!$H:$H,$L162))),""),"")</f>
        <v/>
      </c>
      <c r="G162" s="103">
        <f>IFERROR(IF($L162&gt;0,IF(INDEX('Invullen groen'!$I:$I,$L162)=0,"",INT(INDEX('Invullen groen'!$I:$I,$L162))),""),"")</f>
        <v/>
      </c>
      <c r="H162" s="103">
        <f>IFERROR(IF($L162&gt;0,IF(INDEX('Invullen groen'!$J:$J,$L162)=0,"",INT(INDEX('Invullen groen'!$J:$J,$L162))),""),"")</f>
        <v/>
      </c>
      <c r="I162" s="103">
        <f>IFERROR(IF($L162&gt;0,IF(INDEX('Invullen groen'!$K:$K,$L162)=0,"",INT(INDEX('Invullen groen'!$K:$K,$L162))),""),"")</f>
        <v/>
      </c>
      <c r="J162" s="83">
        <f>IF($L162&gt;0,IFERROR($K$1&amp;" "&amp;TRIM(SUBSTITUTE(SUBSTITUTE(SUBSTITUTE(SUBSTITUTE(SUBSTITUTE(SUBSTITUTE(SUBSTITUTE(SUBSTITUTE(SUBSTITUTE(SUBSTITUTE(SUBSTITUTE(SUBSTITUTE(LOWER(INDEX('Invullen groen'!$O:$O,$L162)),"2024",""),"2025",""),"2026",""),"2027",""),"2028",""),"2029",""),"taakveld ",""),"installaties","inst"),"ruwbouw","ruwb"),"afbouw","afb"),"bijstelling","bijst"),"investeringen","invest")),""),"")</f>
        <v/>
      </c>
      <c r="K162" s="83" t="n"/>
      <c r="L162" s="83">
        <f>IFERROR(MATCH(ROW()-104,'Invullen groen'!$S$121:$S$272,0)+120,0)</f>
        <v/>
      </c>
    </row>
    <row r="163" hidden="1" s="402">
      <c r="A163" s="102">
        <f>IF($L163&gt;0,"+","")</f>
        <v/>
      </c>
      <c r="B163" s="83">
        <f>IFERROR(IF($L163&gt;0,IF(INDEX('Invullen groen'!$F:$F,$L163)&gt;0,INDEX('Invullen groen'!$F:$F,$L163),""),""),"")</f>
        <v/>
      </c>
      <c r="C163" s="83">
        <f>IFERROR(IF($L163&gt;0,IF(INDEX('Invullen groen'!$N:$N,$L163)&gt;0,INDEX('Invullen groen'!$N:$N,$L163),""),""),"")</f>
        <v/>
      </c>
      <c r="D163" s="83" t="n"/>
      <c r="E163" s="83">
        <f>IFERROR(IF(LEN(J163)&lt;=36,J163,IFERROR(LEFT(J163,FIND(CHAR(1),SUBSTITUTE(LEFT(J163,36)," ",CHAR(1),LEN(LEFT(J163,36))-LEN(SUBSTITUTE(LEFT(J163,36)," ",""))))-1),LEFT(J163,36))),"")</f>
        <v/>
      </c>
      <c r="F163" s="103">
        <f>IFERROR(IF($L163&gt;0,IF(INDEX('Invullen groen'!$H:$H,$L163)=0,"",INT(INDEX('Invullen groen'!$H:$H,$L163))),""),"")</f>
        <v/>
      </c>
      <c r="G163" s="103">
        <f>IFERROR(IF($L163&gt;0,IF(INDEX('Invullen groen'!$I:$I,$L163)=0,"",INT(INDEX('Invullen groen'!$I:$I,$L163))),""),"")</f>
        <v/>
      </c>
      <c r="H163" s="103">
        <f>IFERROR(IF($L163&gt;0,IF(INDEX('Invullen groen'!$J:$J,$L163)=0,"",INT(INDEX('Invullen groen'!$J:$J,$L163))),""),"")</f>
        <v/>
      </c>
      <c r="I163" s="103">
        <f>IFERROR(IF($L163&gt;0,IF(INDEX('Invullen groen'!$K:$K,$L163)=0,"",INT(INDEX('Invullen groen'!$K:$K,$L163))),""),"")</f>
        <v/>
      </c>
      <c r="J163" s="83">
        <f>IF($L163&gt;0,IFERROR($K$1&amp;" "&amp;TRIM(SUBSTITUTE(SUBSTITUTE(SUBSTITUTE(SUBSTITUTE(SUBSTITUTE(SUBSTITUTE(SUBSTITUTE(SUBSTITUTE(SUBSTITUTE(SUBSTITUTE(SUBSTITUTE(SUBSTITUTE(LOWER(INDEX('Invullen groen'!$O:$O,$L163)),"2024",""),"2025",""),"2026",""),"2027",""),"2028",""),"2029",""),"taakveld ",""),"installaties","inst"),"ruwbouw","ruwb"),"afbouw","afb"),"bijstelling","bijst"),"investeringen","invest")),""),"")</f>
        <v/>
      </c>
      <c r="K163" s="83" t="n"/>
      <c r="L163" s="83">
        <f>IFERROR(MATCH(ROW()-104,'Invullen groen'!$S$121:$S$272,0)+120,0)</f>
        <v/>
      </c>
    </row>
    <row r="164" hidden="1" s="402">
      <c r="A164" s="102">
        <f>IF($L164&gt;0,"+","")</f>
        <v/>
      </c>
      <c r="B164" s="83">
        <f>IFERROR(IF($L164&gt;0,IF(INDEX('Invullen groen'!$F:$F,$L164)&gt;0,INDEX('Invullen groen'!$F:$F,$L164),""),""),"")</f>
        <v/>
      </c>
      <c r="C164" s="83">
        <f>IFERROR(IF($L164&gt;0,IF(INDEX('Invullen groen'!$N:$N,$L164)&gt;0,INDEX('Invullen groen'!$N:$N,$L164),""),""),"")</f>
        <v/>
      </c>
      <c r="D164" s="83" t="n"/>
      <c r="E164" s="83">
        <f>IFERROR(IF(LEN(J164)&lt;=36,J164,IFERROR(LEFT(J164,FIND(CHAR(1),SUBSTITUTE(LEFT(J164,36)," ",CHAR(1),LEN(LEFT(J164,36))-LEN(SUBSTITUTE(LEFT(J164,36)," ",""))))-1),LEFT(J164,36))),"")</f>
        <v/>
      </c>
      <c r="F164" s="103">
        <f>IFERROR(IF($L164&gt;0,IF(INDEX('Invullen groen'!$H:$H,$L164)=0,"",INT(INDEX('Invullen groen'!$H:$H,$L164))),""),"")</f>
        <v/>
      </c>
      <c r="G164" s="103">
        <f>IFERROR(IF($L164&gt;0,IF(INDEX('Invullen groen'!$I:$I,$L164)=0,"",INT(INDEX('Invullen groen'!$I:$I,$L164))),""),"")</f>
        <v/>
      </c>
      <c r="H164" s="103">
        <f>IFERROR(IF($L164&gt;0,IF(INDEX('Invullen groen'!$J:$J,$L164)=0,"",INT(INDEX('Invullen groen'!$J:$J,$L164))),""),"")</f>
        <v/>
      </c>
      <c r="I164" s="103">
        <f>IFERROR(IF($L164&gt;0,IF(INDEX('Invullen groen'!$K:$K,$L164)=0,"",INT(INDEX('Invullen groen'!$K:$K,$L164))),""),"")</f>
        <v/>
      </c>
      <c r="J164" s="83">
        <f>IF($L164&gt;0,IFERROR($K$1&amp;" "&amp;TRIM(SUBSTITUTE(SUBSTITUTE(SUBSTITUTE(SUBSTITUTE(SUBSTITUTE(SUBSTITUTE(SUBSTITUTE(SUBSTITUTE(SUBSTITUTE(SUBSTITUTE(SUBSTITUTE(SUBSTITUTE(LOWER(INDEX('Invullen groen'!$O:$O,$L164)),"2024",""),"2025",""),"2026",""),"2027",""),"2028",""),"2029",""),"taakveld ",""),"installaties","inst"),"ruwbouw","ruwb"),"afbouw","afb"),"bijstelling","bijst"),"investeringen","invest")),""),"")</f>
        <v/>
      </c>
      <c r="K164" s="83" t="n"/>
      <c r="L164" s="83">
        <f>IFERROR(MATCH(ROW()-104,'Invullen groen'!$S$121:$S$272,0)+120,0)</f>
        <v/>
      </c>
    </row>
    <row r="165" hidden="1" s="402">
      <c r="A165" s="102">
        <f>IF($L165&gt;0,"+","")</f>
        <v/>
      </c>
      <c r="B165" s="83">
        <f>IFERROR(IF($L165&gt;0,IF(INDEX('Invullen groen'!$F:$F,$L165)&gt;0,INDEX('Invullen groen'!$F:$F,$L165),""),""),"")</f>
        <v/>
      </c>
      <c r="C165" s="83">
        <f>IFERROR(IF($L165&gt;0,IF(INDEX('Invullen groen'!$N:$N,$L165)&gt;0,INDEX('Invullen groen'!$N:$N,$L165),""),""),"")</f>
        <v/>
      </c>
      <c r="D165" s="83" t="n"/>
      <c r="E165" s="83">
        <f>IFERROR(IF(LEN(J165)&lt;=36,J165,IFERROR(LEFT(J165,FIND(CHAR(1),SUBSTITUTE(LEFT(J165,36)," ",CHAR(1),LEN(LEFT(J165,36))-LEN(SUBSTITUTE(LEFT(J165,36)," ",""))))-1),LEFT(J165,36))),"")</f>
        <v/>
      </c>
      <c r="F165" s="103">
        <f>IFERROR(IF($L165&gt;0,IF(INDEX('Invullen groen'!$H:$H,$L165)=0,"",INT(INDEX('Invullen groen'!$H:$H,$L165))),""),"")</f>
        <v/>
      </c>
      <c r="G165" s="103">
        <f>IFERROR(IF($L165&gt;0,IF(INDEX('Invullen groen'!$I:$I,$L165)=0,"",INT(INDEX('Invullen groen'!$I:$I,$L165))),""),"")</f>
        <v/>
      </c>
      <c r="H165" s="103">
        <f>IFERROR(IF($L165&gt;0,IF(INDEX('Invullen groen'!$J:$J,$L165)=0,"",INT(INDEX('Invullen groen'!$J:$J,$L165))),""),"")</f>
        <v/>
      </c>
      <c r="I165" s="103">
        <f>IFERROR(IF($L165&gt;0,IF(INDEX('Invullen groen'!$K:$K,$L165)=0,"",INT(INDEX('Invullen groen'!$K:$K,$L165))),""),"")</f>
        <v/>
      </c>
      <c r="J165" s="83">
        <f>IF($L165&gt;0,IFERROR($K$1&amp;" "&amp;TRIM(SUBSTITUTE(SUBSTITUTE(SUBSTITUTE(SUBSTITUTE(SUBSTITUTE(SUBSTITUTE(SUBSTITUTE(SUBSTITUTE(SUBSTITUTE(SUBSTITUTE(SUBSTITUTE(SUBSTITUTE(LOWER(INDEX('Invullen groen'!$O:$O,$L165)),"2024",""),"2025",""),"2026",""),"2027",""),"2028",""),"2029",""),"taakveld ",""),"installaties","inst"),"ruwbouw","ruwb"),"afbouw","afb"),"bijstelling","bijst"),"investeringen","invest")),""),"")</f>
        <v/>
      </c>
      <c r="K165" s="83" t="n"/>
      <c r="L165" s="83">
        <f>IFERROR(MATCH(ROW()-104,'Invullen groen'!$S$121:$S$272,0)+120,0)</f>
        <v/>
      </c>
    </row>
    <row r="166" hidden="1" s="402">
      <c r="A166" s="102">
        <f>IF($L166&gt;0,"+","")</f>
        <v/>
      </c>
      <c r="B166" s="83">
        <f>IFERROR(IF($L166&gt;0,IF(INDEX('Invullen groen'!$F:$F,$L166)&gt;0,INDEX('Invullen groen'!$F:$F,$L166),""),""),"")</f>
        <v/>
      </c>
      <c r="C166" s="83">
        <f>IFERROR(IF($L166&gt;0,IF(INDEX('Invullen groen'!$N:$N,$L166)&gt;0,INDEX('Invullen groen'!$N:$N,$L166),""),""),"")</f>
        <v/>
      </c>
      <c r="D166" s="83" t="n"/>
      <c r="E166" s="83">
        <f>IFERROR(IF(LEN(J166)&lt;=36,J166,IFERROR(LEFT(J166,FIND(CHAR(1),SUBSTITUTE(LEFT(J166,36)," ",CHAR(1),LEN(LEFT(J166,36))-LEN(SUBSTITUTE(LEFT(J166,36)," ",""))))-1),LEFT(J166,36))),"")</f>
        <v/>
      </c>
      <c r="F166" s="103">
        <f>IFERROR(IF($L166&gt;0,IF(INDEX('Invullen groen'!$H:$H,$L166)=0,"",INT(INDEX('Invullen groen'!$H:$H,$L166))),""),"")</f>
        <v/>
      </c>
      <c r="G166" s="103">
        <f>IFERROR(IF($L166&gt;0,IF(INDEX('Invullen groen'!$I:$I,$L166)=0,"",INT(INDEX('Invullen groen'!$I:$I,$L166))),""),"")</f>
        <v/>
      </c>
      <c r="H166" s="103">
        <f>IFERROR(IF($L166&gt;0,IF(INDEX('Invullen groen'!$J:$J,$L166)=0,"",INT(INDEX('Invullen groen'!$J:$J,$L166))),""),"")</f>
        <v/>
      </c>
      <c r="I166" s="103">
        <f>IFERROR(IF($L166&gt;0,IF(INDEX('Invullen groen'!$K:$K,$L166)=0,"",INT(INDEX('Invullen groen'!$K:$K,$L166))),""),"")</f>
        <v/>
      </c>
      <c r="J166" s="83">
        <f>IF($L166&gt;0,IFERROR($K$1&amp;" "&amp;TRIM(SUBSTITUTE(SUBSTITUTE(SUBSTITUTE(SUBSTITUTE(SUBSTITUTE(SUBSTITUTE(SUBSTITUTE(SUBSTITUTE(SUBSTITUTE(SUBSTITUTE(SUBSTITUTE(SUBSTITUTE(LOWER(INDEX('Invullen groen'!$O:$O,$L166)),"2024",""),"2025",""),"2026",""),"2027",""),"2028",""),"2029",""),"taakveld ",""),"installaties","inst"),"ruwbouw","ruwb"),"afbouw","afb"),"bijstelling","bijst"),"investeringen","invest")),""),"")</f>
        <v/>
      </c>
      <c r="K166" s="83" t="n"/>
      <c r="L166" s="83">
        <f>IFERROR(MATCH(ROW()-104,'Invullen groen'!$S$121:$S$272,0)+120,0)</f>
        <v/>
      </c>
    </row>
    <row r="167" hidden="1" s="402">
      <c r="A167" s="102">
        <f>IF($L167&gt;0,"+","")</f>
        <v/>
      </c>
      <c r="B167" s="83">
        <f>IFERROR(IF($L167&gt;0,IF(INDEX('Invullen groen'!$F:$F,$L167)&gt;0,INDEX('Invullen groen'!$F:$F,$L167),""),""),"")</f>
        <v/>
      </c>
      <c r="C167" s="83">
        <f>IFERROR(IF($L167&gt;0,IF(INDEX('Invullen groen'!$N:$N,$L167)&gt;0,INDEX('Invullen groen'!$N:$N,$L167),""),""),"")</f>
        <v/>
      </c>
      <c r="D167" s="83" t="n"/>
      <c r="E167" s="83">
        <f>IFERROR(IF(LEN(J167)&lt;=36,J167,IFERROR(LEFT(J167,FIND(CHAR(1),SUBSTITUTE(LEFT(J167,36)," ",CHAR(1),LEN(LEFT(J167,36))-LEN(SUBSTITUTE(LEFT(J167,36)," ",""))))-1),LEFT(J167,36))),"")</f>
        <v/>
      </c>
      <c r="F167" s="103">
        <f>IFERROR(IF($L167&gt;0,IF(INDEX('Invullen groen'!$H:$H,$L167)=0,"",INT(INDEX('Invullen groen'!$H:$H,$L167))),""),"")</f>
        <v/>
      </c>
      <c r="G167" s="103">
        <f>IFERROR(IF($L167&gt;0,IF(INDEX('Invullen groen'!$I:$I,$L167)=0,"",INT(INDEX('Invullen groen'!$I:$I,$L167))),""),"")</f>
        <v/>
      </c>
      <c r="H167" s="103">
        <f>IFERROR(IF($L167&gt;0,IF(INDEX('Invullen groen'!$J:$J,$L167)=0,"",INT(INDEX('Invullen groen'!$J:$J,$L167))),""),"")</f>
        <v/>
      </c>
      <c r="I167" s="103">
        <f>IFERROR(IF($L167&gt;0,IF(INDEX('Invullen groen'!$K:$K,$L167)=0,"",INT(INDEX('Invullen groen'!$K:$K,$L167))),""),"")</f>
        <v/>
      </c>
      <c r="J167" s="83">
        <f>IF($L167&gt;0,IFERROR($K$1&amp;" "&amp;TRIM(SUBSTITUTE(SUBSTITUTE(SUBSTITUTE(SUBSTITUTE(SUBSTITUTE(SUBSTITUTE(SUBSTITUTE(SUBSTITUTE(SUBSTITUTE(SUBSTITUTE(SUBSTITUTE(SUBSTITUTE(LOWER(INDEX('Invullen groen'!$O:$O,$L167)),"2024",""),"2025",""),"2026",""),"2027",""),"2028",""),"2029",""),"taakveld ",""),"installaties","inst"),"ruwbouw","ruwb"),"afbouw","afb"),"bijstelling","bijst"),"investeringen","invest")),""),"")</f>
        <v/>
      </c>
      <c r="K167" s="83" t="n"/>
      <c r="L167" s="83">
        <f>IFERROR(MATCH(ROW()-104,'Invullen groen'!$S$121:$S$272,0)+120,0)</f>
        <v/>
      </c>
    </row>
    <row r="168" hidden="1" s="402">
      <c r="A168" s="102">
        <f>IF($L168&gt;0,"+","")</f>
        <v/>
      </c>
      <c r="B168" s="83">
        <f>IFERROR(IF($L168&gt;0,IF(INDEX('Invullen groen'!$F:$F,$L168)&gt;0,INDEX('Invullen groen'!$F:$F,$L168),""),""),"")</f>
        <v/>
      </c>
      <c r="C168" s="83">
        <f>IFERROR(IF($L168&gt;0,IF(INDEX('Invullen groen'!$N:$N,$L168)&gt;0,INDEX('Invullen groen'!$N:$N,$L168),""),""),"")</f>
        <v/>
      </c>
      <c r="D168" s="83" t="n"/>
      <c r="E168" s="83">
        <f>IFERROR(IF(LEN(J168)&lt;=36,J168,IFERROR(LEFT(J168,FIND(CHAR(1),SUBSTITUTE(LEFT(J168,36)," ",CHAR(1),LEN(LEFT(J168,36))-LEN(SUBSTITUTE(LEFT(J168,36)," ",""))))-1),LEFT(J168,36))),"")</f>
        <v/>
      </c>
      <c r="F168" s="103">
        <f>IFERROR(IF($L168&gt;0,IF(INDEX('Invullen groen'!$H:$H,$L168)=0,"",INT(INDEX('Invullen groen'!$H:$H,$L168))),""),"")</f>
        <v/>
      </c>
      <c r="G168" s="103">
        <f>IFERROR(IF($L168&gt;0,IF(INDEX('Invullen groen'!$I:$I,$L168)=0,"",INT(INDEX('Invullen groen'!$I:$I,$L168))),""),"")</f>
        <v/>
      </c>
      <c r="H168" s="103">
        <f>IFERROR(IF($L168&gt;0,IF(INDEX('Invullen groen'!$J:$J,$L168)=0,"",INT(INDEX('Invullen groen'!$J:$J,$L168))),""),"")</f>
        <v/>
      </c>
      <c r="I168" s="103">
        <f>IFERROR(IF($L168&gt;0,IF(INDEX('Invullen groen'!$K:$K,$L168)=0,"",INT(INDEX('Invullen groen'!$K:$K,$L168))),""),"")</f>
        <v/>
      </c>
      <c r="J168" s="83">
        <f>IF($L168&gt;0,IFERROR($K$1&amp;" "&amp;TRIM(SUBSTITUTE(SUBSTITUTE(SUBSTITUTE(SUBSTITUTE(SUBSTITUTE(SUBSTITUTE(SUBSTITUTE(SUBSTITUTE(SUBSTITUTE(SUBSTITUTE(SUBSTITUTE(SUBSTITUTE(LOWER(INDEX('Invullen groen'!$O:$O,$L168)),"2024",""),"2025",""),"2026",""),"2027",""),"2028",""),"2029",""),"taakveld ",""),"installaties","inst"),"ruwbouw","ruwb"),"afbouw","afb"),"bijstelling","bijst"),"investeringen","invest")),""),"")</f>
        <v/>
      </c>
      <c r="K168" s="83" t="n"/>
      <c r="L168" s="83">
        <f>IFERROR(MATCH(ROW()-104,'Invullen groen'!$S$121:$S$272,0)+120,0)</f>
        <v/>
      </c>
    </row>
    <row r="169" hidden="1" s="402">
      <c r="A169" s="102">
        <f>IF($L169&gt;0,"+","")</f>
        <v/>
      </c>
      <c r="B169" s="83">
        <f>IFERROR(IF($L169&gt;0,IF(INDEX('Invullen groen'!$F:$F,$L169)&gt;0,INDEX('Invullen groen'!$F:$F,$L169),""),""),"")</f>
        <v/>
      </c>
      <c r="C169" s="83">
        <f>IFERROR(IF($L169&gt;0,IF(INDEX('Invullen groen'!$N:$N,$L169)&gt;0,INDEX('Invullen groen'!$N:$N,$L169),""),""),"")</f>
        <v/>
      </c>
      <c r="D169" s="83" t="n"/>
      <c r="E169" s="83">
        <f>IFERROR(IF(LEN(J169)&lt;=36,J169,IFERROR(LEFT(J169,FIND(CHAR(1),SUBSTITUTE(LEFT(J169,36)," ",CHAR(1),LEN(LEFT(J169,36))-LEN(SUBSTITUTE(LEFT(J169,36)," ",""))))-1),LEFT(J169,36))),"")</f>
        <v/>
      </c>
      <c r="F169" s="103">
        <f>IFERROR(IF($L169&gt;0,IF(INDEX('Invullen groen'!$H:$H,$L169)=0,"",INT(INDEX('Invullen groen'!$H:$H,$L169))),""),"")</f>
        <v/>
      </c>
      <c r="G169" s="103">
        <f>IFERROR(IF($L169&gt;0,IF(INDEX('Invullen groen'!$I:$I,$L169)=0,"",INT(INDEX('Invullen groen'!$I:$I,$L169))),""),"")</f>
        <v/>
      </c>
      <c r="H169" s="103">
        <f>IFERROR(IF($L169&gt;0,IF(INDEX('Invullen groen'!$J:$J,$L169)=0,"",INT(INDEX('Invullen groen'!$J:$J,$L169))),""),"")</f>
        <v/>
      </c>
      <c r="I169" s="103">
        <f>IFERROR(IF($L169&gt;0,IF(INDEX('Invullen groen'!$K:$K,$L169)=0,"",INT(INDEX('Invullen groen'!$K:$K,$L169))),""),"")</f>
        <v/>
      </c>
      <c r="J169" s="83">
        <f>IF($L169&gt;0,IFERROR($K$1&amp;" "&amp;TRIM(SUBSTITUTE(SUBSTITUTE(SUBSTITUTE(SUBSTITUTE(SUBSTITUTE(SUBSTITUTE(SUBSTITUTE(SUBSTITUTE(SUBSTITUTE(SUBSTITUTE(SUBSTITUTE(SUBSTITUTE(LOWER(INDEX('Invullen groen'!$O:$O,$L169)),"2024",""),"2025",""),"2026",""),"2027",""),"2028",""),"2029",""),"taakveld ",""),"installaties","inst"),"ruwbouw","ruwb"),"afbouw","afb"),"bijstelling","bijst"),"investeringen","invest")),""),"")</f>
        <v/>
      </c>
      <c r="K169" s="83" t="n"/>
      <c r="L169" s="83">
        <f>IFERROR(MATCH(ROW()-104,'Invullen groen'!$S$121:$S$272,0)+120,0)</f>
        <v/>
      </c>
    </row>
    <row r="170" hidden="1" s="402">
      <c r="A170" s="102">
        <f>IF($L170&gt;0,"+","")</f>
        <v/>
      </c>
      <c r="B170" s="83">
        <f>IFERROR(IF($L170&gt;0,IF(INDEX('Invullen groen'!$F:$F,$L170)&gt;0,INDEX('Invullen groen'!$F:$F,$L170),""),""),"")</f>
        <v/>
      </c>
      <c r="C170" s="83">
        <f>IFERROR(IF($L170&gt;0,IF(INDEX('Invullen groen'!$N:$N,$L170)&gt;0,INDEX('Invullen groen'!$N:$N,$L170),""),""),"")</f>
        <v/>
      </c>
      <c r="D170" s="83" t="n"/>
      <c r="E170" s="83">
        <f>IFERROR(IF(LEN(J170)&lt;=36,J170,IFERROR(LEFT(J170,FIND(CHAR(1),SUBSTITUTE(LEFT(J170,36)," ",CHAR(1),LEN(LEFT(J170,36))-LEN(SUBSTITUTE(LEFT(J170,36)," ",""))))-1),LEFT(J170,36))),"")</f>
        <v/>
      </c>
      <c r="F170" s="103">
        <f>IFERROR(IF($L170&gt;0,IF(INDEX('Invullen groen'!$H:$H,$L170)=0,"",INT(INDEX('Invullen groen'!$H:$H,$L170))),""),"")</f>
        <v/>
      </c>
      <c r="G170" s="103">
        <f>IFERROR(IF($L170&gt;0,IF(INDEX('Invullen groen'!$I:$I,$L170)=0,"",INT(INDEX('Invullen groen'!$I:$I,$L170))),""),"")</f>
        <v/>
      </c>
      <c r="H170" s="103">
        <f>IFERROR(IF($L170&gt;0,IF(INDEX('Invullen groen'!$J:$J,$L170)=0,"",INT(INDEX('Invullen groen'!$J:$J,$L170))),""),"")</f>
        <v/>
      </c>
      <c r="I170" s="103">
        <f>IFERROR(IF($L170&gt;0,IF(INDEX('Invullen groen'!$K:$K,$L170)=0,"",INT(INDEX('Invullen groen'!$K:$K,$L170))),""),"")</f>
        <v/>
      </c>
      <c r="J170" s="83">
        <f>IF($L170&gt;0,IFERROR($K$1&amp;" "&amp;TRIM(SUBSTITUTE(SUBSTITUTE(SUBSTITUTE(SUBSTITUTE(SUBSTITUTE(SUBSTITUTE(SUBSTITUTE(SUBSTITUTE(SUBSTITUTE(SUBSTITUTE(SUBSTITUTE(SUBSTITUTE(LOWER(INDEX('Invullen groen'!$O:$O,$L170)),"2024",""),"2025",""),"2026",""),"2027",""),"2028",""),"2029",""),"taakveld ",""),"installaties","inst"),"ruwbouw","ruwb"),"afbouw","afb"),"bijstelling","bijst"),"investeringen","invest")),""),"")</f>
        <v/>
      </c>
      <c r="K170" s="83" t="n"/>
      <c r="L170" s="83">
        <f>IFERROR(MATCH(ROW()-104,'Invullen groen'!$S$121:$S$272,0)+120,0)</f>
        <v/>
      </c>
    </row>
    <row r="171" hidden="1" s="402">
      <c r="A171" s="102">
        <f>IF($L171&gt;0,"+","")</f>
        <v/>
      </c>
      <c r="B171" s="83">
        <f>IFERROR(IF($L171&gt;0,IF(INDEX('Invullen groen'!$F:$F,$L171)&gt;0,INDEX('Invullen groen'!$F:$F,$L171),""),""),"")</f>
        <v/>
      </c>
      <c r="C171" s="83">
        <f>IFERROR(IF($L171&gt;0,IF(INDEX('Invullen groen'!$N:$N,$L171)&gt;0,INDEX('Invullen groen'!$N:$N,$L171),""),""),"")</f>
        <v/>
      </c>
      <c r="D171" s="83" t="n"/>
      <c r="E171" s="83">
        <f>IFERROR(IF(LEN(J171)&lt;=36,J171,IFERROR(LEFT(J171,FIND(CHAR(1),SUBSTITUTE(LEFT(J171,36)," ",CHAR(1),LEN(LEFT(J171,36))-LEN(SUBSTITUTE(LEFT(J171,36)," ",""))))-1),LEFT(J171,36))),"")</f>
        <v/>
      </c>
      <c r="F171" s="103">
        <f>IFERROR(IF($L171&gt;0,IF(INDEX('Invullen groen'!$H:$H,$L171)=0,"",INT(INDEX('Invullen groen'!$H:$H,$L171))),""),"")</f>
        <v/>
      </c>
      <c r="G171" s="103">
        <f>IFERROR(IF($L171&gt;0,IF(INDEX('Invullen groen'!$I:$I,$L171)=0,"",INT(INDEX('Invullen groen'!$I:$I,$L171))),""),"")</f>
        <v/>
      </c>
      <c r="H171" s="103">
        <f>IFERROR(IF($L171&gt;0,IF(INDEX('Invullen groen'!$J:$J,$L171)=0,"",INT(INDEX('Invullen groen'!$J:$J,$L171))),""),"")</f>
        <v/>
      </c>
      <c r="I171" s="103">
        <f>IFERROR(IF($L171&gt;0,IF(INDEX('Invullen groen'!$K:$K,$L171)=0,"",INT(INDEX('Invullen groen'!$K:$K,$L171))),""),"")</f>
        <v/>
      </c>
      <c r="J171" s="83">
        <f>IF($L171&gt;0,IFERROR($K$1&amp;" "&amp;TRIM(SUBSTITUTE(SUBSTITUTE(SUBSTITUTE(SUBSTITUTE(SUBSTITUTE(SUBSTITUTE(SUBSTITUTE(SUBSTITUTE(SUBSTITUTE(SUBSTITUTE(SUBSTITUTE(SUBSTITUTE(LOWER(INDEX('Invullen groen'!$O:$O,$L171)),"2024",""),"2025",""),"2026",""),"2027",""),"2028",""),"2029",""),"taakveld ",""),"installaties","inst"),"ruwbouw","ruwb"),"afbouw","afb"),"bijstelling","bijst"),"investeringen","invest")),""),"")</f>
        <v/>
      </c>
      <c r="K171" s="83" t="n"/>
      <c r="L171" s="83">
        <f>IFERROR(MATCH(ROW()-104,'Invullen groen'!$S$121:$S$272,0)+120,0)</f>
        <v/>
      </c>
    </row>
    <row r="172" hidden="1" s="402">
      <c r="A172" s="102">
        <f>IF($L172&gt;0,"+","")</f>
        <v/>
      </c>
      <c r="B172" s="83">
        <f>IFERROR(IF($L172&gt;0,IF(INDEX('Invullen groen'!$F:$F,$L172)&gt;0,INDEX('Invullen groen'!$F:$F,$L172),""),""),"")</f>
        <v/>
      </c>
      <c r="C172" s="83">
        <f>IFERROR(IF($L172&gt;0,IF(INDEX('Invullen groen'!$N:$N,$L172)&gt;0,INDEX('Invullen groen'!$N:$N,$L172),""),""),"")</f>
        <v/>
      </c>
      <c r="D172" s="83" t="n"/>
      <c r="E172" s="83">
        <f>IFERROR(IF(LEN(J172)&lt;=36,J172,IFERROR(LEFT(J172,FIND(CHAR(1),SUBSTITUTE(LEFT(J172,36)," ",CHAR(1),LEN(LEFT(J172,36))-LEN(SUBSTITUTE(LEFT(J172,36)," ",""))))-1),LEFT(J172,36))),"")</f>
        <v/>
      </c>
      <c r="F172" s="103">
        <f>IFERROR(IF($L172&gt;0,IF(INDEX('Invullen groen'!$H:$H,$L172)=0,"",INT(INDEX('Invullen groen'!$H:$H,$L172))),""),"")</f>
        <v/>
      </c>
      <c r="G172" s="103">
        <f>IFERROR(IF($L172&gt;0,IF(INDEX('Invullen groen'!$I:$I,$L172)=0,"",INT(INDEX('Invullen groen'!$I:$I,$L172))),""),"")</f>
        <v/>
      </c>
      <c r="H172" s="103">
        <f>IFERROR(IF($L172&gt;0,IF(INDEX('Invullen groen'!$J:$J,$L172)=0,"",INT(INDEX('Invullen groen'!$J:$J,$L172))),""),"")</f>
        <v/>
      </c>
      <c r="I172" s="103">
        <f>IFERROR(IF($L172&gt;0,IF(INDEX('Invullen groen'!$K:$K,$L172)=0,"",INT(INDEX('Invullen groen'!$K:$K,$L172))),""),"")</f>
        <v/>
      </c>
      <c r="J172" s="83">
        <f>IF($L172&gt;0,IFERROR($K$1&amp;" "&amp;TRIM(SUBSTITUTE(SUBSTITUTE(SUBSTITUTE(SUBSTITUTE(SUBSTITUTE(SUBSTITUTE(SUBSTITUTE(SUBSTITUTE(SUBSTITUTE(SUBSTITUTE(SUBSTITUTE(SUBSTITUTE(LOWER(INDEX('Invullen groen'!$O:$O,$L172)),"2024",""),"2025",""),"2026",""),"2027",""),"2028",""),"2029",""),"taakveld ",""),"installaties","inst"),"ruwbouw","ruwb"),"afbouw","afb"),"bijstelling","bijst"),"investeringen","invest")),""),"")</f>
        <v/>
      </c>
      <c r="K172" s="83" t="n"/>
      <c r="L172" s="83">
        <f>IFERROR(MATCH(ROW()-104,'Invullen groen'!$S$121:$S$272,0)+120,0)</f>
        <v/>
      </c>
    </row>
    <row r="173" hidden="1" s="402">
      <c r="A173" s="102">
        <f>IF($L173&gt;0,"+","")</f>
        <v/>
      </c>
      <c r="B173" s="83">
        <f>IFERROR(IF($L173&gt;0,IF(INDEX('Invullen groen'!$F:$F,$L173)&gt;0,INDEX('Invullen groen'!$F:$F,$L173),""),""),"")</f>
        <v/>
      </c>
      <c r="C173" s="83">
        <f>IFERROR(IF($L173&gt;0,IF(INDEX('Invullen groen'!$N:$N,$L173)&gt;0,INDEX('Invullen groen'!$N:$N,$L173),""),""),"")</f>
        <v/>
      </c>
      <c r="D173" s="83" t="n"/>
      <c r="E173" s="83">
        <f>IFERROR(IF(LEN(J173)&lt;=36,J173,IFERROR(LEFT(J173,FIND(CHAR(1),SUBSTITUTE(LEFT(J173,36)," ",CHAR(1),LEN(LEFT(J173,36))-LEN(SUBSTITUTE(LEFT(J173,36)," ",""))))-1),LEFT(J173,36))),"")</f>
        <v/>
      </c>
      <c r="F173" s="103">
        <f>IFERROR(IF($L173&gt;0,IF(INDEX('Invullen groen'!$H:$H,$L173)=0,"",INT(INDEX('Invullen groen'!$H:$H,$L173))),""),"")</f>
        <v/>
      </c>
      <c r="G173" s="103">
        <f>IFERROR(IF($L173&gt;0,IF(INDEX('Invullen groen'!$I:$I,$L173)=0,"",INT(INDEX('Invullen groen'!$I:$I,$L173))),""),"")</f>
        <v/>
      </c>
      <c r="H173" s="103">
        <f>IFERROR(IF($L173&gt;0,IF(INDEX('Invullen groen'!$J:$J,$L173)=0,"",INT(INDEX('Invullen groen'!$J:$J,$L173))),""),"")</f>
        <v/>
      </c>
      <c r="I173" s="103">
        <f>IFERROR(IF($L173&gt;0,IF(INDEX('Invullen groen'!$K:$K,$L173)=0,"",INT(INDEX('Invullen groen'!$K:$K,$L173))),""),"")</f>
        <v/>
      </c>
      <c r="J173" s="83">
        <f>IF($L173&gt;0,IFERROR($K$1&amp;" "&amp;TRIM(SUBSTITUTE(SUBSTITUTE(SUBSTITUTE(SUBSTITUTE(SUBSTITUTE(SUBSTITUTE(SUBSTITUTE(SUBSTITUTE(SUBSTITUTE(SUBSTITUTE(SUBSTITUTE(SUBSTITUTE(LOWER(INDEX('Invullen groen'!$O:$O,$L173)),"2024",""),"2025",""),"2026",""),"2027",""),"2028",""),"2029",""),"taakveld ",""),"installaties","inst"),"ruwbouw","ruwb"),"afbouw","afb"),"bijstelling","bijst"),"investeringen","invest")),""),"")</f>
        <v/>
      </c>
      <c r="K173" s="83" t="n"/>
      <c r="L173" s="83">
        <f>IFERROR(MATCH(ROW()-104,'Invullen groen'!$S$121:$S$272,0)+120,0)</f>
        <v/>
      </c>
    </row>
    <row r="174" hidden="1" s="402">
      <c r="A174" s="102">
        <f>IF($L174&gt;0,"+","")</f>
        <v/>
      </c>
      <c r="B174" s="83">
        <f>IFERROR(IF($L174&gt;0,IF(INDEX('Invullen groen'!$F:$F,$L174)&gt;0,INDEX('Invullen groen'!$F:$F,$L174),""),""),"")</f>
        <v/>
      </c>
      <c r="C174" s="83">
        <f>IFERROR(IF($L174&gt;0,IF(INDEX('Invullen groen'!$N:$N,$L174)&gt;0,INDEX('Invullen groen'!$N:$N,$L174),""),""),"")</f>
        <v/>
      </c>
      <c r="D174" s="83" t="n"/>
      <c r="E174" s="83">
        <f>IFERROR(IF(LEN(J174)&lt;=36,J174,IFERROR(LEFT(J174,FIND(CHAR(1),SUBSTITUTE(LEFT(J174,36)," ",CHAR(1),LEN(LEFT(J174,36))-LEN(SUBSTITUTE(LEFT(J174,36)," ",""))))-1),LEFT(J174,36))),"")</f>
        <v/>
      </c>
      <c r="F174" s="103">
        <f>IFERROR(IF($L174&gt;0,IF(INDEX('Invullen groen'!$H:$H,$L174)=0,"",INT(INDEX('Invullen groen'!$H:$H,$L174))),""),"")</f>
        <v/>
      </c>
      <c r="G174" s="103">
        <f>IFERROR(IF($L174&gt;0,IF(INDEX('Invullen groen'!$I:$I,$L174)=0,"",INT(INDEX('Invullen groen'!$I:$I,$L174))),""),"")</f>
        <v/>
      </c>
      <c r="H174" s="103">
        <f>IFERROR(IF($L174&gt;0,IF(INDEX('Invullen groen'!$J:$J,$L174)=0,"",INT(INDEX('Invullen groen'!$J:$J,$L174))),""),"")</f>
        <v/>
      </c>
      <c r="I174" s="103">
        <f>IFERROR(IF($L174&gt;0,IF(INDEX('Invullen groen'!$K:$K,$L174)=0,"",INT(INDEX('Invullen groen'!$K:$K,$L174))),""),"")</f>
        <v/>
      </c>
      <c r="J174" s="83">
        <f>IF($L174&gt;0,IFERROR($K$1&amp;" "&amp;TRIM(SUBSTITUTE(SUBSTITUTE(SUBSTITUTE(SUBSTITUTE(SUBSTITUTE(SUBSTITUTE(SUBSTITUTE(SUBSTITUTE(SUBSTITUTE(SUBSTITUTE(SUBSTITUTE(SUBSTITUTE(LOWER(INDEX('Invullen groen'!$O:$O,$L174)),"2024",""),"2025",""),"2026",""),"2027",""),"2028",""),"2029",""),"taakveld ",""),"installaties","inst"),"ruwbouw","ruwb"),"afbouw","afb"),"bijstelling","bijst"),"investeringen","invest")),""),"")</f>
        <v/>
      </c>
      <c r="K174" s="83" t="n"/>
      <c r="L174" s="83">
        <f>IFERROR(MATCH(ROW()-104,'Invullen groen'!$S$121:$S$272,0)+120,0)</f>
        <v/>
      </c>
    </row>
    <row r="175" hidden="1" s="402">
      <c r="A175" s="102">
        <f>IF($L175&gt;0,"+","")</f>
        <v/>
      </c>
      <c r="B175" s="83">
        <f>IFERROR(IF($L175&gt;0,IF(INDEX('Invullen groen'!$F:$F,$L175)&gt;0,INDEX('Invullen groen'!$F:$F,$L175),""),""),"")</f>
        <v/>
      </c>
      <c r="C175" s="83">
        <f>IFERROR(IF($L175&gt;0,IF(INDEX('Invullen groen'!$N:$N,$L175)&gt;0,INDEX('Invullen groen'!$N:$N,$L175),""),""),"")</f>
        <v/>
      </c>
      <c r="D175" s="83" t="n"/>
      <c r="E175" s="83">
        <f>IFERROR(IF(LEN(J175)&lt;=36,J175,IFERROR(LEFT(J175,FIND(CHAR(1),SUBSTITUTE(LEFT(J175,36)," ",CHAR(1),LEN(LEFT(J175,36))-LEN(SUBSTITUTE(LEFT(J175,36)," ",""))))-1),LEFT(J175,36))),"")</f>
        <v/>
      </c>
      <c r="F175" s="103">
        <f>IFERROR(IF($L175&gt;0,IF(INDEX('Invullen groen'!$H:$H,$L175)=0,"",INT(INDEX('Invullen groen'!$H:$H,$L175))),""),"")</f>
        <v/>
      </c>
      <c r="G175" s="103">
        <f>IFERROR(IF($L175&gt;0,IF(INDEX('Invullen groen'!$I:$I,$L175)=0,"",INT(INDEX('Invullen groen'!$I:$I,$L175))),""),"")</f>
        <v/>
      </c>
      <c r="H175" s="103">
        <f>IFERROR(IF($L175&gt;0,IF(INDEX('Invullen groen'!$J:$J,$L175)=0,"",INT(INDEX('Invullen groen'!$J:$J,$L175))),""),"")</f>
        <v/>
      </c>
      <c r="I175" s="103">
        <f>IFERROR(IF($L175&gt;0,IF(INDEX('Invullen groen'!$K:$K,$L175)=0,"",INT(INDEX('Invullen groen'!$K:$K,$L175))),""),"")</f>
        <v/>
      </c>
      <c r="J175" s="83">
        <f>IF($L175&gt;0,IFERROR($K$1&amp;" "&amp;TRIM(SUBSTITUTE(SUBSTITUTE(SUBSTITUTE(SUBSTITUTE(SUBSTITUTE(SUBSTITUTE(SUBSTITUTE(SUBSTITUTE(SUBSTITUTE(SUBSTITUTE(SUBSTITUTE(SUBSTITUTE(LOWER(INDEX('Invullen groen'!$O:$O,$L175)),"2024",""),"2025",""),"2026",""),"2027",""),"2028",""),"2029",""),"taakveld ",""),"installaties","inst"),"ruwbouw","ruwb"),"afbouw","afb"),"bijstelling","bijst"),"investeringen","invest")),""),"")</f>
        <v/>
      </c>
      <c r="K175" s="83" t="n"/>
      <c r="L175" s="83">
        <f>IFERROR(MATCH(ROW()-104,'Invullen groen'!$S$121:$S$272,0)+120,0)</f>
        <v/>
      </c>
    </row>
    <row r="176" hidden="1" s="402">
      <c r="A176" s="102">
        <f>IF($L176&gt;0,"+","")</f>
        <v/>
      </c>
      <c r="B176" s="83">
        <f>IFERROR(IF($L176&gt;0,IF(INDEX('Invullen groen'!$F:$F,$L176)&gt;0,INDEX('Invullen groen'!$F:$F,$L176),""),""),"")</f>
        <v/>
      </c>
      <c r="C176" s="83">
        <f>IFERROR(IF($L176&gt;0,IF(INDEX('Invullen groen'!$N:$N,$L176)&gt;0,INDEX('Invullen groen'!$N:$N,$L176),""),""),"")</f>
        <v/>
      </c>
      <c r="D176" s="83" t="n"/>
      <c r="E176" s="83">
        <f>IFERROR(IF(LEN(J176)&lt;=36,J176,IFERROR(LEFT(J176,FIND(CHAR(1),SUBSTITUTE(LEFT(J176,36)," ",CHAR(1),LEN(LEFT(J176,36))-LEN(SUBSTITUTE(LEFT(J176,36)," ",""))))-1),LEFT(J176,36))),"")</f>
        <v/>
      </c>
      <c r="F176" s="103">
        <f>IFERROR(IF($L176&gt;0,IF(INDEX('Invullen groen'!$H:$H,$L176)=0,"",INT(INDEX('Invullen groen'!$H:$H,$L176))),""),"")</f>
        <v/>
      </c>
      <c r="G176" s="103">
        <f>IFERROR(IF($L176&gt;0,IF(INDEX('Invullen groen'!$I:$I,$L176)=0,"",INT(INDEX('Invullen groen'!$I:$I,$L176))),""),"")</f>
        <v/>
      </c>
      <c r="H176" s="103">
        <f>IFERROR(IF($L176&gt;0,IF(INDEX('Invullen groen'!$J:$J,$L176)=0,"",INT(INDEX('Invullen groen'!$J:$J,$L176))),""),"")</f>
        <v/>
      </c>
      <c r="I176" s="103">
        <f>IFERROR(IF($L176&gt;0,IF(INDEX('Invullen groen'!$K:$K,$L176)=0,"",INT(INDEX('Invullen groen'!$K:$K,$L176))),""),"")</f>
        <v/>
      </c>
      <c r="J176" s="83">
        <f>IF($L176&gt;0,IFERROR($K$1&amp;" "&amp;TRIM(SUBSTITUTE(SUBSTITUTE(SUBSTITUTE(SUBSTITUTE(SUBSTITUTE(SUBSTITUTE(SUBSTITUTE(SUBSTITUTE(SUBSTITUTE(SUBSTITUTE(SUBSTITUTE(SUBSTITUTE(LOWER(INDEX('Invullen groen'!$O:$O,$L176)),"2024",""),"2025",""),"2026",""),"2027",""),"2028",""),"2029",""),"taakveld ",""),"installaties","inst"),"ruwbouw","ruwb"),"afbouw","afb"),"bijstelling","bijst"),"investeringen","invest")),""),"")</f>
        <v/>
      </c>
      <c r="K176" s="83" t="n"/>
      <c r="L176" s="83">
        <f>IFERROR(MATCH(ROW()-104,'Invullen groen'!$S$121:$S$272,0)+120,0)</f>
        <v/>
      </c>
    </row>
    <row r="177" hidden="1" s="402">
      <c r="A177" s="102">
        <f>IF($L177&gt;0,"+","")</f>
        <v/>
      </c>
      <c r="B177" s="83">
        <f>IFERROR(IF($L177&gt;0,IF(INDEX('Invullen groen'!$F:$F,$L177)&gt;0,INDEX('Invullen groen'!$F:$F,$L177),""),""),"")</f>
        <v/>
      </c>
      <c r="C177" s="83">
        <f>IFERROR(IF($L177&gt;0,IF(INDEX('Invullen groen'!$N:$N,$L177)&gt;0,INDEX('Invullen groen'!$N:$N,$L177),""),""),"")</f>
        <v/>
      </c>
      <c r="D177" s="83" t="n"/>
      <c r="E177" s="83">
        <f>IFERROR(IF(LEN(J177)&lt;=36,J177,IFERROR(LEFT(J177,FIND(CHAR(1),SUBSTITUTE(LEFT(J177,36)," ",CHAR(1),LEN(LEFT(J177,36))-LEN(SUBSTITUTE(LEFT(J177,36)," ",""))))-1),LEFT(J177,36))),"")</f>
        <v/>
      </c>
      <c r="F177" s="103">
        <f>IFERROR(IF($L177&gt;0,IF(INDEX('Invullen groen'!$H:$H,$L177)=0,"",INT(INDEX('Invullen groen'!$H:$H,$L177))),""),"")</f>
        <v/>
      </c>
      <c r="G177" s="103">
        <f>IFERROR(IF($L177&gt;0,IF(INDEX('Invullen groen'!$I:$I,$L177)=0,"",INT(INDEX('Invullen groen'!$I:$I,$L177))),""),"")</f>
        <v/>
      </c>
      <c r="H177" s="103">
        <f>IFERROR(IF($L177&gt;0,IF(INDEX('Invullen groen'!$J:$J,$L177)=0,"",INT(INDEX('Invullen groen'!$J:$J,$L177))),""),"")</f>
        <v/>
      </c>
      <c r="I177" s="103">
        <f>IFERROR(IF($L177&gt;0,IF(INDEX('Invullen groen'!$K:$K,$L177)=0,"",INT(INDEX('Invullen groen'!$K:$K,$L177))),""),"")</f>
        <v/>
      </c>
      <c r="J177" s="83">
        <f>IF($L177&gt;0,IFERROR($K$1&amp;" "&amp;TRIM(SUBSTITUTE(SUBSTITUTE(SUBSTITUTE(SUBSTITUTE(SUBSTITUTE(SUBSTITUTE(SUBSTITUTE(SUBSTITUTE(SUBSTITUTE(SUBSTITUTE(SUBSTITUTE(SUBSTITUTE(LOWER(INDEX('Invullen groen'!$O:$O,$L177)),"2024",""),"2025",""),"2026",""),"2027",""),"2028",""),"2029",""),"taakveld ",""),"installaties","inst"),"ruwbouw","ruwb"),"afbouw","afb"),"bijstelling","bijst"),"investeringen","invest")),""),"")</f>
        <v/>
      </c>
      <c r="K177" s="83" t="n"/>
      <c r="L177" s="83">
        <f>IFERROR(MATCH(ROW()-104,'Invullen groen'!$S$121:$S$272,0)+120,0)</f>
        <v/>
      </c>
    </row>
    <row r="178" hidden="1" s="402">
      <c r="A178" s="102">
        <f>IF($L178&gt;0,"+","")</f>
        <v/>
      </c>
      <c r="B178" s="83">
        <f>IFERROR(IF($L178&gt;0,IF(INDEX('Invullen groen'!$F:$F,$L178)&gt;0,INDEX('Invullen groen'!$F:$F,$L178),""),""),"")</f>
        <v/>
      </c>
      <c r="C178" s="83">
        <f>IFERROR(IF($L178&gt;0,IF(INDEX('Invullen groen'!$N:$N,$L178)&gt;0,INDEX('Invullen groen'!$N:$N,$L178),""),""),"")</f>
        <v/>
      </c>
      <c r="D178" s="83" t="n"/>
      <c r="E178" s="83">
        <f>IFERROR(IF(LEN(J178)&lt;=36,J178,IFERROR(LEFT(J178,FIND(CHAR(1),SUBSTITUTE(LEFT(J178,36)," ",CHAR(1),LEN(LEFT(J178,36))-LEN(SUBSTITUTE(LEFT(J178,36)," ",""))))-1),LEFT(J178,36))),"")</f>
        <v/>
      </c>
      <c r="F178" s="103">
        <f>IFERROR(IF($L178&gt;0,IF(INDEX('Invullen groen'!$H:$H,$L178)=0,"",INT(INDEX('Invullen groen'!$H:$H,$L178))),""),"")</f>
        <v/>
      </c>
      <c r="G178" s="103">
        <f>IFERROR(IF($L178&gt;0,IF(INDEX('Invullen groen'!$I:$I,$L178)=0,"",INT(INDEX('Invullen groen'!$I:$I,$L178))),""),"")</f>
        <v/>
      </c>
      <c r="H178" s="103">
        <f>IFERROR(IF($L178&gt;0,IF(INDEX('Invullen groen'!$J:$J,$L178)=0,"",INT(INDEX('Invullen groen'!$J:$J,$L178))),""),"")</f>
        <v/>
      </c>
      <c r="I178" s="103">
        <f>IFERROR(IF($L178&gt;0,IF(INDEX('Invullen groen'!$K:$K,$L178)=0,"",INT(INDEX('Invullen groen'!$K:$K,$L178))),""),"")</f>
        <v/>
      </c>
      <c r="J178" s="83">
        <f>IF($L178&gt;0,IFERROR($K$1&amp;" "&amp;TRIM(SUBSTITUTE(SUBSTITUTE(SUBSTITUTE(SUBSTITUTE(SUBSTITUTE(SUBSTITUTE(SUBSTITUTE(SUBSTITUTE(SUBSTITUTE(SUBSTITUTE(SUBSTITUTE(SUBSTITUTE(LOWER(INDEX('Invullen groen'!$O:$O,$L178)),"2024",""),"2025",""),"2026",""),"2027",""),"2028",""),"2029",""),"taakveld ",""),"installaties","inst"),"ruwbouw","ruwb"),"afbouw","afb"),"bijstelling","bijst"),"investeringen","invest")),""),"")</f>
        <v/>
      </c>
      <c r="K178" s="83" t="n"/>
      <c r="L178" s="83">
        <f>IFERROR(MATCH(ROW()-104,'Invullen groen'!$S$121:$S$272,0)+120,0)</f>
        <v/>
      </c>
    </row>
    <row r="179" hidden="1" s="402">
      <c r="A179" s="102">
        <f>IF($L179&gt;0,"+","")</f>
        <v/>
      </c>
      <c r="B179" s="83">
        <f>IFERROR(IF($L179&gt;0,IF(INDEX('Invullen groen'!$F:$F,$L179)&gt;0,INDEX('Invullen groen'!$F:$F,$L179),""),""),"")</f>
        <v/>
      </c>
      <c r="C179" s="83">
        <f>IFERROR(IF($L179&gt;0,IF(INDEX('Invullen groen'!$N:$N,$L179)&gt;0,INDEX('Invullen groen'!$N:$N,$L179),""),""),"")</f>
        <v/>
      </c>
      <c r="D179" s="83" t="n"/>
      <c r="E179" s="83">
        <f>IFERROR(IF(LEN(J179)&lt;=36,J179,IFERROR(LEFT(J179,FIND(CHAR(1),SUBSTITUTE(LEFT(J179,36)," ",CHAR(1),LEN(LEFT(J179,36))-LEN(SUBSTITUTE(LEFT(J179,36)," ",""))))-1),LEFT(J179,36))),"")</f>
        <v/>
      </c>
      <c r="F179" s="103">
        <f>IFERROR(IF($L179&gt;0,IF(INDEX('Invullen groen'!$H:$H,$L179)=0,"",INT(INDEX('Invullen groen'!$H:$H,$L179))),""),"")</f>
        <v/>
      </c>
      <c r="G179" s="103">
        <f>IFERROR(IF($L179&gt;0,IF(INDEX('Invullen groen'!$I:$I,$L179)=0,"",INT(INDEX('Invullen groen'!$I:$I,$L179))),""),"")</f>
        <v/>
      </c>
      <c r="H179" s="103">
        <f>IFERROR(IF($L179&gt;0,IF(INDEX('Invullen groen'!$J:$J,$L179)=0,"",INT(INDEX('Invullen groen'!$J:$J,$L179))),""),"")</f>
        <v/>
      </c>
      <c r="I179" s="103">
        <f>IFERROR(IF($L179&gt;0,IF(INDEX('Invullen groen'!$K:$K,$L179)=0,"",INT(INDEX('Invullen groen'!$K:$K,$L179))),""),"")</f>
        <v/>
      </c>
      <c r="J179" s="83">
        <f>IF($L179&gt;0,IFERROR($K$1&amp;" "&amp;TRIM(SUBSTITUTE(SUBSTITUTE(SUBSTITUTE(SUBSTITUTE(SUBSTITUTE(SUBSTITUTE(SUBSTITUTE(SUBSTITUTE(SUBSTITUTE(SUBSTITUTE(SUBSTITUTE(SUBSTITUTE(LOWER(INDEX('Invullen groen'!$O:$O,$L179)),"2024",""),"2025",""),"2026",""),"2027",""),"2028",""),"2029",""),"taakveld ",""),"installaties","inst"),"ruwbouw","ruwb"),"afbouw","afb"),"bijstelling","bijst"),"investeringen","invest")),""),"")</f>
        <v/>
      </c>
      <c r="K179" s="83" t="n"/>
      <c r="L179" s="83">
        <f>IFERROR(MATCH(ROW()-104,'Invullen groen'!$S$121:$S$272,0)+120,0)</f>
        <v/>
      </c>
    </row>
    <row r="180" hidden="1" s="402">
      <c r="A180" s="102">
        <f>IF($L180&gt;0,"+","")</f>
        <v/>
      </c>
      <c r="B180" s="83">
        <f>IFERROR(IF($L180&gt;0,IF(INDEX('Invullen groen'!$F:$F,$L180)&gt;0,INDEX('Invullen groen'!$F:$F,$L180),""),""),"")</f>
        <v/>
      </c>
      <c r="C180" s="83">
        <f>IFERROR(IF($L180&gt;0,IF(INDEX('Invullen groen'!$N:$N,$L180)&gt;0,INDEX('Invullen groen'!$N:$N,$L180),""),""),"")</f>
        <v/>
      </c>
      <c r="D180" s="83" t="n"/>
      <c r="E180" s="83">
        <f>IFERROR(IF(LEN(J180)&lt;=36,J180,IFERROR(LEFT(J180,FIND(CHAR(1),SUBSTITUTE(LEFT(J180,36)," ",CHAR(1),LEN(LEFT(J180,36))-LEN(SUBSTITUTE(LEFT(J180,36)," ",""))))-1),LEFT(J180,36))),"")</f>
        <v/>
      </c>
      <c r="F180" s="103">
        <f>IFERROR(IF($L180&gt;0,IF(INDEX('Invullen groen'!$H:$H,$L180)=0,"",INT(INDEX('Invullen groen'!$H:$H,$L180))),""),"")</f>
        <v/>
      </c>
      <c r="G180" s="103">
        <f>IFERROR(IF($L180&gt;0,IF(INDEX('Invullen groen'!$I:$I,$L180)=0,"",INT(INDEX('Invullen groen'!$I:$I,$L180))),""),"")</f>
        <v/>
      </c>
      <c r="H180" s="103">
        <f>IFERROR(IF($L180&gt;0,IF(INDEX('Invullen groen'!$J:$J,$L180)=0,"",INT(INDEX('Invullen groen'!$J:$J,$L180))),""),"")</f>
        <v/>
      </c>
      <c r="I180" s="103">
        <f>IFERROR(IF($L180&gt;0,IF(INDEX('Invullen groen'!$K:$K,$L180)=0,"",INT(INDEX('Invullen groen'!$K:$K,$L180))),""),"")</f>
        <v/>
      </c>
      <c r="J180" s="83">
        <f>IF($L180&gt;0,IFERROR($K$1&amp;" "&amp;TRIM(SUBSTITUTE(SUBSTITUTE(SUBSTITUTE(SUBSTITUTE(SUBSTITUTE(SUBSTITUTE(SUBSTITUTE(SUBSTITUTE(SUBSTITUTE(SUBSTITUTE(SUBSTITUTE(SUBSTITUTE(LOWER(INDEX('Invullen groen'!$O:$O,$L180)),"2024",""),"2025",""),"2026",""),"2027",""),"2028",""),"2029",""),"taakveld ",""),"installaties","inst"),"ruwbouw","ruwb"),"afbouw","afb"),"bijstelling","bijst"),"investeringen","invest")),""),"")</f>
        <v/>
      </c>
      <c r="K180" s="83" t="n"/>
      <c r="L180" s="83">
        <f>IFERROR(MATCH(ROW()-104,'Invullen groen'!$S$121:$S$272,0)+120,0)</f>
        <v/>
      </c>
    </row>
    <row r="181" hidden="1" s="402">
      <c r="A181" s="102">
        <f>IF($L181&gt;0,"+","")</f>
        <v/>
      </c>
      <c r="B181" s="83">
        <f>IFERROR(IF($L181&gt;0,IF(INDEX('Invullen groen'!$F:$F,$L181)&gt;0,INDEX('Invullen groen'!$F:$F,$L181),""),""),"")</f>
        <v/>
      </c>
      <c r="C181" s="83">
        <f>IFERROR(IF($L181&gt;0,IF(INDEX('Invullen groen'!$N:$N,$L181)&gt;0,INDEX('Invullen groen'!$N:$N,$L181),""),""),"")</f>
        <v/>
      </c>
      <c r="D181" s="83" t="n"/>
      <c r="E181" s="83">
        <f>IFERROR(IF(LEN(J181)&lt;=36,J181,IFERROR(LEFT(J181,FIND(CHAR(1),SUBSTITUTE(LEFT(J181,36)," ",CHAR(1),LEN(LEFT(J181,36))-LEN(SUBSTITUTE(LEFT(J181,36)," ",""))))-1),LEFT(J181,36))),"")</f>
        <v/>
      </c>
      <c r="F181" s="103">
        <f>IFERROR(IF($L181&gt;0,IF(INDEX('Invullen groen'!$H:$H,$L181)=0,"",INT(INDEX('Invullen groen'!$H:$H,$L181))),""),"")</f>
        <v/>
      </c>
      <c r="G181" s="103">
        <f>IFERROR(IF($L181&gt;0,IF(INDEX('Invullen groen'!$I:$I,$L181)=0,"",INT(INDEX('Invullen groen'!$I:$I,$L181))),""),"")</f>
        <v/>
      </c>
      <c r="H181" s="103">
        <f>IFERROR(IF($L181&gt;0,IF(INDEX('Invullen groen'!$J:$J,$L181)=0,"",INT(INDEX('Invullen groen'!$J:$J,$L181))),""),"")</f>
        <v/>
      </c>
      <c r="I181" s="103">
        <f>IFERROR(IF($L181&gt;0,IF(INDEX('Invullen groen'!$K:$K,$L181)=0,"",INT(INDEX('Invullen groen'!$K:$K,$L181))),""),"")</f>
        <v/>
      </c>
      <c r="J181" s="83">
        <f>IF($L181&gt;0,IFERROR($K$1&amp;" "&amp;TRIM(SUBSTITUTE(SUBSTITUTE(SUBSTITUTE(SUBSTITUTE(SUBSTITUTE(SUBSTITUTE(SUBSTITUTE(SUBSTITUTE(SUBSTITUTE(SUBSTITUTE(SUBSTITUTE(SUBSTITUTE(LOWER(INDEX('Invullen groen'!$O:$O,$L181)),"2024",""),"2025",""),"2026",""),"2027",""),"2028",""),"2029",""),"taakveld ",""),"installaties","inst"),"ruwbouw","ruwb"),"afbouw","afb"),"bijstelling","bijst"),"investeringen","invest")),""),"")</f>
        <v/>
      </c>
      <c r="K181" s="83" t="n"/>
      <c r="L181" s="83">
        <f>IFERROR(MATCH(ROW()-104,'Invullen groen'!$S$121:$S$272,0)+120,0)</f>
        <v/>
      </c>
    </row>
    <row r="182" hidden="1" s="402">
      <c r="A182" s="102">
        <f>IF($L182&gt;0,"+","")</f>
        <v/>
      </c>
      <c r="B182" s="83">
        <f>IFERROR(IF($L182&gt;0,IF(INDEX('Invullen groen'!$F:$F,$L182)&gt;0,INDEX('Invullen groen'!$F:$F,$L182),""),""),"")</f>
        <v/>
      </c>
      <c r="C182" s="83">
        <f>IFERROR(IF($L182&gt;0,IF(INDEX('Invullen groen'!$N:$N,$L182)&gt;0,INDEX('Invullen groen'!$N:$N,$L182),""),""),"")</f>
        <v/>
      </c>
      <c r="D182" s="83" t="n"/>
      <c r="E182" s="83">
        <f>IFERROR(IF(LEN(J182)&lt;=36,J182,IFERROR(LEFT(J182,FIND(CHAR(1),SUBSTITUTE(LEFT(J182,36)," ",CHAR(1),LEN(LEFT(J182,36))-LEN(SUBSTITUTE(LEFT(J182,36)," ",""))))-1),LEFT(J182,36))),"")</f>
        <v/>
      </c>
      <c r="F182" s="103">
        <f>IFERROR(IF($L182&gt;0,IF(INDEX('Invullen groen'!$H:$H,$L182)=0,"",INT(INDEX('Invullen groen'!$H:$H,$L182))),""),"")</f>
        <v/>
      </c>
      <c r="G182" s="103">
        <f>IFERROR(IF($L182&gt;0,IF(INDEX('Invullen groen'!$I:$I,$L182)=0,"",INT(INDEX('Invullen groen'!$I:$I,$L182))),""),"")</f>
        <v/>
      </c>
      <c r="H182" s="103">
        <f>IFERROR(IF($L182&gt;0,IF(INDEX('Invullen groen'!$J:$J,$L182)=0,"",INT(INDEX('Invullen groen'!$J:$J,$L182))),""),"")</f>
        <v/>
      </c>
      <c r="I182" s="103">
        <f>IFERROR(IF($L182&gt;0,IF(INDEX('Invullen groen'!$K:$K,$L182)=0,"",INT(INDEX('Invullen groen'!$K:$K,$L182))),""),"")</f>
        <v/>
      </c>
      <c r="J182" s="83">
        <f>IF($L182&gt;0,IFERROR($K$1&amp;" "&amp;TRIM(SUBSTITUTE(SUBSTITUTE(SUBSTITUTE(SUBSTITUTE(SUBSTITUTE(SUBSTITUTE(SUBSTITUTE(SUBSTITUTE(SUBSTITUTE(SUBSTITUTE(SUBSTITUTE(SUBSTITUTE(LOWER(INDEX('Invullen groen'!$O:$O,$L182)),"2024",""),"2025",""),"2026",""),"2027",""),"2028",""),"2029",""),"taakveld ",""),"installaties","inst"),"ruwbouw","ruwb"),"afbouw","afb"),"bijstelling","bijst"),"investeringen","invest")),""),"")</f>
        <v/>
      </c>
      <c r="K182" s="83" t="n"/>
      <c r="L182" s="83">
        <f>IFERROR(MATCH(ROW()-104,'Invullen groen'!$S$121:$S$272,0)+120,0)</f>
        <v/>
      </c>
    </row>
    <row r="183" hidden="1" s="402">
      <c r="A183" s="102">
        <f>IF($L183&gt;0,"+","")</f>
        <v/>
      </c>
      <c r="B183" s="83">
        <f>IFERROR(IF($L183&gt;0,IF(INDEX('Invullen groen'!$F:$F,$L183)&gt;0,INDEX('Invullen groen'!$F:$F,$L183),""),""),"")</f>
        <v/>
      </c>
      <c r="C183" s="83">
        <f>IFERROR(IF($L183&gt;0,IF(INDEX('Invullen groen'!$N:$N,$L183)&gt;0,INDEX('Invullen groen'!$N:$N,$L183),""),""),"")</f>
        <v/>
      </c>
      <c r="D183" s="83" t="n"/>
      <c r="E183" s="83">
        <f>IFERROR(IF(LEN(J183)&lt;=36,J183,IFERROR(LEFT(J183,FIND(CHAR(1),SUBSTITUTE(LEFT(J183,36)," ",CHAR(1),LEN(LEFT(J183,36))-LEN(SUBSTITUTE(LEFT(J183,36)," ",""))))-1),LEFT(J183,36))),"")</f>
        <v/>
      </c>
      <c r="F183" s="103">
        <f>IFERROR(IF($L183&gt;0,IF(INDEX('Invullen groen'!$H:$H,$L183)=0,"",INT(INDEX('Invullen groen'!$H:$H,$L183))),""),"")</f>
        <v/>
      </c>
      <c r="G183" s="103">
        <f>IFERROR(IF($L183&gt;0,IF(INDEX('Invullen groen'!$I:$I,$L183)=0,"",INT(INDEX('Invullen groen'!$I:$I,$L183))),""),"")</f>
        <v/>
      </c>
      <c r="H183" s="103">
        <f>IFERROR(IF($L183&gt;0,IF(INDEX('Invullen groen'!$J:$J,$L183)=0,"",INT(INDEX('Invullen groen'!$J:$J,$L183))),""),"")</f>
        <v/>
      </c>
      <c r="I183" s="103">
        <f>IFERROR(IF($L183&gt;0,IF(INDEX('Invullen groen'!$K:$K,$L183)=0,"",INT(INDEX('Invullen groen'!$K:$K,$L183))),""),"")</f>
        <v/>
      </c>
      <c r="J183" s="83">
        <f>IF($L183&gt;0,IFERROR($K$1&amp;" "&amp;TRIM(SUBSTITUTE(SUBSTITUTE(SUBSTITUTE(SUBSTITUTE(SUBSTITUTE(SUBSTITUTE(SUBSTITUTE(SUBSTITUTE(SUBSTITUTE(SUBSTITUTE(SUBSTITUTE(SUBSTITUTE(LOWER(INDEX('Invullen groen'!$O:$O,$L183)),"2024",""),"2025",""),"2026",""),"2027",""),"2028",""),"2029",""),"taakveld ",""),"installaties","inst"),"ruwbouw","ruwb"),"afbouw","afb"),"bijstelling","bijst"),"investeringen","invest")),""),"")</f>
        <v/>
      </c>
      <c r="K183" s="83" t="n"/>
      <c r="L183" s="83">
        <f>IFERROR(MATCH(ROW()-104,'Invullen groen'!$S$121:$S$272,0)+120,0)</f>
        <v/>
      </c>
    </row>
    <row r="184" hidden="1" s="402">
      <c r="A184" s="102">
        <f>IF($L184&gt;0,"+","")</f>
        <v/>
      </c>
      <c r="B184" s="83">
        <f>IFERROR(IF($L184&gt;0,IF(INDEX('Invullen groen'!$F:$F,$L184)&gt;0,INDEX('Invullen groen'!$F:$F,$L184),""),""),"")</f>
        <v/>
      </c>
      <c r="C184" s="83">
        <f>IFERROR(IF($L184&gt;0,IF(INDEX('Invullen groen'!$N:$N,$L184)&gt;0,INDEX('Invullen groen'!$N:$N,$L184),""),""),"")</f>
        <v/>
      </c>
      <c r="D184" s="83" t="n"/>
      <c r="E184" s="83">
        <f>IFERROR(IF(LEN(J184)&lt;=36,J184,IFERROR(LEFT(J184,FIND(CHAR(1),SUBSTITUTE(LEFT(J184,36)," ",CHAR(1),LEN(LEFT(J184,36))-LEN(SUBSTITUTE(LEFT(J184,36)," ",""))))-1),LEFT(J184,36))),"")</f>
        <v/>
      </c>
      <c r="F184" s="103">
        <f>IFERROR(IF($L184&gt;0,IF(INDEX('Invullen groen'!$H:$H,$L184)=0,"",INT(INDEX('Invullen groen'!$H:$H,$L184))),""),"")</f>
        <v/>
      </c>
      <c r="G184" s="103">
        <f>IFERROR(IF($L184&gt;0,IF(INDEX('Invullen groen'!$I:$I,$L184)=0,"",INT(INDEX('Invullen groen'!$I:$I,$L184))),""),"")</f>
        <v/>
      </c>
      <c r="H184" s="103">
        <f>IFERROR(IF($L184&gt;0,IF(INDEX('Invullen groen'!$J:$J,$L184)=0,"",INT(INDEX('Invullen groen'!$J:$J,$L184))),""),"")</f>
        <v/>
      </c>
      <c r="I184" s="103">
        <f>IFERROR(IF($L184&gt;0,IF(INDEX('Invullen groen'!$K:$K,$L184)=0,"",INT(INDEX('Invullen groen'!$K:$K,$L184))),""),"")</f>
        <v/>
      </c>
      <c r="J184" s="83">
        <f>IF($L184&gt;0,IFERROR($K$1&amp;" "&amp;TRIM(SUBSTITUTE(SUBSTITUTE(SUBSTITUTE(SUBSTITUTE(SUBSTITUTE(SUBSTITUTE(SUBSTITUTE(SUBSTITUTE(SUBSTITUTE(SUBSTITUTE(SUBSTITUTE(SUBSTITUTE(LOWER(INDEX('Invullen groen'!$O:$O,$L184)),"2024",""),"2025",""),"2026",""),"2027",""),"2028",""),"2029",""),"taakveld ",""),"installaties","inst"),"ruwbouw","ruwb"),"afbouw","afb"),"bijstelling","bijst"),"investeringen","invest")),""),"")</f>
        <v/>
      </c>
      <c r="K184" s="83" t="n"/>
      <c r="L184" s="83">
        <f>IFERROR(MATCH(ROW()-104,'Invullen groen'!$S$121:$S$272,0)+120,0)</f>
        <v/>
      </c>
    </row>
    <row r="185" hidden="1" s="402">
      <c r="A185" s="102">
        <f>IF($L185&gt;0,"+","")</f>
        <v/>
      </c>
      <c r="B185" s="83">
        <f>IFERROR(IF($L185&gt;0,IF(INDEX('Invullen groen'!$F:$F,$L185)&gt;0,INDEX('Invullen groen'!$F:$F,$L185),""),""),"")</f>
        <v/>
      </c>
      <c r="C185" s="83">
        <f>IFERROR(IF($L185&gt;0,IF(INDEX('Invullen groen'!$N:$N,$L185)&gt;0,INDEX('Invullen groen'!$N:$N,$L185),""),""),"")</f>
        <v/>
      </c>
      <c r="D185" s="83" t="n"/>
      <c r="E185" s="83">
        <f>IFERROR(IF(LEN(J185)&lt;=36,J185,IFERROR(LEFT(J185,FIND(CHAR(1),SUBSTITUTE(LEFT(J185,36)," ",CHAR(1),LEN(LEFT(J185,36))-LEN(SUBSTITUTE(LEFT(J185,36)," ",""))))-1),LEFT(J185,36))),"")</f>
        <v/>
      </c>
      <c r="F185" s="103">
        <f>IFERROR(IF($L185&gt;0,IF(INDEX('Invullen groen'!$H:$H,$L185)=0,"",INT(INDEX('Invullen groen'!$H:$H,$L185))),""),"")</f>
        <v/>
      </c>
      <c r="G185" s="103">
        <f>IFERROR(IF($L185&gt;0,IF(INDEX('Invullen groen'!$I:$I,$L185)=0,"",INT(INDEX('Invullen groen'!$I:$I,$L185))),""),"")</f>
        <v/>
      </c>
      <c r="H185" s="103">
        <f>IFERROR(IF($L185&gt;0,IF(INDEX('Invullen groen'!$J:$J,$L185)=0,"",INT(INDEX('Invullen groen'!$J:$J,$L185))),""),"")</f>
        <v/>
      </c>
      <c r="I185" s="103">
        <f>IFERROR(IF($L185&gt;0,IF(INDEX('Invullen groen'!$K:$K,$L185)=0,"",INT(INDEX('Invullen groen'!$K:$K,$L185))),""),"")</f>
        <v/>
      </c>
      <c r="J185" s="83">
        <f>IF($L185&gt;0,IFERROR($K$1&amp;" "&amp;TRIM(SUBSTITUTE(SUBSTITUTE(SUBSTITUTE(SUBSTITUTE(SUBSTITUTE(SUBSTITUTE(SUBSTITUTE(SUBSTITUTE(SUBSTITUTE(SUBSTITUTE(SUBSTITUTE(SUBSTITUTE(LOWER(INDEX('Invullen groen'!$O:$O,$L185)),"2024",""),"2025",""),"2026",""),"2027",""),"2028",""),"2029",""),"taakveld ",""),"installaties","inst"),"ruwbouw","ruwb"),"afbouw","afb"),"bijstelling","bijst"),"investeringen","invest")),""),"")</f>
        <v/>
      </c>
      <c r="K185" s="83" t="n"/>
      <c r="L185" s="83">
        <f>IFERROR(MATCH(ROW()-104,'Invullen groen'!$S$121:$S$272,0)+120,0)</f>
        <v/>
      </c>
    </row>
    <row r="186" hidden="1" s="402">
      <c r="A186" s="102">
        <f>IF($L186&gt;0,"+","")</f>
        <v/>
      </c>
      <c r="B186" s="83">
        <f>IFERROR(IF($L186&gt;0,IF(INDEX('Invullen groen'!$F:$F,$L186)&gt;0,INDEX('Invullen groen'!$F:$F,$L186),""),""),"")</f>
        <v/>
      </c>
      <c r="C186" s="83">
        <f>IFERROR(IF($L186&gt;0,IF(INDEX('Invullen groen'!$N:$N,$L186)&gt;0,INDEX('Invullen groen'!$N:$N,$L186),""),""),"")</f>
        <v/>
      </c>
      <c r="D186" s="83" t="n"/>
      <c r="E186" s="83">
        <f>IFERROR(IF(LEN(J186)&lt;=36,J186,IFERROR(LEFT(J186,FIND(CHAR(1),SUBSTITUTE(LEFT(J186,36)," ",CHAR(1),LEN(LEFT(J186,36))-LEN(SUBSTITUTE(LEFT(J186,36)," ",""))))-1),LEFT(J186,36))),"")</f>
        <v/>
      </c>
      <c r="F186" s="103">
        <f>IFERROR(IF($L186&gt;0,IF(INDEX('Invullen groen'!$H:$H,$L186)=0,"",INT(INDEX('Invullen groen'!$H:$H,$L186))),""),"")</f>
        <v/>
      </c>
      <c r="G186" s="103">
        <f>IFERROR(IF($L186&gt;0,IF(INDEX('Invullen groen'!$I:$I,$L186)=0,"",INT(INDEX('Invullen groen'!$I:$I,$L186))),""),"")</f>
        <v/>
      </c>
      <c r="H186" s="103">
        <f>IFERROR(IF($L186&gt;0,IF(INDEX('Invullen groen'!$J:$J,$L186)=0,"",INT(INDEX('Invullen groen'!$J:$J,$L186))),""),"")</f>
        <v/>
      </c>
      <c r="I186" s="103">
        <f>IFERROR(IF($L186&gt;0,IF(INDEX('Invullen groen'!$K:$K,$L186)=0,"",INT(INDEX('Invullen groen'!$K:$K,$L186))),""),"")</f>
        <v/>
      </c>
      <c r="J186" s="83">
        <f>IF($L186&gt;0,IFERROR($K$1&amp;" "&amp;TRIM(SUBSTITUTE(SUBSTITUTE(SUBSTITUTE(SUBSTITUTE(SUBSTITUTE(SUBSTITUTE(SUBSTITUTE(SUBSTITUTE(SUBSTITUTE(SUBSTITUTE(SUBSTITUTE(SUBSTITUTE(LOWER(INDEX('Invullen groen'!$O:$O,$L186)),"2024",""),"2025",""),"2026",""),"2027",""),"2028",""),"2029",""),"taakveld ",""),"installaties","inst"),"ruwbouw","ruwb"),"afbouw","afb"),"bijstelling","bijst"),"investeringen","invest")),""),"")</f>
        <v/>
      </c>
      <c r="K186" s="83" t="n"/>
      <c r="L186" s="83">
        <f>IFERROR(MATCH(ROW()-104,'Invullen groen'!$S$121:$S$272,0)+120,0)</f>
        <v/>
      </c>
    </row>
    <row r="187" hidden="1" s="402">
      <c r="A187" s="102">
        <f>IF($L187&gt;0,"+","")</f>
        <v/>
      </c>
      <c r="B187" s="83">
        <f>IFERROR(IF($L187&gt;0,IF(INDEX('Invullen groen'!$F:$F,$L187)&gt;0,INDEX('Invullen groen'!$F:$F,$L187),""),""),"")</f>
        <v/>
      </c>
      <c r="C187" s="83">
        <f>IFERROR(IF($L187&gt;0,IF(INDEX('Invullen groen'!$N:$N,$L187)&gt;0,INDEX('Invullen groen'!$N:$N,$L187),""),""),"")</f>
        <v/>
      </c>
      <c r="D187" s="83" t="n"/>
      <c r="E187" s="83">
        <f>IFERROR(IF(LEN(J187)&lt;=36,J187,IFERROR(LEFT(J187,FIND(CHAR(1),SUBSTITUTE(LEFT(J187,36)," ",CHAR(1),LEN(LEFT(J187,36))-LEN(SUBSTITUTE(LEFT(J187,36)," ",""))))-1),LEFT(J187,36))),"")</f>
        <v/>
      </c>
      <c r="F187" s="103">
        <f>IFERROR(IF($L187&gt;0,IF(INDEX('Invullen groen'!$H:$H,$L187)=0,"",INT(INDEX('Invullen groen'!$H:$H,$L187))),""),"")</f>
        <v/>
      </c>
      <c r="G187" s="103">
        <f>IFERROR(IF($L187&gt;0,IF(INDEX('Invullen groen'!$I:$I,$L187)=0,"",INT(INDEX('Invullen groen'!$I:$I,$L187))),""),"")</f>
        <v/>
      </c>
      <c r="H187" s="103">
        <f>IFERROR(IF($L187&gt;0,IF(INDEX('Invullen groen'!$J:$J,$L187)=0,"",INT(INDEX('Invullen groen'!$J:$J,$L187))),""),"")</f>
        <v/>
      </c>
      <c r="I187" s="103">
        <f>IFERROR(IF($L187&gt;0,IF(INDEX('Invullen groen'!$K:$K,$L187)=0,"",INT(INDEX('Invullen groen'!$K:$K,$L187))),""),"")</f>
        <v/>
      </c>
      <c r="J187" s="83">
        <f>IF($L187&gt;0,IFERROR($K$1&amp;" "&amp;TRIM(SUBSTITUTE(SUBSTITUTE(SUBSTITUTE(SUBSTITUTE(SUBSTITUTE(SUBSTITUTE(SUBSTITUTE(SUBSTITUTE(SUBSTITUTE(SUBSTITUTE(SUBSTITUTE(SUBSTITUTE(LOWER(INDEX('Invullen groen'!$O:$O,$L187)),"2024",""),"2025",""),"2026",""),"2027",""),"2028",""),"2029",""),"taakveld ",""),"installaties","inst"),"ruwbouw","ruwb"),"afbouw","afb"),"bijstelling","bijst"),"investeringen","invest")),""),"")</f>
        <v/>
      </c>
      <c r="K187" s="83" t="n"/>
      <c r="L187" s="83">
        <f>IFERROR(MATCH(ROW()-104,'Invullen groen'!$S$121:$S$272,0)+120,0)</f>
        <v/>
      </c>
    </row>
    <row r="188" hidden="1" s="402">
      <c r="A188" s="102">
        <f>IF($L188&gt;0,"+","")</f>
        <v/>
      </c>
      <c r="B188" s="83">
        <f>IFERROR(IF($L188&gt;0,IF(INDEX('Invullen groen'!$F:$F,$L188)&gt;0,INDEX('Invullen groen'!$F:$F,$L188),""),""),"")</f>
        <v/>
      </c>
      <c r="C188" s="83">
        <f>IFERROR(IF($L188&gt;0,IF(INDEX('Invullen groen'!$N:$N,$L188)&gt;0,INDEX('Invullen groen'!$N:$N,$L188),""),""),"")</f>
        <v/>
      </c>
      <c r="D188" s="83" t="n"/>
      <c r="E188" s="83">
        <f>IFERROR(IF(LEN(J188)&lt;=36,J188,IFERROR(LEFT(J188,FIND(CHAR(1),SUBSTITUTE(LEFT(J188,36)," ",CHAR(1),LEN(LEFT(J188,36))-LEN(SUBSTITUTE(LEFT(J188,36)," ",""))))-1),LEFT(J188,36))),"")</f>
        <v/>
      </c>
      <c r="F188" s="103">
        <f>IFERROR(IF($L188&gt;0,IF(INDEX('Invullen groen'!$H:$H,$L188)=0,"",INT(INDEX('Invullen groen'!$H:$H,$L188))),""),"")</f>
        <v/>
      </c>
      <c r="G188" s="103">
        <f>IFERROR(IF($L188&gt;0,IF(INDEX('Invullen groen'!$I:$I,$L188)=0,"",INT(INDEX('Invullen groen'!$I:$I,$L188))),""),"")</f>
        <v/>
      </c>
      <c r="H188" s="103">
        <f>IFERROR(IF($L188&gt;0,IF(INDEX('Invullen groen'!$J:$J,$L188)=0,"",INT(INDEX('Invullen groen'!$J:$J,$L188))),""),"")</f>
        <v/>
      </c>
      <c r="I188" s="103">
        <f>IFERROR(IF($L188&gt;0,IF(INDEX('Invullen groen'!$K:$K,$L188)=0,"",INT(INDEX('Invullen groen'!$K:$K,$L188))),""),"")</f>
        <v/>
      </c>
      <c r="J188" s="83">
        <f>IF($L188&gt;0,IFERROR($K$1&amp;" "&amp;TRIM(SUBSTITUTE(SUBSTITUTE(SUBSTITUTE(SUBSTITUTE(SUBSTITUTE(SUBSTITUTE(SUBSTITUTE(SUBSTITUTE(SUBSTITUTE(SUBSTITUTE(SUBSTITUTE(SUBSTITUTE(LOWER(INDEX('Invullen groen'!$O:$O,$L188)),"2024",""),"2025",""),"2026",""),"2027",""),"2028",""),"2029",""),"taakveld ",""),"installaties","inst"),"ruwbouw","ruwb"),"afbouw","afb"),"bijstelling","bijst"),"investeringen","invest")),""),"")</f>
        <v/>
      </c>
      <c r="K188" s="83" t="n"/>
      <c r="L188" s="83">
        <f>IFERROR(MATCH(ROW()-104,'Invullen groen'!$S$121:$S$272,0)+120,0)</f>
        <v/>
      </c>
    </row>
    <row r="189" hidden="1" s="402">
      <c r="A189" s="102">
        <f>IF($L189&gt;0,"+","")</f>
        <v/>
      </c>
      <c r="B189" s="83">
        <f>IFERROR(IF($L189&gt;0,IF(INDEX('Invullen groen'!$F:$F,$L189)&gt;0,INDEX('Invullen groen'!$F:$F,$L189),""),""),"")</f>
        <v/>
      </c>
      <c r="C189" s="83">
        <f>IFERROR(IF($L189&gt;0,IF(INDEX('Invullen groen'!$N:$N,$L189)&gt;0,INDEX('Invullen groen'!$N:$N,$L189),""),""),"")</f>
        <v/>
      </c>
      <c r="D189" s="83" t="n"/>
      <c r="E189" s="83">
        <f>IFERROR(IF(LEN(J189)&lt;=36,J189,IFERROR(LEFT(J189,FIND(CHAR(1),SUBSTITUTE(LEFT(J189,36)," ",CHAR(1),LEN(LEFT(J189,36))-LEN(SUBSTITUTE(LEFT(J189,36)," ",""))))-1),LEFT(J189,36))),"")</f>
        <v/>
      </c>
      <c r="F189" s="103">
        <f>IFERROR(IF($L189&gt;0,IF(INDEX('Invullen groen'!$H:$H,$L189)=0,"",INT(INDEX('Invullen groen'!$H:$H,$L189))),""),"")</f>
        <v/>
      </c>
      <c r="G189" s="103">
        <f>IFERROR(IF($L189&gt;0,IF(INDEX('Invullen groen'!$I:$I,$L189)=0,"",INT(INDEX('Invullen groen'!$I:$I,$L189))),""),"")</f>
        <v/>
      </c>
      <c r="H189" s="103">
        <f>IFERROR(IF($L189&gt;0,IF(INDEX('Invullen groen'!$J:$J,$L189)=0,"",INT(INDEX('Invullen groen'!$J:$J,$L189))),""),"")</f>
        <v/>
      </c>
      <c r="I189" s="103">
        <f>IFERROR(IF($L189&gt;0,IF(INDEX('Invullen groen'!$K:$K,$L189)=0,"",INT(INDEX('Invullen groen'!$K:$K,$L189))),""),"")</f>
        <v/>
      </c>
      <c r="J189" s="83">
        <f>IF($L189&gt;0,IFERROR($K$1&amp;" "&amp;TRIM(SUBSTITUTE(SUBSTITUTE(SUBSTITUTE(SUBSTITUTE(SUBSTITUTE(SUBSTITUTE(SUBSTITUTE(SUBSTITUTE(SUBSTITUTE(SUBSTITUTE(SUBSTITUTE(SUBSTITUTE(LOWER(INDEX('Invullen groen'!$O:$O,$L189)),"2024",""),"2025",""),"2026",""),"2027",""),"2028",""),"2029",""),"taakveld ",""),"installaties","inst"),"ruwbouw","ruwb"),"afbouw","afb"),"bijstelling","bijst"),"investeringen","invest")),""),"")</f>
        <v/>
      </c>
      <c r="K189" s="83" t="n"/>
      <c r="L189" s="83">
        <f>IFERROR(MATCH(ROW()-104,'Invullen groen'!$S$121:$S$272,0)+120,0)</f>
        <v/>
      </c>
    </row>
    <row r="190" hidden="1" s="402">
      <c r="A190" s="102">
        <f>IF($L190&gt;0,"+","")</f>
        <v/>
      </c>
      <c r="B190" s="83">
        <f>IFERROR(IF($L190&gt;0,IF(INDEX('Invullen groen'!$F:$F,$L190)&gt;0,INDEX('Invullen groen'!$F:$F,$L190),""),""),"")</f>
        <v/>
      </c>
      <c r="C190" s="83">
        <f>IFERROR(IF($L190&gt;0,IF(INDEX('Invullen groen'!$N:$N,$L190)&gt;0,INDEX('Invullen groen'!$N:$N,$L190),""),""),"")</f>
        <v/>
      </c>
      <c r="D190" s="83" t="n"/>
      <c r="E190" s="83">
        <f>IFERROR(IF(LEN(J190)&lt;=36,J190,IFERROR(LEFT(J190,FIND(CHAR(1),SUBSTITUTE(LEFT(J190,36)," ",CHAR(1),LEN(LEFT(J190,36))-LEN(SUBSTITUTE(LEFT(J190,36)," ",""))))-1),LEFT(J190,36))),"")</f>
        <v/>
      </c>
      <c r="F190" s="103">
        <f>IFERROR(IF($L190&gt;0,IF(INDEX('Invullen groen'!$H:$H,$L190)=0,"",INT(INDEX('Invullen groen'!$H:$H,$L190))),""),"")</f>
        <v/>
      </c>
      <c r="G190" s="103">
        <f>IFERROR(IF($L190&gt;0,IF(INDEX('Invullen groen'!$I:$I,$L190)=0,"",INT(INDEX('Invullen groen'!$I:$I,$L190))),""),"")</f>
        <v/>
      </c>
      <c r="H190" s="103">
        <f>IFERROR(IF($L190&gt;0,IF(INDEX('Invullen groen'!$J:$J,$L190)=0,"",INT(INDEX('Invullen groen'!$J:$J,$L190))),""),"")</f>
        <v/>
      </c>
      <c r="I190" s="103">
        <f>IFERROR(IF($L190&gt;0,IF(INDEX('Invullen groen'!$K:$K,$L190)=0,"",INT(INDEX('Invullen groen'!$K:$K,$L190))),""),"")</f>
        <v/>
      </c>
      <c r="J190" s="83">
        <f>IF($L190&gt;0,IFERROR($K$1&amp;" "&amp;TRIM(SUBSTITUTE(SUBSTITUTE(SUBSTITUTE(SUBSTITUTE(SUBSTITUTE(SUBSTITUTE(SUBSTITUTE(SUBSTITUTE(SUBSTITUTE(SUBSTITUTE(SUBSTITUTE(SUBSTITUTE(LOWER(INDEX('Invullen groen'!$O:$O,$L190)),"2024",""),"2025",""),"2026",""),"2027",""),"2028",""),"2029",""),"taakveld ",""),"installaties","inst"),"ruwbouw","ruwb"),"afbouw","afb"),"bijstelling","bijst"),"investeringen","invest")),""),"")</f>
        <v/>
      </c>
      <c r="K190" s="83" t="n"/>
      <c r="L190" s="83">
        <f>IFERROR(MATCH(ROW()-104,'Invullen groen'!$S$121:$S$272,0)+120,0)</f>
        <v/>
      </c>
    </row>
    <row r="191" hidden="1" s="402">
      <c r="A191" s="102">
        <f>IF($L191&gt;0,"+","")</f>
        <v/>
      </c>
      <c r="B191" s="83">
        <f>IFERROR(IF($L191&gt;0,IF(INDEX('Invullen groen'!$F:$F,$L191)&gt;0,INDEX('Invullen groen'!$F:$F,$L191),""),""),"")</f>
        <v/>
      </c>
      <c r="C191" s="83">
        <f>IFERROR(IF($L191&gt;0,IF(INDEX('Invullen groen'!$N:$N,$L191)&gt;0,INDEX('Invullen groen'!$N:$N,$L191),""),""),"")</f>
        <v/>
      </c>
      <c r="D191" s="83" t="n"/>
      <c r="E191" s="83">
        <f>IFERROR(IF(LEN(J191)&lt;=36,J191,IFERROR(LEFT(J191,FIND(CHAR(1),SUBSTITUTE(LEFT(J191,36)," ",CHAR(1),LEN(LEFT(J191,36))-LEN(SUBSTITUTE(LEFT(J191,36)," ",""))))-1),LEFT(J191,36))),"")</f>
        <v/>
      </c>
      <c r="F191" s="103">
        <f>IFERROR(IF($L191&gt;0,IF(INDEX('Invullen groen'!$H:$H,$L191)=0,"",INT(INDEX('Invullen groen'!$H:$H,$L191))),""),"")</f>
        <v/>
      </c>
      <c r="G191" s="103">
        <f>IFERROR(IF($L191&gt;0,IF(INDEX('Invullen groen'!$I:$I,$L191)=0,"",INT(INDEX('Invullen groen'!$I:$I,$L191))),""),"")</f>
        <v/>
      </c>
      <c r="H191" s="103">
        <f>IFERROR(IF($L191&gt;0,IF(INDEX('Invullen groen'!$J:$J,$L191)=0,"",INT(INDEX('Invullen groen'!$J:$J,$L191))),""),"")</f>
        <v/>
      </c>
      <c r="I191" s="103">
        <f>IFERROR(IF($L191&gt;0,IF(INDEX('Invullen groen'!$K:$K,$L191)=0,"",INT(INDEX('Invullen groen'!$K:$K,$L191))),""),"")</f>
        <v/>
      </c>
      <c r="J191" s="83">
        <f>IF($L191&gt;0,IFERROR($K$1&amp;" "&amp;TRIM(SUBSTITUTE(SUBSTITUTE(SUBSTITUTE(SUBSTITUTE(SUBSTITUTE(SUBSTITUTE(SUBSTITUTE(SUBSTITUTE(SUBSTITUTE(SUBSTITUTE(SUBSTITUTE(SUBSTITUTE(LOWER(INDEX('Invullen groen'!$O:$O,$L191)),"2024",""),"2025",""),"2026",""),"2027",""),"2028",""),"2029",""),"taakveld ",""),"installaties","inst"),"ruwbouw","ruwb"),"afbouw","afb"),"bijstelling","bijst"),"investeringen","invest")),""),"")</f>
        <v/>
      </c>
      <c r="K191" s="83" t="n"/>
      <c r="L191" s="83">
        <f>IFERROR(MATCH(ROW()-104,'Invullen groen'!$S$121:$S$272,0)+120,0)</f>
        <v/>
      </c>
    </row>
    <row r="192" hidden="1" s="402">
      <c r="A192" s="102">
        <f>IF($L192&gt;0,"+","")</f>
        <v/>
      </c>
      <c r="B192" s="83">
        <f>IFERROR(IF($L192&gt;0,IF(INDEX('Invullen groen'!$F:$F,$L192)&gt;0,INDEX('Invullen groen'!$F:$F,$L192),""),""),"")</f>
        <v/>
      </c>
      <c r="C192" s="83">
        <f>IFERROR(IF($L192&gt;0,IF(INDEX('Invullen groen'!$N:$N,$L192)&gt;0,INDEX('Invullen groen'!$N:$N,$L192),""),""),"")</f>
        <v/>
      </c>
      <c r="D192" s="83" t="n"/>
      <c r="E192" s="83">
        <f>IFERROR(IF(LEN(J192)&lt;=36,J192,IFERROR(LEFT(J192,FIND(CHAR(1),SUBSTITUTE(LEFT(J192,36)," ",CHAR(1),LEN(LEFT(J192,36))-LEN(SUBSTITUTE(LEFT(J192,36)," ",""))))-1),LEFT(J192,36))),"")</f>
        <v/>
      </c>
      <c r="F192" s="103">
        <f>IFERROR(IF($L192&gt;0,IF(INDEX('Invullen groen'!$H:$H,$L192)=0,"",INT(INDEX('Invullen groen'!$H:$H,$L192))),""),"")</f>
        <v/>
      </c>
      <c r="G192" s="103">
        <f>IFERROR(IF($L192&gt;0,IF(INDEX('Invullen groen'!$I:$I,$L192)=0,"",INT(INDEX('Invullen groen'!$I:$I,$L192))),""),"")</f>
        <v/>
      </c>
      <c r="H192" s="103">
        <f>IFERROR(IF($L192&gt;0,IF(INDEX('Invullen groen'!$J:$J,$L192)=0,"",INT(INDEX('Invullen groen'!$J:$J,$L192))),""),"")</f>
        <v/>
      </c>
      <c r="I192" s="103">
        <f>IFERROR(IF($L192&gt;0,IF(INDEX('Invullen groen'!$K:$K,$L192)=0,"",INT(INDEX('Invullen groen'!$K:$K,$L192))),""),"")</f>
        <v/>
      </c>
      <c r="J192" s="83">
        <f>IF($L192&gt;0,IFERROR($K$1&amp;" "&amp;TRIM(SUBSTITUTE(SUBSTITUTE(SUBSTITUTE(SUBSTITUTE(SUBSTITUTE(SUBSTITUTE(SUBSTITUTE(SUBSTITUTE(SUBSTITUTE(SUBSTITUTE(SUBSTITUTE(SUBSTITUTE(LOWER(INDEX('Invullen groen'!$O:$O,$L192)),"2024",""),"2025",""),"2026",""),"2027",""),"2028",""),"2029",""),"taakveld ",""),"installaties","inst"),"ruwbouw","ruwb"),"afbouw","afb"),"bijstelling","bijst"),"investeringen","invest")),""),"")</f>
        <v/>
      </c>
      <c r="K192" s="83" t="n"/>
      <c r="L192" s="83">
        <f>IFERROR(MATCH(ROW()-104,'Invullen groen'!$S$121:$S$272,0)+120,0)</f>
        <v/>
      </c>
    </row>
    <row r="193" hidden="1" s="402">
      <c r="A193" s="102">
        <f>IF($L193&gt;0,"+","")</f>
        <v/>
      </c>
      <c r="B193" s="83">
        <f>IFERROR(IF($L193&gt;0,IF(INDEX('Invullen groen'!$F:$F,$L193)&gt;0,INDEX('Invullen groen'!$F:$F,$L193),""),""),"")</f>
        <v/>
      </c>
      <c r="C193" s="83">
        <f>IFERROR(IF($L193&gt;0,IF(INDEX('Invullen groen'!$N:$N,$L193)&gt;0,INDEX('Invullen groen'!$N:$N,$L193),""),""),"")</f>
        <v/>
      </c>
      <c r="D193" s="83" t="n"/>
      <c r="E193" s="83">
        <f>IFERROR(IF(LEN(J193)&lt;=36,J193,IFERROR(LEFT(J193,FIND(CHAR(1),SUBSTITUTE(LEFT(J193,36)," ",CHAR(1),LEN(LEFT(J193,36))-LEN(SUBSTITUTE(LEFT(J193,36)," ",""))))-1),LEFT(J193,36))),"")</f>
        <v/>
      </c>
      <c r="F193" s="103">
        <f>IFERROR(IF($L193&gt;0,IF(INDEX('Invullen groen'!$H:$H,$L193)=0,"",INT(INDEX('Invullen groen'!$H:$H,$L193))),""),"")</f>
        <v/>
      </c>
      <c r="G193" s="103">
        <f>IFERROR(IF($L193&gt;0,IF(INDEX('Invullen groen'!$I:$I,$L193)=0,"",INT(INDEX('Invullen groen'!$I:$I,$L193))),""),"")</f>
        <v/>
      </c>
      <c r="H193" s="103">
        <f>IFERROR(IF($L193&gt;0,IF(INDEX('Invullen groen'!$J:$J,$L193)=0,"",INT(INDEX('Invullen groen'!$J:$J,$L193))),""),"")</f>
        <v/>
      </c>
      <c r="I193" s="103">
        <f>IFERROR(IF($L193&gt;0,IF(INDEX('Invullen groen'!$K:$K,$L193)=0,"",INT(INDEX('Invullen groen'!$K:$K,$L193))),""),"")</f>
        <v/>
      </c>
      <c r="J193" s="83">
        <f>IF($L193&gt;0,IFERROR($K$1&amp;" "&amp;TRIM(SUBSTITUTE(SUBSTITUTE(SUBSTITUTE(SUBSTITUTE(SUBSTITUTE(SUBSTITUTE(SUBSTITUTE(SUBSTITUTE(SUBSTITUTE(SUBSTITUTE(SUBSTITUTE(SUBSTITUTE(LOWER(INDEX('Invullen groen'!$O:$O,$L193)),"2024",""),"2025",""),"2026",""),"2027",""),"2028",""),"2029",""),"taakveld ",""),"installaties","inst"),"ruwbouw","ruwb"),"afbouw","afb"),"bijstelling","bijst"),"investeringen","invest")),""),"")</f>
        <v/>
      </c>
      <c r="K193" s="83" t="n"/>
      <c r="L193" s="83">
        <f>IFERROR(MATCH(ROW()-104,'Invullen groen'!$S$121:$S$272,0)+120,0)</f>
        <v/>
      </c>
    </row>
    <row r="194" hidden="1" s="402">
      <c r="A194" s="102">
        <f>IF($L194&gt;0,"+","")</f>
        <v/>
      </c>
      <c r="B194" s="83">
        <f>IFERROR(IF($L194&gt;0,IF(INDEX('Invullen groen'!$F:$F,$L194)&gt;0,INDEX('Invullen groen'!$F:$F,$L194),""),""),"")</f>
        <v/>
      </c>
      <c r="C194" s="83">
        <f>IFERROR(IF($L194&gt;0,IF(INDEX('Invullen groen'!$N:$N,$L194)&gt;0,INDEX('Invullen groen'!$N:$N,$L194),""),""),"")</f>
        <v/>
      </c>
      <c r="D194" s="83" t="n"/>
      <c r="E194" s="83">
        <f>IFERROR(IF(LEN(J194)&lt;=36,J194,IFERROR(LEFT(J194,FIND(CHAR(1),SUBSTITUTE(LEFT(J194,36)," ",CHAR(1),LEN(LEFT(J194,36))-LEN(SUBSTITUTE(LEFT(J194,36)," ",""))))-1),LEFT(J194,36))),"")</f>
        <v/>
      </c>
      <c r="F194" s="103">
        <f>IFERROR(IF($L194&gt;0,IF(INDEX('Invullen groen'!$H:$H,$L194)=0,"",INT(INDEX('Invullen groen'!$H:$H,$L194))),""),"")</f>
        <v/>
      </c>
      <c r="G194" s="103">
        <f>IFERROR(IF($L194&gt;0,IF(INDEX('Invullen groen'!$I:$I,$L194)=0,"",INT(INDEX('Invullen groen'!$I:$I,$L194))),""),"")</f>
        <v/>
      </c>
      <c r="H194" s="103">
        <f>IFERROR(IF($L194&gt;0,IF(INDEX('Invullen groen'!$J:$J,$L194)=0,"",INT(INDEX('Invullen groen'!$J:$J,$L194))),""),"")</f>
        <v/>
      </c>
      <c r="I194" s="103">
        <f>IFERROR(IF($L194&gt;0,IF(INDEX('Invullen groen'!$K:$K,$L194)=0,"",INT(INDEX('Invullen groen'!$K:$K,$L194))),""),"")</f>
        <v/>
      </c>
      <c r="J194" s="83">
        <f>IF($L194&gt;0,IFERROR($K$1&amp;" "&amp;TRIM(SUBSTITUTE(SUBSTITUTE(SUBSTITUTE(SUBSTITUTE(SUBSTITUTE(SUBSTITUTE(SUBSTITUTE(SUBSTITUTE(SUBSTITUTE(SUBSTITUTE(SUBSTITUTE(SUBSTITUTE(LOWER(INDEX('Invullen groen'!$O:$O,$L194)),"2024",""),"2025",""),"2026",""),"2027",""),"2028",""),"2029",""),"taakveld ",""),"installaties","inst"),"ruwbouw","ruwb"),"afbouw","afb"),"bijstelling","bijst"),"investeringen","invest")),""),"")</f>
        <v/>
      </c>
      <c r="K194" s="83" t="n"/>
      <c r="L194" s="83">
        <f>IFERROR(MATCH(ROW()-104,'Invullen groen'!$S$121:$S$272,0)+120,0)</f>
        <v/>
      </c>
    </row>
    <row r="195" hidden="1" s="402">
      <c r="A195" s="102">
        <f>IF($L195&gt;0,"+","")</f>
        <v/>
      </c>
      <c r="B195" s="83">
        <f>IFERROR(IF($L195&gt;0,IF(INDEX('Invullen groen'!$F:$F,$L195)&gt;0,INDEX('Invullen groen'!$F:$F,$L195),""),""),"")</f>
        <v/>
      </c>
      <c r="C195" s="83">
        <f>IFERROR(IF($L195&gt;0,IF(INDEX('Invullen groen'!$N:$N,$L195)&gt;0,INDEX('Invullen groen'!$N:$N,$L195),""),""),"")</f>
        <v/>
      </c>
      <c r="D195" s="83" t="n"/>
      <c r="E195" s="83">
        <f>IFERROR(IF(LEN(J195)&lt;=36,J195,IFERROR(LEFT(J195,FIND(CHAR(1),SUBSTITUTE(LEFT(J195,36)," ",CHAR(1),LEN(LEFT(J195,36))-LEN(SUBSTITUTE(LEFT(J195,36)," ",""))))-1),LEFT(J195,36))),"")</f>
        <v/>
      </c>
      <c r="F195" s="103">
        <f>IFERROR(IF($L195&gt;0,IF(INDEX('Invullen groen'!$H:$H,$L195)=0,"",INT(INDEX('Invullen groen'!$H:$H,$L195))),""),"")</f>
        <v/>
      </c>
      <c r="G195" s="103">
        <f>IFERROR(IF($L195&gt;0,IF(INDEX('Invullen groen'!$I:$I,$L195)=0,"",INT(INDEX('Invullen groen'!$I:$I,$L195))),""),"")</f>
        <v/>
      </c>
      <c r="H195" s="103">
        <f>IFERROR(IF($L195&gt;0,IF(INDEX('Invullen groen'!$J:$J,$L195)=0,"",INT(INDEX('Invullen groen'!$J:$J,$L195))),""),"")</f>
        <v/>
      </c>
      <c r="I195" s="103">
        <f>IFERROR(IF($L195&gt;0,IF(INDEX('Invullen groen'!$K:$K,$L195)=0,"",INT(INDEX('Invullen groen'!$K:$K,$L195))),""),"")</f>
        <v/>
      </c>
      <c r="J195" s="83">
        <f>IF($L195&gt;0,IFERROR($K$1&amp;" "&amp;TRIM(SUBSTITUTE(SUBSTITUTE(SUBSTITUTE(SUBSTITUTE(SUBSTITUTE(SUBSTITUTE(SUBSTITUTE(SUBSTITUTE(SUBSTITUTE(SUBSTITUTE(SUBSTITUTE(SUBSTITUTE(LOWER(INDEX('Invullen groen'!$O:$O,$L195)),"2024",""),"2025",""),"2026",""),"2027",""),"2028",""),"2029",""),"taakveld ",""),"installaties","inst"),"ruwbouw","ruwb"),"afbouw","afb"),"bijstelling","bijst"),"investeringen","invest")),""),"")</f>
        <v/>
      </c>
      <c r="K195" s="83" t="n"/>
      <c r="L195" s="83">
        <f>IFERROR(MATCH(ROW()-104,'Invullen groen'!$S$121:$S$272,0)+120,0)</f>
        <v/>
      </c>
    </row>
    <row r="196" hidden="1" s="402">
      <c r="A196" s="102">
        <f>IF($L196&gt;0,"+","")</f>
        <v/>
      </c>
      <c r="B196" s="83">
        <f>IFERROR(IF($L196&gt;0,IF(INDEX('Invullen groen'!$F:$F,$L196)&gt;0,INDEX('Invullen groen'!$F:$F,$L196),""),""),"")</f>
        <v/>
      </c>
      <c r="C196" s="83">
        <f>IFERROR(IF($L196&gt;0,IF(INDEX('Invullen groen'!$N:$N,$L196)&gt;0,INDEX('Invullen groen'!$N:$N,$L196),""),""),"")</f>
        <v/>
      </c>
      <c r="D196" s="83" t="n"/>
      <c r="E196" s="83">
        <f>IFERROR(IF(LEN(J196)&lt;=36,J196,IFERROR(LEFT(J196,FIND(CHAR(1),SUBSTITUTE(LEFT(J196,36)," ",CHAR(1),LEN(LEFT(J196,36))-LEN(SUBSTITUTE(LEFT(J196,36)," ",""))))-1),LEFT(J196,36))),"")</f>
        <v/>
      </c>
      <c r="F196" s="103">
        <f>IFERROR(IF($L196&gt;0,IF(INDEX('Invullen groen'!$H:$H,$L196)=0,"",INT(INDEX('Invullen groen'!$H:$H,$L196))),""),"")</f>
        <v/>
      </c>
      <c r="G196" s="103">
        <f>IFERROR(IF($L196&gt;0,IF(INDEX('Invullen groen'!$I:$I,$L196)=0,"",INT(INDEX('Invullen groen'!$I:$I,$L196))),""),"")</f>
        <v/>
      </c>
      <c r="H196" s="103">
        <f>IFERROR(IF($L196&gt;0,IF(INDEX('Invullen groen'!$J:$J,$L196)=0,"",INT(INDEX('Invullen groen'!$J:$J,$L196))),""),"")</f>
        <v/>
      </c>
      <c r="I196" s="103">
        <f>IFERROR(IF($L196&gt;0,IF(INDEX('Invullen groen'!$K:$K,$L196)=0,"",INT(INDEX('Invullen groen'!$K:$K,$L196))),""),"")</f>
        <v/>
      </c>
      <c r="J196" s="83">
        <f>IF($L196&gt;0,IFERROR($K$1&amp;" "&amp;TRIM(SUBSTITUTE(SUBSTITUTE(SUBSTITUTE(SUBSTITUTE(SUBSTITUTE(SUBSTITUTE(SUBSTITUTE(SUBSTITUTE(SUBSTITUTE(SUBSTITUTE(SUBSTITUTE(SUBSTITUTE(LOWER(INDEX('Invullen groen'!$O:$O,$L196)),"2024",""),"2025",""),"2026",""),"2027",""),"2028",""),"2029",""),"taakveld ",""),"installaties","inst"),"ruwbouw","ruwb"),"afbouw","afb"),"bijstelling","bijst"),"investeringen","invest")),""),"")</f>
        <v/>
      </c>
      <c r="K196" s="83" t="n"/>
      <c r="L196" s="83">
        <f>IFERROR(MATCH(ROW()-104,'Invullen groen'!$S$121:$S$272,0)+120,0)</f>
        <v/>
      </c>
    </row>
    <row r="197" hidden="1" s="402">
      <c r="A197" s="102">
        <f>IF($L197&gt;0,"+","")</f>
        <v/>
      </c>
      <c r="B197" s="83">
        <f>IFERROR(IF($L197&gt;0,IF(INDEX('Invullen groen'!$F:$F,$L197)&gt;0,INDEX('Invullen groen'!$F:$F,$L197),""),""),"")</f>
        <v/>
      </c>
      <c r="C197" s="83">
        <f>IFERROR(IF($L197&gt;0,IF(INDEX('Invullen groen'!$N:$N,$L197)&gt;0,INDEX('Invullen groen'!$N:$N,$L197),""),""),"")</f>
        <v/>
      </c>
      <c r="D197" s="83" t="n"/>
      <c r="E197" s="83">
        <f>IFERROR(IF(LEN(J197)&lt;=36,J197,IFERROR(LEFT(J197,FIND(CHAR(1),SUBSTITUTE(LEFT(J197,36)," ",CHAR(1),LEN(LEFT(J197,36))-LEN(SUBSTITUTE(LEFT(J197,36)," ",""))))-1),LEFT(J197,36))),"")</f>
        <v/>
      </c>
      <c r="F197" s="103">
        <f>IFERROR(IF($L197&gt;0,IF(INDEX('Invullen groen'!$H:$H,$L197)=0,"",INT(INDEX('Invullen groen'!$H:$H,$L197))),""),"")</f>
        <v/>
      </c>
      <c r="G197" s="103">
        <f>IFERROR(IF($L197&gt;0,IF(INDEX('Invullen groen'!$I:$I,$L197)=0,"",INT(INDEX('Invullen groen'!$I:$I,$L197))),""),"")</f>
        <v/>
      </c>
      <c r="H197" s="103">
        <f>IFERROR(IF($L197&gt;0,IF(INDEX('Invullen groen'!$J:$J,$L197)=0,"",INT(INDEX('Invullen groen'!$J:$J,$L197))),""),"")</f>
        <v/>
      </c>
      <c r="I197" s="103">
        <f>IFERROR(IF($L197&gt;0,IF(INDEX('Invullen groen'!$K:$K,$L197)=0,"",INT(INDEX('Invullen groen'!$K:$K,$L197))),""),"")</f>
        <v/>
      </c>
      <c r="J197" s="83">
        <f>IF($L197&gt;0,IFERROR($K$1&amp;" "&amp;TRIM(SUBSTITUTE(SUBSTITUTE(SUBSTITUTE(SUBSTITUTE(SUBSTITUTE(SUBSTITUTE(SUBSTITUTE(SUBSTITUTE(SUBSTITUTE(SUBSTITUTE(SUBSTITUTE(SUBSTITUTE(LOWER(INDEX('Invullen groen'!$O:$O,$L197)),"2024",""),"2025",""),"2026",""),"2027",""),"2028",""),"2029",""),"taakveld ",""),"installaties","inst"),"ruwbouw","ruwb"),"afbouw","afb"),"bijstelling","bijst"),"investeringen","invest")),""),"")</f>
        <v/>
      </c>
      <c r="K197" s="83" t="n"/>
      <c r="L197" s="83">
        <f>IFERROR(MATCH(ROW()-104,'Invullen groen'!$S$121:$S$272,0)+120,0)</f>
        <v/>
      </c>
    </row>
    <row r="198" hidden="1" s="402">
      <c r="A198" s="102">
        <f>IF($L198&gt;0,"+","")</f>
        <v/>
      </c>
      <c r="B198" s="83">
        <f>IFERROR(IF($L198&gt;0,IF(INDEX('Invullen groen'!$F:$F,$L198)&gt;0,INDEX('Invullen groen'!$F:$F,$L198),""),""),"")</f>
        <v/>
      </c>
      <c r="C198" s="83">
        <f>IFERROR(IF($L198&gt;0,IF(INDEX('Invullen groen'!$N:$N,$L198)&gt;0,INDEX('Invullen groen'!$N:$N,$L198),""),""),"")</f>
        <v/>
      </c>
      <c r="D198" s="83" t="n"/>
      <c r="E198" s="83">
        <f>IFERROR(IF(LEN(J198)&lt;=36,J198,IFERROR(LEFT(J198,FIND(CHAR(1),SUBSTITUTE(LEFT(J198,36)," ",CHAR(1),LEN(LEFT(J198,36))-LEN(SUBSTITUTE(LEFT(J198,36)," ",""))))-1),LEFT(J198,36))),"")</f>
        <v/>
      </c>
      <c r="F198" s="103">
        <f>IFERROR(IF($L198&gt;0,IF(INDEX('Invullen groen'!$H:$H,$L198)=0,"",INT(INDEX('Invullen groen'!$H:$H,$L198))),""),"")</f>
        <v/>
      </c>
      <c r="G198" s="103">
        <f>IFERROR(IF($L198&gt;0,IF(INDEX('Invullen groen'!$I:$I,$L198)=0,"",INT(INDEX('Invullen groen'!$I:$I,$L198))),""),"")</f>
        <v/>
      </c>
      <c r="H198" s="103">
        <f>IFERROR(IF($L198&gt;0,IF(INDEX('Invullen groen'!$J:$J,$L198)=0,"",INT(INDEX('Invullen groen'!$J:$J,$L198))),""),"")</f>
        <v/>
      </c>
      <c r="I198" s="103">
        <f>IFERROR(IF($L198&gt;0,IF(INDEX('Invullen groen'!$K:$K,$L198)=0,"",INT(INDEX('Invullen groen'!$K:$K,$L198))),""),"")</f>
        <v/>
      </c>
      <c r="J198" s="83">
        <f>IF($L198&gt;0,IFERROR($K$1&amp;" "&amp;TRIM(SUBSTITUTE(SUBSTITUTE(SUBSTITUTE(SUBSTITUTE(SUBSTITUTE(SUBSTITUTE(SUBSTITUTE(SUBSTITUTE(SUBSTITUTE(SUBSTITUTE(SUBSTITUTE(SUBSTITUTE(LOWER(INDEX('Invullen groen'!$O:$O,$L198)),"2024",""),"2025",""),"2026",""),"2027",""),"2028",""),"2029",""),"taakveld ",""),"installaties","inst"),"ruwbouw","ruwb"),"afbouw","afb"),"bijstelling","bijst"),"investeringen","invest")),""),"")</f>
        <v/>
      </c>
      <c r="K198" s="83" t="n"/>
      <c r="L198" s="83">
        <f>IFERROR(MATCH(ROW()-104,'Invullen groen'!$S$121:$S$272,0)+120,0)</f>
        <v/>
      </c>
    </row>
    <row r="199" hidden="1" s="402">
      <c r="A199" s="102">
        <f>IF($L199&gt;0,"+","")</f>
        <v/>
      </c>
      <c r="B199" s="83">
        <f>IFERROR(IF($L199&gt;0,IF(INDEX('Invullen groen'!$F:$F,$L199)&gt;0,INDEX('Invullen groen'!$F:$F,$L199),""),""),"")</f>
        <v/>
      </c>
      <c r="C199" s="83">
        <f>IFERROR(IF($L199&gt;0,IF(INDEX('Invullen groen'!$N:$N,$L199)&gt;0,INDEX('Invullen groen'!$N:$N,$L199),""),""),"")</f>
        <v/>
      </c>
      <c r="D199" s="83" t="n"/>
      <c r="E199" s="83">
        <f>IFERROR(IF(LEN(J199)&lt;=36,J199,IFERROR(LEFT(J199,FIND(CHAR(1),SUBSTITUTE(LEFT(J199,36)," ",CHAR(1),LEN(LEFT(J199,36))-LEN(SUBSTITUTE(LEFT(J199,36)," ",""))))-1),LEFT(J199,36))),"")</f>
        <v/>
      </c>
      <c r="F199" s="103">
        <f>IFERROR(IF($L199&gt;0,IF(INDEX('Invullen groen'!$H:$H,$L199)=0,"",INT(INDEX('Invullen groen'!$H:$H,$L199))),""),"")</f>
        <v/>
      </c>
      <c r="G199" s="103">
        <f>IFERROR(IF($L199&gt;0,IF(INDEX('Invullen groen'!$I:$I,$L199)=0,"",INT(INDEX('Invullen groen'!$I:$I,$L199))),""),"")</f>
        <v/>
      </c>
      <c r="H199" s="103">
        <f>IFERROR(IF($L199&gt;0,IF(INDEX('Invullen groen'!$J:$J,$L199)=0,"",INT(INDEX('Invullen groen'!$J:$J,$L199))),""),"")</f>
        <v/>
      </c>
      <c r="I199" s="103">
        <f>IFERROR(IF($L199&gt;0,IF(INDEX('Invullen groen'!$K:$K,$L199)=0,"",INT(INDEX('Invullen groen'!$K:$K,$L199))),""),"")</f>
        <v/>
      </c>
      <c r="J199" s="83">
        <f>IF($L199&gt;0,IFERROR($K$1&amp;" "&amp;TRIM(SUBSTITUTE(SUBSTITUTE(SUBSTITUTE(SUBSTITUTE(SUBSTITUTE(SUBSTITUTE(SUBSTITUTE(SUBSTITUTE(SUBSTITUTE(SUBSTITUTE(SUBSTITUTE(SUBSTITUTE(LOWER(INDEX('Invullen groen'!$O:$O,$L199)),"2024",""),"2025",""),"2026",""),"2027",""),"2028",""),"2029",""),"taakveld ",""),"installaties","inst"),"ruwbouw","ruwb"),"afbouw","afb"),"bijstelling","bijst"),"investeringen","invest")),""),"")</f>
        <v/>
      </c>
      <c r="K199" s="83" t="n"/>
      <c r="L199" s="83">
        <f>IFERROR(MATCH(ROW()-104,'Invullen groen'!$S$121:$S$272,0)+120,0)</f>
        <v/>
      </c>
    </row>
    <row r="200" hidden="1" s="402">
      <c r="A200" s="102">
        <f>IF($L200&gt;0,"+","")</f>
        <v/>
      </c>
      <c r="B200" s="83">
        <f>IFERROR(IF($L200&gt;0,IF(INDEX('Invullen groen'!$F:$F,$L200)&gt;0,INDEX('Invullen groen'!$F:$F,$L200),""),""),"")</f>
        <v/>
      </c>
      <c r="C200" s="83">
        <f>IFERROR(IF($L200&gt;0,IF(INDEX('Invullen groen'!$N:$N,$L200)&gt;0,INDEX('Invullen groen'!$N:$N,$L200),""),""),"")</f>
        <v/>
      </c>
      <c r="D200" s="83" t="n"/>
      <c r="E200" s="83">
        <f>IFERROR(IF(LEN(J200)&lt;=36,J200,IFERROR(LEFT(J200,FIND(CHAR(1),SUBSTITUTE(LEFT(J200,36)," ",CHAR(1),LEN(LEFT(J200,36))-LEN(SUBSTITUTE(LEFT(J200,36)," ",""))))-1),LEFT(J200,36))),"")</f>
        <v/>
      </c>
      <c r="F200" s="103">
        <f>IFERROR(IF($L200&gt;0,IF(INDEX('Invullen groen'!$H:$H,$L200)=0,"",INT(INDEX('Invullen groen'!$H:$H,$L200))),""),"")</f>
        <v/>
      </c>
      <c r="G200" s="103">
        <f>IFERROR(IF($L200&gt;0,IF(INDEX('Invullen groen'!$I:$I,$L200)=0,"",INT(INDEX('Invullen groen'!$I:$I,$L200))),""),"")</f>
        <v/>
      </c>
      <c r="H200" s="103">
        <f>IFERROR(IF($L200&gt;0,IF(INDEX('Invullen groen'!$J:$J,$L200)=0,"",INT(INDEX('Invullen groen'!$J:$J,$L200))),""),"")</f>
        <v/>
      </c>
      <c r="I200" s="103">
        <f>IFERROR(IF($L200&gt;0,IF(INDEX('Invullen groen'!$K:$K,$L200)=0,"",INT(INDEX('Invullen groen'!$K:$K,$L200))),""),"")</f>
        <v/>
      </c>
      <c r="J200" s="83">
        <f>IF($L200&gt;0,IFERROR($K$1&amp;" "&amp;TRIM(SUBSTITUTE(SUBSTITUTE(SUBSTITUTE(SUBSTITUTE(SUBSTITUTE(SUBSTITUTE(SUBSTITUTE(SUBSTITUTE(SUBSTITUTE(SUBSTITUTE(SUBSTITUTE(SUBSTITUTE(LOWER(INDEX('Invullen groen'!$O:$O,$L200)),"2024",""),"2025",""),"2026",""),"2027",""),"2028",""),"2029",""),"taakveld ",""),"installaties","inst"),"ruwbouw","ruwb"),"afbouw","afb"),"bijstelling","bijst"),"investeringen","invest")),""),"")</f>
        <v/>
      </c>
      <c r="K200" s="83" t="n"/>
      <c r="L200" s="83">
        <f>IFERROR(MATCH(ROW()-104,'Invullen groen'!$S$121:$S$272,0)+120,0)</f>
        <v/>
      </c>
    </row>
    <row r="201" hidden="1" s="402">
      <c r="A201" s="102">
        <f>IF($L201&gt;0,"+","")</f>
        <v/>
      </c>
      <c r="B201" s="83">
        <f>IFERROR(IF($L201&gt;0,IF(INDEX('Invullen groen'!$F:$F,$L201)&gt;0,INDEX('Invullen groen'!$F:$F,$L201),""),""),"")</f>
        <v/>
      </c>
      <c r="C201" s="83">
        <f>IFERROR(IF($L201&gt;0,IF(INDEX('Invullen groen'!$N:$N,$L201)&gt;0,INDEX('Invullen groen'!$N:$N,$L201),""),""),"")</f>
        <v/>
      </c>
      <c r="D201" s="83" t="n"/>
      <c r="E201" s="83">
        <f>IFERROR(IF(LEN(J201)&lt;=36,J201,IFERROR(LEFT(J201,FIND(CHAR(1),SUBSTITUTE(LEFT(J201,36)," ",CHAR(1),LEN(LEFT(J201,36))-LEN(SUBSTITUTE(LEFT(J201,36)," ",""))))-1),LEFT(J201,36))),"")</f>
        <v/>
      </c>
      <c r="F201" s="103">
        <f>IFERROR(IF($L201&gt;0,IF(INDEX('Invullen groen'!$H:$H,$L201)=0,"",INT(INDEX('Invullen groen'!$H:$H,$L201))),""),"")</f>
        <v/>
      </c>
      <c r="G201" s="103">
        <f>IFERROR(IF($L201&gt;0,IF(INDEX('Invullen groen'!$I:$I,$L201)=0,"",INT(INDEX('Invullen groen'!$I:$I,$L201))),""),"")</f>
        <v/>
      </c>
      <c r="H201" s="103">
        <f>IFERROR(IF($L201&gt;0,IF(INDEX('Invullen groen'!$J:$J,$L201)=0,"",INT(INDEX('Invullen groen'!$J:$J,$L201))),""),"")</f>
        <v/>
      </c>
      <c r="I201" s="103">
        <f>IFERROR(IF($L201&gt;0,IF(INDEX('Invullen groen'!$K:$K,$L201)=0,"",INT(INDEX('Invullen groen'!$K:$K,$L201))),""),"")</f>
        <v/>
      </c>
      <c r="J201" s="83">
        <f>IF($L201&gt;0,IFERROR($K$1&amp;" "&amp;TRIM(SUBSTITUTE(SUBSTITUTE(SUBSTITUTE(SUBSTITUTE(SUBSTITUTE(SUBSTITUTE(SUBSTITUTE(SUBSTITUTE(SUBSTITUTE(SUBSTITUTE(SUBSTITUTE(SUBSTITUTE(LOWER(INDEX('Invullen groen'!$O:$O,$L201)),"2024",""),"2025",""),"2026",""),"2027",""),"2028",""),"2029",""),"taakveld ",""),"installaties","inst"),"ruwbouw","ruwb"),"afbouw","afb"),"bijstelling","bijst"),"investeringen","invest")),""),"")</f>
        <v/>
      </c>
      <c r="K201" s="83" t="n"/>
      <c r="L201" s="83">
        <f>IFERROR(MATCH(ROW()-104,'Invullen groen'!$S$121:$S$272,0)+120,0)</f>
        <v/>
      </c>
    </row>
    <row r="202" hidden="1" s="402">
      <c r="A202" s="102">
        <f>IF($L202&gt;0,"+","")</f>
        <v/>
      </c>
      <c r="B202" s="83">
        <f>IFERROR(IF($L202&gt;0,IF(INDEX('Invullen groen'!$F:$F,$L202)&gt;0,INDEX('Invullen groen'!$F:$F,$L202),""),""),"")</f>
        <v/>
      </c>
      <c r="C202" s="83">
        <f>IFERROR(IF($L202&gt;0,IF(INDEX('Invullen groen'!$N:$N,$L202)&gt;0,INDEX('Invullen groen'!$N:$N,$L202),""),""),"")</f>
        <v/>
      </c>
      <c r="D202" s="83" t="n"/>
      <c r="E202" s="83">
        <f>IFERROR(IF(LEN(J202)&lt;=36,J202,IFERROR(LEFT(J202,FIND(CHAR(1),SUBSTITUTE(LEFT(J202,36)," ",CHAR(1),LEN(LEFT(J202,36))-LEN(SUBSTITUTE(LEFT(J202,36)," ",""))))-1),LEFT(J202,36))),"")</f>
        <v/>
      </c>
      <c r="F202" s="103">
        <f>IFERROR(IF($L202&gt;0,IF(INDEX('Invullen groen'!$H:$H,$L202)=0,"",INT(INDEX('Invullen groen'!$H:$H,$L202))),""),"")</f>
        <v/>
      </c>
      <c r="G202" s="103">
        <f>IFERROR(IF($L202&gt;0,IF(INDEX('Invullen groen'!$I:$I,$L202)=0,"",INT(INDEX('Invullen groen'!$I:$I,$L202))),""),"")</f>
        <v/>
      </c>
      <c r="H202" s="103">
        <f>IFERROR(IF($L202&gt;0,IF(INDEX('Invullen groen'!$J:$J,$L202)=0,"",INT(INDEX('Invullen groen'!$J:$J,$L202))),""),"")</f>
        <v/>
      </c>
      <c r="I202" s="103">
        <f>IFERROR(IF($L202&gt;0,IF(INDEX('Invullen groen'!$K:$K,$L202)=0,"",INT(INDEX('Invullen groen'!$K:$K,$L202))),""),"")</f>
        <v/>
      </c>
      <c r="J202" s="83">
        <f>IF($L202&gt;0,IFERROR($K$1&amp;" "&amp;TRIM(SUBSTITUTE(SUBSTITUTE(SUBSTITUTE(SUBSTITUTE(SUBSTITUTE(SUBSTITUTE(SUBSTITUTE(SUBSTITUTE(SUBSTITUTE(SUBSTITUTE(SUBSTITUTE(SUBSTITUTE(LOWER(INDEX('Invullen groen'!$O:$O,$L202)),"2024",""),"2025",""),"2026",""),"2027",""),"2028",""),"2029",""),"taakveld ",""),"installaties","inst"),"ruwbouw","ruwb"),"afbouw","afb"),"bijstelling","bijst"),"investeringen","invest")),""),"")</f>
        <v/>
      </c>
      <c r="K202" s="83" t="n"/>
      <c r="L202" s="83">
        <f>IFERROR(MATCH(ROW()-104,'Invullen groen'!$S$121:$S$272,0)+120,0)</f>
        <v/>
      </c>
    </row>
    <row r="203" hidden="1" s="402">
      <c r="A203" s="102">
        <f>IF($L203&gt;0,"+","")</f>
        <v/>
      </c>
      <c r="B203" s="83">
        <f>IFERROR(IF($L203&gt;0,IF(INDEX('Invullen groen'!$F:$F,$L203)&gt;0,INDEX('Invullen groen'!$F:$F,$L203),""),""),"")</f>
        <v/>
      </c>
      <c r="C203" s="83">
        <f>IFERROR(IF($L203&gt;0,IF(INDEX('Invullen groen'!$N:$N,$L203)&gt;0,INDEX('Invullen groen'!$N:$N,$L203),""),""),"")</f>
        <v/>
      </c>
      <c r="D203" s="83" t="n"/>
      <c r="E203" s="83">
        <f>IFERROR(IF(LEN(J203)&lt;=36,J203,IFERROR(LEFT(J203,FIND(CHAR(1),SUBSTITUTE(LEFT(J203,36)," ",CHAR(1),LEN(LEFT(J203,36))-LEN(SUBSTITUTE(LEFT(J203,36)," ",""))))-1),LEFT(J203,36))),"")</f>
        <v/>
      </c>
      <c r="F203" s="103">
        <f>IFERROR(IF($L203&gt;0,IF(INDEX('Invullen groen'!$H:$H,$L203)=0,"",INT(INDEX('Invullen groen'!$H:$H,$L203))),""),"")</f>
        <v/>
      </c>
      <c r="G203" s="103">
        <f>IFERROR(IF($L203&gt;0,IF(INDEX('Invullen groen'!$I:$I,$L203)=0,"",INT(INDEX('Invullen groen'!$I:$I,$L203))),""),"")</f>
        <v/>
      </c>
      <c r="H203" s="103">
        <f>IFERROR(IF($L203&gt;0,IF(INDEX('Invullen groen'!$J:$J,$L203)=0,"",INT(INDEX('Invullen groen'!$J:$J,$L203))),""),"")</f>
        <v/>
      </c>
      <c r="I203" s="103">
        <f>IFERROR(IF($L203&gt;0,IF(INDEX('Invullen groen'!$K:$K,$L203)=0,"",INT(INDEX('Invullen groen'!$K:$K,$L203))),""),"")</f>
        <v/>
      </c>
      <c r="J203" s="83">
        <f>IF($L203&gt;0,IFERROR($K$1&amp;" "&amp;TRIM(SUBSTITUTE(SUBSTITUTE(SUBSTITUTE(SUBSTITUTE(SUBSTITUTE(SUBSTITUTE(SUBSTITUTE(SUBSTITUTE(SUBSTITUTE(SUBSTITUTE(SUBSTITUTE(SUBSTITUTE(LOWER(INDEX('Invullen groen'!$O:$O,$L203)),"2024",""),"2025",""),"2026",""),"2027",""),"2028",""),"2029",""),"taakveld ",""),"installaties","inst"),"ruwbouw","ruwb"),"afbouw","afb"),"bijstelling","bijst"),"investeringen","invest")),""),"")</f>
        <v/>
      </c>
      <c r="K203" s="83" t="n"/>
      <c r="L203" s="83">
        <f>IFERROR(MATCH(ROW()-104,'Invullen groen'!$S$121:$S$272,0)+120,0)</f>
        <v/>
      </c>
    </row>
    <row r="204" hidden="1" s="402">
      <c r="A204" s="102">
        <f>IF($L204&gt;0,"+","")</f>
        <v/>
      </c>
      <c r="B204" s="83">
        <f>IFERROR(IF($L204&gt;0,IF(INDEX('Invullen groen'!$F:$F,$L204)&gt;0,INDEX('Invullen groen'!$F:$F,$L204),""),""),"")</f>
        <v/>
      </c>
      <c r="C204" s="83">
        <f>IFERROR(IF($L204&gt;0,IF(INDEX('Invullen groen'!$N:$N,$L204)&gt;0,INDEX('Invullen groen'!$N:$N,$L204),""),""),"")</f>
        <v/>
      </c>
      <c r="D204" s="83" t="n"/>
      <c r="E204" s="83">
        <f>IFERROR(IF(LEN(J204)&lt;=36,J204,IFERROR(LEFT(J204,FIND(CHAR(1),SUBSTITUTE(LEFT(J204,36)," ",CHAR(1),LEN(LEFT(J204,36))-LEN(SUBSTITUTE(LEFT(J204,36)," ",""))))-1),LEFT(J204,36))),"")</f>
        <v/>
      </c>
      <c r="F204" s="103">
        <f>IFERROR(IF($L204&gt;0,IF(INDEX('Invullen groen'!$H:$H,$L204)=0,"",INT(INDEX('Invullen groen'!$H:$H,$L204))),""),"")</f>
        <v/>
      </c>
      <c r="G204" s="103">
        <f>IFERROR(IF($L204&gt;0,IF(INDEX('Invullen groen'!$I:$I,$L204)=0,"",INT(INDEX('Invullen groen'!$I:$I,$L204))),""),"")</f>
        <v/>
      </c>
      <c r="H204" s="103">
        <f>IFERROR(IF($L204&gt;0,IF(INDEX('Invullen groen'!$J:$J,$L204)=0,"",INT(INDEX('Invullen groen'!$J:$J,$L204))),""),"")</f>
        <v/>
      </c>
      <c r="I204" s="103">
        <f>IFERROR(IF($L204&gt;0,IF(INDEX('Invullen groen'!$K:$K,$L204)=0,"",INT(INDEX('Invullen groen'!$K:$K,$L204))),""),"")</f>
        <v/>
      </c>
      <c r="J204" s="83">
        <f>IF($L204&gt;0,IFERROR($K$1&amp;" "&amp;TRIM(SUBSTITUTE(SUBSTITUTE(SUBSTITUTE(SUBSTITUTE(SUBSTITUTE(SUBSTITUTE(SUBSTITUTE(SUBSTITUTE(SUBSTITUTE(SUBSTITUTE(SUBSTITUTE(SUBSTITUTE(LOWER(INDEX('Invullen groen'!$O:$O,$L204)),"2024",""),"2025",""),"2026",""),"2027",""),"2028",""),"2029",""),"taakveld ",""),"installaties","inst"),"ruwbouw","ruwb"),"afbouw","afb"),"bijstelling","bijst"),"investeringen","invest")),""),"")</f>
        <v/>
      </c>
      <c r="K204" s="83" t="n"/>
      <c r="L204" s="83">
        <f>IFERROR(MATCH(ROW()-104,'Invullen groen'!$S$121:$S$272,0)+120,0)</f>
        <v/>
      </c>
    </row>
    <row r="205" hidden="1" s="402">
      <c r="A205" s="102">
        <f>IF($L205&gt;0,"+","")</f>
        <v/>
      </c>
      <c r="B205" s="83">
        <f>IFERROR(IF($L205&gt;0,IF(INDEX('Invullen groen'!$F:$F,$L205)&gt;0,INDEX('Invullen groen'!$F:$F,$L205),""),""),"")</f>
        <v/>
      </c>
      <c r="C205" s="83">
        <f>IFERROR(IF($L205&gt;0,IF(INDEX('Invullen groen'!$N:$N,$L205)&gt;0,INDEX('Invullen groen'!$N:$N,$L205),""),""),"")</f>
        <v/>
      </c>
      <c r="D205" s="83" t="n"/>
      <c r="E205" s="83">
        <f>IFERROR(IF(LEN(J205)&lt;=36,J205,IFERROR(LEFT(J205,FIND(CHAR(1),SUBSTITUTE(LEFT(J205,36)," ",CHAR(1),LEN(LEFT(J205,36))-LEN(SUBSTITUTE(LEFT(J205,36)," ",""))))-1),LEFT(J205,36))),"")</f>
        <v/>
      </c>
      <c r="F205" s="103">
        <f>IFERROR(IF($L205&gt;0,IF(INDEX('Invullen groen'!$H:$H,$L205)=0,"",INT(INDEX('Invullen groen'!$H:$H,$L205))),""),"")</f>
        <v/>
      </c>
      <c r="G205" s="103">
        <f>IFERROR(IF($L205&gt;0,IF(INDEX('Invullen groen'!$I:$I,$L205)=0,"",INT(INDEX('Invullen groen'!$I:$I,$L205))),""),"")</f>
        <v/>
      </c>
      <c r="H205" s="103">
        <f>IFERROR(IF($L205&gt;0,IF(INDEX('Invullen groen'!$J:$J,$L205)=0,"",INT(INDEX('Invullen groen'!$J:$J,$L205))),""),"")</f>
        <v/>
      </c>
      <c r="I205" s="103">
        <f>IFERROR(IF($L205&gt;0,IF(INDEX('Invullen groen'!$K:$K,$L205)=0,"",INT(INDEX('Invullen groen'!$K:$K,$L205))),""),"")</f>
        <v/>
      </c>
      <c r="J205" s="83">
        <f>IF($L205&gt;0,IFERROR($K$1&amp;" "&amp;TRIM(SUBSTITUTE(SUBSTITUTE(SUBSTITUTE(SUBSTITUTE(SUBSTITUTE(SUBSTITUTE(SUBSTITUTE(SUBSTITUTE(SUBSTITUTE(SUBSTITUTE(SUBSTITUTE(SUBSTITUTE(LOWER(INDEX('Invullen groen'!$O:$O,$L205)),"2024",""),"2025",""),"2026",""),"2027",""),"2028",""),"2029",""),"taakveld ",""),"installaties","inst"),"ruwbouw","ruwb"),"afbouw","afb"),"bijstelling","bijst"),"investeringen","invest")),""),"")</f>
        <v/>
      </c>
      <c r="K205" s="83" t="n"/>
      <c r="L205" s="83">
        <f>IFERROR(MATCH(ROW()-104,'Invullen groen'!$S$121:$S$272,0)+120,0)</f>
        <v/>
      </c>
    </row>
    <row r="206" hidden="1" s="402">
      <c r="A206" s="102">
        <f>IF($L206&gt;0,"+","")</f>
        <v/>
      </c>
      <c r="B206" s="83">
        <f>IFERROR(IF($L206&gt;0,IF(INDEX('Invullen groen'!$F:$F,$L206)&gt;0,INDEX('Invullen groen'!$F:$F,$L206),""),""),"")</f>
        <v/>
      </c>
      <c r="C206" s="83">
        <f>IFERROR(IF($L206&gt;0,IF(INDEX('Invullen groen'!$N:$N,$L206)&gt;0,INDEX('Invullen groen'!$N:$N,$L206),""),""),"")</f>
        <v/>
      </c>
      <c r="D206" s="83" t="n"/>
      <c r="E206" s="83">
        <f>IFERROR(IF(LEN(J206)&lt;=36,J206,IFERROR(LEFT(J206,FIND(CHAR(1),SUBSTITUTE(LEFT(J206,36)," ",CHAR(1),LEN(LEFT(J206,36))-LEN(SUBSTITUTE(LEFT(J206,36)," ",""))))-1),LEFT(J206,36))),"")</f>
        <v/>
      </c>
      <c r="F206" s="103">
        <f>IFERROR(IF($L206&gt;0,IF(INDEX('Invullen groen'!$H:$H,$L206)=0,"",INT(INDEX('Invullen groen'!$H:$H,$L206))),""),"")</f>
        <v/>
      </c>
      <c r="G206" s="103">
        <f>IFERROR(IF($L206&gt;0,IF(INDEX('Invullen groen'!$I:$I,$L206)=0,"",INT(INDEX('Invullen groen'!$I:$I,$L206))),""),"")</f>
        <v/>
      </c>
      <c r="H206" s="103">
        <f>IFERROR(IF($L206&gt;0,IF(INDEX('Invullen groen'!$J:$J,$L206)=0,"",INT(INDEX('Invullen groen'!$J:$J,$L206))),""),"")</f>
        <v/>
      </c>
      <c r="I206" s="103">
        <f>IFERROR(IF($L206&gt;0,IF(INDEX('Invullen groen'!$K:$K,$L206)=0,"",INT(INDEX('Invullen groen'!$K:$K,$L206))),""),"")</f>
        <v/>
      </c>
      <c r="J206" s="83">
        <f>IF($L206&gt;0,IFERROR($K$1&amp;" "&amp;TRIM(SUBSTITUTE(SUBSTITUTE(SUBSTITUTE(SUBSTITUTE(SUBSTITUTE(SUBSTITUTE(SUBSTITUTE(SUBSTITUTE(SUBSTITUTE(SUBSTITUTE(SUBSTITUTE(SUBSTITUTE(LOWER(INDEX('Invullen groen'!$O:$O,$L206)),"2024",""),"2025",""),"2026",""),"2027",""),"2028",""),"2029",""),"taakveld ",""),"installaties","inst"),"ruwbouw","ruwb"),"afbouw","afb"),"bijstelling","bijst"),"investeringen","invest")),""),"")</f>
        <v/>
      </c>
      <c r="K206" s="83" t="n"/>
      <c r="L206" s="83">
        <f>IFERROR(MATCH(ROW()-104,'Invullen groen'!$S$121:$S$272,0)+120,0)</f>
        <v/>
      </c>
    </row>
    <row r="207" hidden="1" s="402">
      <c r="A207" s="102">
        <f>IF($L207&gt;0,"+","")</f>
        <v/>
      </c>
      <c r="B207" s="83">
        <f>IFERROR(IF($L207&gt;0,IF(INDEX('Invullen groen'!$F:$F,$L207)&gt;0,INDEX('Invullen groen'!$F:$F,$L207),""),""),"")</f>
        <v/>
      </c>
      <c r="C207" s="83">
        <f>IFERROR(IF($L207&gt;0,IF(INDEX('Invullen groen'!$N:$N,$L207)&gt;0,INDEX('Invullen groen'!$N:$N,$L207),""),""),"")</f>
        <v/>
      </c>
      <c r="D207" s="83" t="n"/>
      <c r="E207" s="83">
        <f>IFERROR(IF(LEN(J207)&lt;=36,J207,IFERROR(LEFT(J207,FIND(CHAR(1),SUBSTITUTE(LEFT(J207,36)," ",CHAR(1),LEN(LEFT(J207,36))-LEN(SUBSTITUTE(LEFT(J207,36)," ",""))))-1),LEFT(J207,36))),"")</f>
        <v/>
      </c>
      <c r="F207" s="103">
        <f>IFERROR(IF($L207&gt;0,IF(INDEX('Invullen groen'!$H:$H,$L207)=0,"",INT(INDEX('Invullen groen'!$H:$H,$L207))),""),"")</f>
        <v/>
      </c>
      <c r="G207" s="103">
        <f>IFERROR(IF($L207&gt;0,IF(INDEX('Invullen groen'!$I:$I,$L207)=0,"",INT(INDEX('Invullen groen'!$I:$I,$L207))),""),"")</f>
        <v/>
      </c>
      <c r="H207" s="103">
        <f>IFERROR(IF($L207&gt;0,IF(INDEX('Invullen groen'!$J:$J,$L207)=0,"",INT(INDEX('Invullen groen'!$J:$J,$L207))),""),"")</f>
        <v/>
      </c>
      <c r="I207" s="103">
        <f>IFERROR(IF($L207&gt;0,IF(INDEX('Invullen groen'!$K:$K,$L207)=0,"",INT(INDEX('Invullen groen'!$K:$K,$L207))),""),"")</f>
        <v/>
      </c>
      <c r="J207" s="83">
        <f>IF($L207&gt;0,IFERROR($K$1&amp;" "&amp;TRIM(SUBSTITUTE(SUBSTITUTE(SUBSTITUTE(SUBSTITUTE(SUBSTITUTE(SUBSTITUTE(SUBSTITUTE(SUBSTITUTE(SUBSTITUTE(SUBSTITUTE(SUBSTITUTE(SUBSTITUTE(LOWER(INDEX('Invullen groen'!$O:$O,$L207)),"2024",""),"2025",""),"2026",""),"2027",""),"2028",""),"2029",""),"taakveld ",""),"installaties","inst"),"ruwbouw","ruwb"),"afbouw","afb"),"bijstelling","bijst"),"investeringen","invest")),""),"")</f>
        <v/>
      </c>
      <c r="K207" s="83" t="n"/>
      <c r="L207" s="83">
        <f>IFERROR(MATCH(ROW()-104,'Invullen groen'!$S$121:$S$272,0)+120,0)</f>
        <v/>
      </c>
    </row>
    <row r="208" hidden="1" s="402">
      <c r="A208" s="102">
        <f>IF($L208&gt;0,"+","")</f>
        <v/>
      </c>
      <c r="B208" s="83">
        <f>IFERROR(IF($L208&gt;0,IF(INDEX('Invullen groen'!$F:$F,$L208)&gt;0,INDEX('Invullen groen'!$F:$F,$L208),""),""),"")</f>
        <v/>
      </c>
      <c r="C208" s="83">
        <f>IFERROR(IF($L208&gt;0,IF(INDEX('Invullen groen'!$N:$N,$L208)&gt;0,INDEX('Invullen groen'!$N:$N,$L208),""),""),"")</f>
        <v/>
      </c>
      <c r="D208" s="83" t="n"/>
      <c r="E208" s="83">
        <f>IFERROR(IF(LEN(J208)&lt;=36,J208,IFERROR(LEFT(J208,FIND(CHAR(1),SUBSTITUTE(LEFT(J208,36)," ",CHAR(1),LEN(LEFT(J208,36))-LEN(SUBSTITUTE(LEFT(J208,36)," ",""))))-1),LEFT(J208,36))),"")</f>
        <v/>
      </c>
      <c r="F208" s="103">
        <f>IFERROR(IF($L208&gt;0,IF(INDEX('Invullen groen'!$H:$H,$L208)=0,"",INT(INDEX('Invullen groen'!$H:$H,$L208))),""),"")</f>
        <v/>
      </c>
      <c r="G208" s="103">
        <f>IFERROR(IF($L208&gt;0,IF(INDEX('Invullen groen'!$I:$I,$L208)=0,"",INT(INDEX('Invullen groen'!$I:$I,$L208))),""),"")</f>
        <v/>
      </c>
      <c r="H208" s="103">
        <f>IFERROR(IF($L208&gt;0,IF(INDEX('Invullen groen'!$J:$J,$L208)=0,"",INT(INDEX('Invullen groen'!$J:$J,$L208))),""),"")</f>
        <v/>
      </c>
      <c r="I208" s="103">
        <f>IFERROR(IF($L208&gt;0,IF(INDEX('Invullen groen'!$K:$K,$L208)=0,"",INT(INDEX('Invullen groen'!$K:$K,$L208))),""),"")</f>
        <v/>
      </c>
      <c r="J208" s="83">
        <f>IF($L208&gt;0,IFERROR($K$1&amp;" "&amp;TRIM(SUBSTITUTE(SUBSTITUTE(SUBSTITUTE(SUBSTITUTE(SUBSTITUTE(SUBSTITUTE(SUBSTITUTE(SUBSTITUTE(SUBSTITUTE(SUBSTITUTE(SUBSTITUTE(SUBSTITUTE(LOWER(INDEX('Invullen groen'!$O:$O,$L208)),"2024",""),"2025",""),"2026",""),"2027",""),"2028",""),"2029",""),"taakveld ",""),"installaties","inst"),"ruwbouw","ruwb"),"afbouw","afb"),"bijstelling","bijst"),"investeringen","invest")),""),"")</f>
        <v/>
      </c>
      <c r="K208" s="83" t="n"/>
      <c r="L208" s="83">
        <f>IFERROR(MATCH(ROW()-104,'Invullen groen'!$S$121:$S$272,0)+120,0)</f>
        <v/>
      </c>
    </row>
    <row r="209" hidden="1" s="402">
      <c r="A209" s="102">
        <f>IF($L209&gt;0,"+","")</f>
        <v/>
      </c>
      <c r="B209" s="83">
        <f>IFERROR(IF($L209&gt;0,IF(INDEX('Invullen groen'!$F:$F,$L209)&gt;0,INDEX('Invullen groen'!$F:$F,$L209),""),""),"")</f>
        <v/>
      </c>
      <c r="C209" s="83">
        <f>IFERROR(IF($L209&gt;0,IF(INDEX('Invullen groen'!$N:$N,$L209)&gt;0,INDEX('Invullen groen'!$N:$N,$L209),""),""),"")</f>
        <v/>
      </c>
      <c r="D209" s="83" t="n"/>
      <c r="E209" s="83">
        <f>IFERROR(IF(LEN(J209)&lt;=36,J209,IFERROR(LEFT(J209,FIND(CHAR(1),SUBSTITUTE(LEFT(J209,36)," ",CHAR(1),LEN(LEFT(J209,36))-LEN(SUBSTITUTE(LEFT(J209,36)," ",""))))-1),LEFT(J209,36))),"")</f>
        <v/>
      </c>
      <c r="F209" s="103">
        <f>IFERROR(IF($L209&gt;0,IF(INDEX('Invullen groen'!$H:$H,$L209)=0,"",INT(INDEX('Invullen groen'!$H:$H,$L209))),""),"")</f>
        <v/>
      </c>
      <c r="G209" s="103">
        <f>IFERROR(IF($L209&gt;0,IF(INDEX('Invullen groen'!$I:$I,$L209)=0,"",INT(INDEX('Invullen groen'!$I:$I,$L209))),""),"")</f>
        <v/>
      </c>
      <c r="H209" s="103">
        <f>IFERROR(IF($L209&gt;0,IF(INDEX('Invullen groen'!$J:$J,$L209)=0,"",INT(INDEX('Invullen groen'!$J:$J,$L209))),""),"")</f>
        <v/>
      </c>
      <c r="I209" s="103">
        <f>IFERROR(IF($L209&gt;0,IF(INDEX('Invullen groen'!$K:$K,$L209)=0,"",INT(INDEX('Invullen groen'!$K:$K,$L209))),""),"")</f>
        <v/>
      </c>
      <c r="J209" s="83">
        <f>IF($L209&gt;0,IFERROR($K$1&amp;" "&amp;TRIM(SUBSTITUTE(SUBSTITUTE(SUBSTITUTE(SUBSTITUTE(SUBSTITUTE(SUBSTITUTE(SUBSTITUTE(SUBSTITUTE(SUBSTITUTE(SUBSTITUTE(SUBSTITUTE(SUBSTITUTE(LOWER(INDEX('Invullen groen'!$O:$O,$L209)),"2024",""),"2025",""),"2026",""),"2027",""),"2028",""),"2029",""),"taakveld ",""),"installaties","inst"),"ruwbouw","ruwb"),"afbouw","afb"),"bijstelling","bijst"),"investeringen","invest")),""),"")</f>
        <v/>
      </c>
      <c r="K209" s="83" t="n"/>
      <c r="L209" s="83">
        <f>IFERROR(MATCH(ROW()-104,'Invullen groen'!$S$121:$S$272,0)+120,0)</f>
        <v/>
      </c>
    </row>
    <row r="210" hidden="1" s="402">
      <c r="A210" s="102">
        <f>IF($L210&gt;0,"+","")</f>
        <v/>
      </c>
      <c r="B210" s="83">
        <f>IFERROR(IF($L210&gt;0,IF(INDEX('Invullen groen'!$F:$F,$L210)&gt;0,INDEX('Invullen groen'!$F:$F,$L210),""),""),"")</f>
        <v/>
      </c>
      <c r="C210" s="83">
        <f>IFERROR(IF($L210&gt;0,IF(INDEX('Invullen groen'!$N:$N,$L210)&gt;0,INDEX('Invullen groen'!$N:$N,$L210),""),""),"")</f>
        <v/>
      </c>
      <c r="D210" s="83" t="n"/>
      <c r="E210" s="83">
        <f>IFERROR(IF(LEN(J210)&lt;=36,J210,IFERROR(LEFT(J210,FIND(CHAR(1),SUBSTITUTE(LEFT(J210,36)," ",CHAR(1),LEN(LEFT(J210,36))-LEN(SUBSTITUTE(LEFT(J210,36)," ",""))))-1),LEFT(J210,36))),"")</f>
        <v/>
      </c>
      <c r="F210" s="103">
        <f>IFERROR(IF($L210&gt;0,IF(INDEX('Invullen groen'!$H:$H,$L210)=0,"",INT(INDEX('Invullen groen'!$H:$H,$L210))),""),"")</f>
        <v/>
      </c>
      <c r="G210" s="103">
        <f>IFERROR(IF($L210&gt;0,IF(INDEX('Invullen groen'!$I:$I,$L210)=0,"",INT(INDEX('Invullen groen'!$I:$I,$L210))),""),"")</f>
        <v/>
      </c>
      <c r="H210" s="103">
        <f>IFERROR(IF($L210&gt;0,IF(INDEX('Invullen groen'!$J:$J,$L210)=0,"",INT(INDEX('Invullen groen'!$J:$J,$L210))),""),"")</f>
        <v/>
      </c>
      <c r="I210" s="103">
        <f>IFERROR(IF($L210&gt;0,IF(INDEX('Invullen groen'!$K:$K,$L210)=0,"",INT(INDEX('Invullen groen'!$K:$K,$L210))),""),"")</f>
        <v/>
      </c>
      <c r="J210" s="83">
        <f>IF($L210&gt;0,IFERROR($K$1&amp;" "&amp;TRIM(SUBSTITUTE(SUBSTITUTE(SUBSTITUTE(SUBSTITUTE(SUBSTITUTE(SUBSTITUTE(SUBSTITUTE(SUBSTITUTE(SUBSTITUTE(SUBSTITUTE(SUBSTITUTE(SUBSTITUTE(LOWER(INDEX('Invullen groen'!$O:$O,$L210)),"2024",""),"2025",""),"2026",""),"2027",""),"2028",""),"2029",""),"taakveld ",""),"installaties","inst"),"ruwbouw","ruwb"),"afbouw","afb"),"bijstelling","bijst"),"investeringen","invest")),""),"")</f>
        <v/>
      </c>
      <c r="K210" s="83" t="n"/>
      <c r="L210" s="83">
        <f>IFERROR(MATCH(ROW()-104,'Invullen groen'!$S$121:$S$272,0)+120,0)</f>
        <v/>
      </c>
    </row>
    <row r="211" hidden="1" s="402">
      <c r="A211" s="102">
        <f>IF($L211&gt;0,"+","")</f>
        <v/>
      </c>
      <c r="B211" s="83">
        <f>IFERROR(IF($L211&gt;0,IF(INDEX('Invullen groen'!$F:$F,$L211)&gt;0,INDEX('Invullen groen'!$F:$F,$L211),""),""),"")</f>
        <v/>
      </c>
      <c r="C211" s="83">
        <f>IFERROR(IF($L211&gt;0,IF(INDEX('Invullen groen'!$N:$N,$L211)&gt;0,INDEX('Invullen groen'!$N:$N,$L211),""),""),"")</f>
        <v/>
      </c>
      <c r="D211" s="83" t="n"/>
      <c r="E211" s="83">
        <f>IFERROR(IF(LEN(J211)&lt;=36,J211,IFERROR(LEFT(J211,FIND(CHAR(1),SUBSTITUTE(LEFT(J211,36)," ",CHAR(1),LEN(LEFT(J211,36))-LEN(SUBSTITUTE(LEFT(J211,36)," ",""))))-1),LEFT(J211,36))),"")</f>
        <v/>
      </c>
      <c r="F211" s="103">
        <f>IFERROR(IF($L211&gt;0,IF(INDEX('Invullen groen'!$H:$H,$L211)=0,"",INT(INDEX('Invullen groen'!$H:$H,$L211))),""),"")</f>
        <v/>
      </c>
      <c r="G211" s="103">
        <f>IFERROR(IF($L211&gt;0,IF(INDEX('Invullen groen'!$I:$I,$L211)=0,"",INT(INDEX('Invullen groen'!$I:$I,$L211))),""),"")</f>
        <v/>
      </c>
      <c r="H211" s="103">
        <f>IFERROR(IF($L211&gt;0,IF(INDEX('Invullen groen'!$J:$J,$L211)=0,"",INT(INDEX('Invullen groen'!$J:$J,$L211))),""),"")</f>
        <v/>
      </c>
      <c r="I211" s="103">
        <f>IFERROR(IF($L211&gt;0,IF(INDEX('Invullen groen'!$K:$K,$L211)=0,"",INT(INDEX('Invullen groen'!$K:$K,$L211))),""),"")</f>
        <v/>
      </c>
      <c r="J211" s="83">
        <f>IF($L211&gt;0,IFERROR($K$1&amp;" "&amp;TRIM(SUBSTITUTE(SUBSTITUTE(SUBSTITUTE(SUBSTITUTE(SUBSTITUTE(SUBSTITUTE(SUBSTITUTE(SUBSTITUTE(SUBSTITUTE(SUBSTITUTE(SUBSTITUTE(SUBSTITUTE(LOWER(INDEX('Invullen groen'!$O:$O,$L211)),"2024",""),"2025",""),"2026",""),"2027",""),"2028",""),"2029",""),"taakveld ",""),"installaties","inst"),"ruwbouw","ruwb"),"afbouw","afb"),"bijstelling","bijst"),"investeringen","invest")),""),"")</f>
        <v/>
      </c>
      <c r="K211" s="83" t="n"/>
      <c r="L211" s="83">
        <f>IFERROR(MATCH(ROW()-104,'Invullen groen'!$S$121:$S$272,0)+120,0)</f>
        <v/>
      </c>
    </row>
    <row r="212" hidden="1" s="402">
      <c r="A212" s="102">
        <f>IF($L212&gt;0,"+","")</f>
        <v/>
      </c>
      <c r="B212" s="83">
        <f>IFERROR(IF($L212&gt;0,IF(INDEX('Invullen groen'!$F:$F,$L212)&gt;0,INDEX('Invullen groen'!$F:$F,$L212),""),""),"")</f>
        <v/>
      </c>
      <c r="C212" s="83">
        <f>IFERROR(IF($L212&gt;0,IF(INDEX('Invullen groen'!$N:$N,$L212)&gt;0,INDEX('Invullen groen'!$N:$N,$L212),""),""),"")</f>
        <v/>
      </c>
      <c r="D212" s="83" t="n"/>
      <c r="E212" s="83">
        <f>IFERROR(IF(LEN(J212)&lt;=36,J212,IFERROR(LEFT(J212,FIND(CHAR(1),SUBSTITUTE(LEFT(J212,36)," ",CHAR(1),LEN(LEFT(J212,36))-LEN(SUBSTITUTE(LEFT(J212,36)," ",""))))-1),LEFT(J212,36))),"")</f>
        <v/>
      </c>
      <c r="F212" s="103">
        <f>IFERROR(IF($L212&gt;0,IF(INDEX('Invullen groen'!$H:$H,$L212)=0,"",INT(INDEX('Invullen groen'!$H:$H,$L212))),""),"")</f>
        <v/>
      </c>
      <c r="G212" s="103">
        <f>IFERROR(IF($L212&gt;0,IF(INDEX('Invullen groen'!$I:$I,$L212)=0,"",INT(INDEX('Invullen groen'!$I:$I,$L212))),""),"")</f>
        <v/>
      </c>
      <c r="H212" s="103">
        <f>IFERROR(IF($L212&gt;0,IF(INDEX('Invullen groen'!$J:$J,$L212)=0,"",INT(INDEX('Invullen groen'!$J:$J,$L212))),""),"")</f>
        <v/>
      </c>
      <c r="I212" s="103">
        <f>IFERROR(IF($L212&gt;0,IF(INDEX('Invullen groen'!$K:$K,$L212)=0,"",INT(INDEX('Invullen groen'!$K:$K,$L212))),""),"")</f>
        <v/>
      </c>
      <c r="J212" s="83">
        <f>IF($L212&gt;0,IFERROR($K$1&amp;" "&amp;TRIM(SUBSTITUTE(SUBSTITUTE(SUBSTITUTE(SUBSTITUTE(SUBSTITUTE(SUBSTITUTE(SUBSTITUTE(SUBSTITUTE(SUBSTITUTE(SUBSTITUTE(SUBSTITUTE(SUBSTITUTE(LOWER(INDEX('Invullen groen'!$O:$O,$L212)),"2024",""),"2025",""),"2026",""),"2027",""),"2028",""),"2029",""),"taakveld ",""),"installaties","inst"),"ruwbouw","ruwb"),"afbouw","afb"),"bijstelling","bijst"),"investeringen","invest")),""),"")</f>
        <v/>
      </c>
      <c r="K212" s="83" t="n"/>
      <c r="L212" s="83">
        <f>IFERROR(MATCH(ROW()-104,'Invullen groen'!$S$121:$S$272,0)+120,0)</f>
        <v/>
      </c>
    </row>
    <row r="213" hidden="1" s="402">
      <c r="A213" s="102">
        <f>IF($L213&gt;0,"+","")</f>
        <v/>
      </c>
      <c r="B213" s="83">
        <f>IFERROR(IF($L213&gt;0,IF(INDEX('Invullen groen'!$F:$F,$L213)&gt;0,INDEX('Invullen groen'!$F:$F,$L213),""),""),"")</f>
        <v/>
      </c>
      <c r="C213" s="83">
        <f>IFERROR(IF($L213&gt;0,IF(INDEX('Invullen groen'!$N:$N,$L213)&gt;0,INDEX('Invullen groen'!$N:$N,$L213),""),""),"")</f>
        <v/>
      </c>
      <c r="D213" s="83" t="n"/>
      <c r="E213" s="83">
        <f>IFERROR(IF(LEN(J213)&lt;=36,J213,IFERROR(LEFT(J213,FIND(CHAR(1),SUBSTITUTE(LEFT(J213,36)," ",CHAR(1),LEN(LEFT(J213,36))-LEN(SUBSTITUTE(LEFT(J213,36)," ",""))))-1),LEFT(J213,36))),"")</f>
        <v/>
      </c>
      <c r="F213" s="103">
        <f>IFERROR(IF($L213&gt;0,IF(INDEX('Invullen groen'!$H:$H,$L213)=0,"",INT(INDEX('Invullen groen'!$H:$H,$L213))),""),"")</f>
        <v/>
      </c>
      <c r="G213" s="103">
        <f>IFERROR(IF($L213&gt;0,IF(INDEX('Invullen groen'!$I:$I,$L213)=0,"",INT(INDEX('Invullen groen'!$I:$I,$L213))),""),"")</f>
        <v/>
      </c>
      <c r="H213" s="103">
        <f>IFERROR(IF($L213&gt;0,IF(INDEX('Invullen groen'!$J:$J,$L213)=0,"",INT(INDEX('Invullen groen'!$J:$J,$L213))),""),"")</f>
        <v/>
      </c>
      <c r="I213" s="103">
        <f>IFERROR(IF($L213&gt;0,IF(INDEX('Invullen groen'!$K:$K,$L213)=0,"",INT(INDEX('Invullen groen'!$K:$K,$L213))),""),"")</f>
        <v/>
      </c>
      <c r="J213" s="83">
        <f>IF($L213&gt;0,IFERROR($K$1&amp;" "&amp;TRIM(SUBSTITUTE(SUBSTITUTE(SUBSTITUTE(SUBSTITUTE(SUBSTITUTE(SUBSTITUTE(SUBSTITUTE(SUBSTITUTE(SUBSTITUTE(SUBSTITUTE(SUBSTITUTE(SUBSTITUTE(LOWER(INDEX('Invullen groen'!$O:$O,$L213)),"2024",""),"2025",""),"2026",""),"2027",""),"2028",""),"2029",""),"taakveld ",""),"installaties","inst"),"ruwbouw","ruwb"),"afbouw","afb"),"bijstelling","bijst"),"investeringen","invest")),""),"")</f>
        <v/>
      </c>
      <c r="K213" s="83" t="n"/>
      <c r="L213" s="83">
        <f>IFERROR(MATCH(ROW()-104,'Invullen groen'!$S$121:$S$272,0)+120,0)</f>
        <v/>
      </c>
    </row>
    <row r="214" hidden="1" s="402">
      <c r="A214" s="102">
        <f>IF($L214&gt;0,"+","")</f>
        <v/>
      </c>
      <c r="B214" s="83">
        <f>IFERROR(IF($L214&gt;0,IF(INDEX('Invullen groen'!$F:$F,$L214)&gt;0,INDEX('Invullen groen'!$F:$F,$L214),""),""),"")</f>
        <v/>
      </c>
      <c r="C214" s="83">
        <f>IFERROR(IF($L214&gt;0,IF(INDEX('Invullen groen'!$N:$N,$L214)&gt;0,INDEX('Invullen groen'!$N:$N,$L214),""),""),"")</f>
        <v/>
      </c>
      <c r="D214" s="83" t="n"/>
      <c r="E214" s="83">
        <f>IFERROR(IF(LEN(J214)&lt;=36,J214,IFERROR(LEFT(J214,FIND(CHAR(1),SUBSTITUTE(LEFT(J214,36)," ",CHAR(1),LEN(LEFT(J214,36))-LEN(SUBSTITUTE(LEFT(J214,36)," ",""))))-1),LEFT(J214,36))),"")</f>
        <v/>
      </c>
      <c r="F214" s="103">
        <f>IFERROR(IF($L214&gt;0,IF(INDEX('Invullen groen'!$H:$H,$L214)=0,"",INT(INDEX('Invullen groen'!$H:$H,$L214))),""),"")</f>
        <v/>
      </c>
      <c r="G214" s="103">
        <f>IFERROR(IF($L214&gt;0,IF(INDEX('Invullen groen'!$I:$I,$L214)=0,"",INT(INDEX('Invullen groen'!$I:$I,$L214))),""),"")</f>
        <v/>
      </c>
      <c r="H214" s="103">
        <f>IFERROR(IF($L214&gt;0,IF(INDEX('Invullen groen'!$J:$J,$L214)=0,"",INT(INDEX('Invullen groen'!$J:$J,$L214))),""),"")</f>
        <v/>
      </c>
      <c r="I214" s="103">
        <f>IFERROR(IF($L214&gt;0,IF(INDEX('Invullen groen'!$K:$K,$L214)=0,"",INT(INDEX('Invullen groen'!$K:$K,$L214))),""),"")</f>
        <v/>
      </c>
      <c r="J214" s="83">
        <f>IF($L214&gt;0,IFERROR($K$1&amp;" "&amp;TRIM(SUBSTITUTE(SUBSTITUTE(SUBSTITUTE(SUBSTITUTE(SUBSTITUTE(SUBSTITUTE(SUBSTITUTE(SUBSTITUTE(SUBSTITUTE(SUBSTITUTE(SUBSTITUTE(SUBSTITUTE(LOWER(INDEX('Invullen groen'!$O:$O,$L214)),"2024",""),"2025",""),"2026",""),"2027",""),"2028",""),"2029",""),"taakveld ",""),"installaties","inst"),"ruwbouw","ruwb"),"afbouw","afb"),"bijstelling","bijst"),"investeringen","invest")),""),"")</f>
        <v/>
      </c>
      <c r="K214" s="83" t="n"/>
      <c r="L214" s="83">
        <f>IFERROR(MATCH(ROW()-104,'Invullen groen'!$S$121:$S$272,0)+120,0)</f>
        <v/>
      </c>
    </row>
    <row r="215" hidden="1" s="402">
      <c r="A215" s="102">
        <f>IF($L215&gt;0,"+","")</f>
        <v/>
      </c>
      <c r="B215" s="83">
        <f>IFERROR(IF($L215&gt;0,IF(INDEX('Invullen groen'!$F:$F,$L215)&gt;0,INDEX('Invullen groen'!$F:$F,$L215),""),""),"")</f>
        <v/>
      </c>
      <c r="C215" s="83">
        <f>IFERROR(IF($L215&gt;0,IF(INDEX('Invullen groen'!$N:$N,$L215)&gt;0,INDEX('Invullen groen'!$N:$N,$L215),""),""),"")</f>
        <v/>
      </c>
      <c r="D215" s="83" t="n"/>
      <c r="E215" s="83">
        <f>IFERROR(IF(LEN(J215)&lt;=36,J215,IFERROR(LEFT(J215,FIND(CHAR(1),SUBSTITUTE(LEFT(J215,36)," ",CHAR(1),LEN(LEFT(J215,36))-LEN(SUBSTITUTE(LEFT(J215,36)," ",""))))-1),LEFT(J215,36))),"")</f>
        <v/>
      </c>
      <c r="F215" s="103">
        <f>IFERROR(IF($L215&gt;0,IF(INDEX('Invullen groen'!$H:$H,$L215)=0,"",INT(INDEX('Invullen groen'!$H:$H,$L215))),""),"")</f>
        <v/>
      </c>
      <c r="G215" s="103">
        <f>IFERROR(IF($L215&gt;0,IF(INDEX('Invullen groen'!$I:$I,$L215)=0,"",INT(INDEX('Invullen groen'!$I:$I,$L215))),""),"")</f>
        <v/>
      </c>
      <c r="H215" s="103">
        <f>IFERROR(IF($L215&gt;0,IF(INDEX('Invullen groen'!$J:$J,$L215)=0,"",INT(INDEX('Invullen groen'!$J:$J,$L215))),""),"")</f>
        <v/>
      </c>
      <c r="I215" s="103">
        <f>IFERROR(IF($L215&gt;0,IF(INDEX('Invullen groen'!$K:$K,$L215)=0,"",INT(INDEX('Invullen groen'!$K:$K,$L215))),""),"")</f>
        <v/>
      </c>
      <c r="J215" s="83">
        <f>IF($L215&gt;0,IFERROR($K$1&amp;" "&amp;TRIM(SUBSTITUTE(SUBSTITUTE(SUBSTITUTE(SUBSTITUTE(SUBSTITUTE(SUBSTITUTE(SUBSTITUTE(SUBSTITUTE(SUBSTITUTE(SUBSTITUTE(SUBSTITUTE(SUBSTITUTE(LOWER(INDEX('Invullen groen'!$O:$O,$L215)),"2024",""),"2025",""),"2026",""),"2027",""),"2028",""),"2029",""),"taakveld ",""),"installaties","inst"),"ruwbouw","ruwb"),"afbouw","afb"),"bijstelling","bijst"),"investeringen","invest")),""),"")</f>
        <v/>
      </c>
      <c r="K215" s="83" t="n"/>
      <c r="L215" s="83">
        <f>IFERROR(MATCH(ROW()-104,'Invullen groen'!$S$121:$S$272,0)+120,0)</f>
        <v/>
      </c>
    </row>
    <row r="216" hidden="1" s="402">
      <c r="A216" s="102">
        <f>IF($L216&gt;0,"+","")</f>
        <v/>
      </c>
      <c r="B216" s="83">
        <f>IFERROR(IF($L216&gt;0,IF(INDEX('Invullen groen'!$F:$F,$L216)&gt;0,INDEX('Invullen groen'!$F:$F,$L216),""),""),"")</f>
        <v/>
      </c>
      <c r="C216" s="83">
        <f>IFERROR(IF($L216&gt;0,IF(INDEX('Invullen groen'!$N:$N,$L216)&gt;0,INDEX('Invullen groen'!$N:$N,$L216),""),""),"")</f>
        <v/>
      </c>
      <c r="D216" s="83" t="n"/>
      <c r="E216" s="83">
        <f>IFERROR(IF(LEN(J216)&lt;=36,J216,IFERROR(LEFT(J216,FIND(CHAR(1),SUBSTITUTE(LEFT(J216,36)," ",CHAR(1),LEN(LEFT(J216,36))-LEN(SUBSTITUTE(LEFT(J216,36)," ",""))))-1),LEFT(J216,36))),"")</f>
        <v/>
      </c>
      <c r="F216" s="103">
        <f>IFERROR(IF($L216&gt;0,IF(INDEX('Invullen groen'!$H:$H,$L216)=0,"",INT(INDEX('Invullen groen'!$H:$H,$L216))),""),"")</f>
        <v/>
      </c>
      <c r="G216" s="103">
        <f>IFERROR(IF($L216&gt;0,IF(INDEX('Invullen groen'!$I:$I,$L216)=0,"",INT(INDEX('Invullen groen'!$I:$I,$L216))),""),"")</f>
        <v/>
      </c>
      <c r="H216" s="103">
        <f>IFERROR(IF($L216&gt;0,IF(INDEX('Invullen groen'!$J:$J,$L216)=0,"",INT(INDEX('Invullen groen'!$J:$J,$L216))),""),"")</f>
        <v/>
      </c>
      <c r="I216" s="103">
        <f>IFERROR(IF($L216&gt;0,IF(INDEX('Invullen groen'!$K:$K,$L216)=0,"",INT(INDEX('Invullen groen'!$K:$K,$L216))),""),"")</f>
        <v/>
      </c>
      <c r="J216" s="83">
        <f>IF($L216&gt;0,IFERROR($K$1&amp;" "&amp;TRIM(SUBSTITUTE(SUBSTITUTE(SUBSTITUTE(SUBSTITUTE(SUBSTITUTE(SUBSTITUTE(SUBSTITUTE(SUBSTITUTE(SUBSTITUTE(SUBSTITUTE(SUBSTITUTE(SUBSTITUTE(LOWER(INDEX('Invullen groen'!$O:$O,$L216)),"2024",""),"2025",""),"2026",""),"2027",""),"2028",""),"2029",""),"taakveld ",""),"installaties","inst"),"ruwbouw","ruwb"),"afbouw","afb"),"bijstelling","bijst"),"investeringen","invest")),""),"")</f>
        <v/>
      </c>
      <c r="K216" s="83" t="n"/>
      <c r="L216" s="83">
        <f>IFERROR(MATCH(ROW()-104,'Invullen groen'!$S$121:$S$272,0)+120,0)</f>
        <v/>
      </c>
    </row>
    <row r="217" hidden="1" s="402">
      <c r="A217" s="102">
        <f>IF($L217&gt;0,"+","")</f>
        <v/>
      </c>
      <c r="B217" s="83">
        <f>IFERROR(IF($L217&gt;0,IF(INDEX('Invullen groen'!$F:$F,$L217)&gt;0,INDEX('Invullen groen'!$F:$F,$L217),""),""),"")</f>
        <v/>
      </c>
      <c r="C217" s="83">
        <f>IFERROR(IF($L217&gt;0,IF(INDEX('Invullen groen'!$N:$N,$L217)&gt;0,INDEX('Invullen groen'!$N:$N,$L217),""),""),"")</f>
        <v/>
      </c>
      <c r="D217" s="83" t="n"/>
      <c r="E217" s="83">
        <f>IFERROR(IF(LEN(J217)&lt;=36,J217,IFERROR(LEFT(J217,FIND(CHAR(1),SUBSTITUTE(LEFT(J217,36)," ",CHAR(1),LEN(LEFT(J217,36))-LEN(SUBSTITUTE(LEFT(J217,36)," ",""))))-1),LEFT(J217,36))),"")</f>
        <v/>
      </c>
      <c r="F217" s="103">
        <f>IFERROR(IF($L217&gt;0,IF(INDEX('Invullen groen'!$H:$H,$L217)=0,"",INT(INDEX('Invullen groen'!$H:$H,$L217))),""),"")</f>
        <v/>
      </c>
      <c r="G217" s="103">
        <f>IFERROR(IF($L217&gt;0,IF(INDEX('Invullen groen'!$I:$I,$L217)=0,"",INT(INDEX('Invullen groen'!$I:$I,$L217))),""),"")</f>
        <v/>
      </c>
      <c r="H217" s="103">
        <f>IFERROR(IF($L217&gt;0,IF(INDEX('Invullen groen'!$J:$J,$L217)=0,"",INT(INDEX('Invullen groen'!$J:$J,$L217))),""),"")</f>
        <v/>
      </c>
      <c r="I217" s="103">
        <f>IFERROR(IF($L217&gt;0,IF(INDEX('Invullen groen'!$K:$K,$L217)=0,"",INT(INDEX('Invullen groen'!$K:$K,$L217))),""),"")</f>
        <v/>
      </c>
      <c r="J217" s="83">
        <f>IF($L217&gt;0,IFERROR($K$1&amp;" "&amp;TRIM(SUBSTITUTE(SUBSTITUTE(SUBSTITUTE(SUBSTITUTE(SUBSTITUTE(SUBSTITUTE(SUBSTITUTE(SUBSTITUTE(SUBSTITUTE(SUBSTITUTE(SUBSTITUTE(SUBSTITUTE(LOWER(INDEX('Invullen groen'!$O:$O,$L217)),"2024",""),"2025",""),"2026",""),"2027",""),"2028",""),"2029",""),"taakveld ",""),"installaties","inst"),"ruwbouw","ruwb"),"afbouw","afb"),"bijstelling","bijst"),"investeringen","invest")),""),"")</f>
        <v/>
      </c>
      <c r="K217" s="83" t="n"/>
      <c r="L217" s="83">
        <f>IFERROR(MATCH(ROW()-104,'Invullen groen'!$S$121:$S$272,0)+120,0)</f>
        <v/>
      </c>
    </row>
    <row r="218" hidden="1" s="402">
      <c r="A218" s="102">
        <f>IF($L218&gt;0,"+","")</f>
        <v/>
      </c>
      <c r="B218" s="83">
        <f>IFERROR(IF($L218&gt;0,IF(INDEX('Invullen groen'!$F:$F,$L218)&gt;0,INDEX('Invullen groen'!$F:$F,$L218),""),""),"")</f>
        <v/>
      </c>
      <c r="C218" s="83">
        <f>IFERROR(IF($L218&gt;0,IF(INDEX('Invullen groen'!$N:$N,$L218)&gt;0,INDEX('Invullen groen'!$N:$N,$L218),""),""),"")</f>
        <v/>
      </c>
      <c r="D218" s="83" t="n"/>
      <c r="E218" s="83">
        <f>IFERROR(IF(LEN(J218)&lt;=36,J218,IFERROR(LEFT(J218,FIND(CHAR(1),SUBSTITUTE(LEFT(J218,36)," ",CHAR(1),LEN(LEFT(J218,36))-LEN(SUBSTITUTE(LEFT(J218,36)," ",""))))-1),LEFT(J218,36))),"")</f>
        <v/>
      </c>
      <c r="F218" s="103">
        <f>IFERROR(IF($L218&gt;0,IF(INDEX('Invullen groen'!$H:$H,$L218)=0,"",INT(INDEX('Invullen groen'!$H:$H,$L218))),""),"")</f>
        <v/>
      </c>
      <c r="G218" s="103">
        <f>IFERROR(IF($L218&gt;0,IF(INDEX('Invullen groen'!$I:$I,$L218)=0,"",INT(INDEX('Invullen groen'!$I:$I,$L218))),""),"")</f>
        <v/>
      </c>
      <c r="H218" s="103">
        <f>IFERROR(IF($L218&gt;0,IF(INDEX('Invullen groen'!$J:$J,$L218)=0,"",INT(INDEX('Invullen groen'!$J:$J,$L218))),""),"")</f>
        <v/>
      </c>
      <c r="I218" s="103">
        <f>IFERROR(IF($L218&gt;0,IF(INDEX('Invullen groen'!$K:$K,$L218)=0,"",INT(INDEX('Invullen groen'!$K:$K,$L218))),""),"")</f>
        <v/>
      </c>
      <c r="J218" s="83">
        <f>IF($L218&gt;0,IFERROR($K$1&amp;" "&amp;TRIM(SUBSTITUTE(SUBSTITUTE(SUBSTITUTE(SUBSTITUTE(SUBSTITUTE(SUBSTITUTE(SUBSTITUTE(SUBSTITUTE(SUBSTITUTE(SUBSTITUTE(SUBSTITUTE(SUBSTITUTE(LOWER(INDEX('Invullen groen'!$O:$O,$L218)),"2024",""),"2025",""),"2026",""),"2027",""),"2028",""),"2029",""),"taakveld ",""),"installaties","inst"),"ruwbouw","ruwb"),"afbouw","afb"),"bijstelling","bijst"),"investeringen","invest")),""),"")</f>
        <v/>
      </c>
      <c r="K218" s="83" t="n"/>
      <c r="L218" s="83">
        <f>IFERROR(MATCH(ROW()-104,'Invullen groen'!$S$121:$S$272,0)+120,0)</f>
        <v/>
      </c>
    </row>
    <row r="219" hidden="1" s="402">
      <c r="A219" s="102">
        <f>IF($L219&gt;0,"+","")</f>
        <v/>
      </c>
      <c r="B219" s="83">
        <f>IFERROR(IF($L219&gt;0,IF(INDEX('Invullen groen'!$F:$F,$L219)&gt;0,INDEX('Invullen groen'!$F:$F,$L219),""),""),"")</f>
        <v/>
      </c>
      <c r="C219" s="83">
        <f>IFERROR(IF($L219&gt;0,IF(INDEX('Invullen groen'!$N:$N,$L219)&gt;0,INDEX('Invullen groen'!$N:$N,$L219),""),""),"")</f>
        <v/>
      </c>
      <c r="D219" s="83" t="n"/>
      <c r="E219" s="83">
        <f>IFERROR(IF(LEN(J219)&lt;=36,J219,IFERROR(LEFT(J219,FIND(CHAR(1),SUBSTITUTE(LEFT(J219,36)," ",CHAR(1),LEN(LEFT(J219,36))-LEN(SUBSTITUTE(LEFT(J219,36)," ",""))))-1),LEFT(J219,36))),"")</f>
        <v/>
      </c>
      <c r="F219" s="103">
        <f>IFERROR(IF($L219&gt;0,IF(INDEX('Invullen groen'!$H:$H,$L219)=0,"",INT(INDEX('Invullen groen'!$H:$H,$L219))),""),"")</f>
        <v/>
      </c>
      <c r="G219" s="103">
        <f>IFERROR(IF($L219&gt;0,IF(INDEX('Invullen groen'!$I:$I,$L219)=0,"",INT(INDEX('Invullen groen'!$I:$I,$L219))),""),"")</f>
        <v/>
      </c>
      <c r="H219" s="103">
        <f>IFERROR(IF($L219&gt;0,IF(INDEX('Invullen groen'!$J:$J,$L219)=0,"",INT(INDEX('Invullen groen'!$J:$J,$L219))),""),"")</f>
        <v/>
      </c>
      <c r="I219" s="103">
        <f>IFERROR(IF($L219&gt;0,IF(INDEX('Invullen groen'!$K:$K,$L219)=0,"",INT(INDEX('Invullen groen'!$K:$K,$L219))),""),"")</f>
        <v/>
      </c>
      <c r="J219" s="83">
        <f>IF($L219&gt;0,IFERROR($K$1&amp;" "&amp;TRIM(SUBSTITUTE(SUBSTITUTE(SUBSTITUTE(SUBSTITUTE(SUBSTITUTE(SUBSTITUTE(SUBSTITUTE(SUBSTITUTE(SUBSTITUTE(SUBSTITUTE(SUBSTITUTE(SUBSTITUTE(LOWER(INDEX('Invullen groen'!$O:$O,$L219)),"2024",""),"2025",""),"2026",""),"2027",""),"2028",""),"2029",""),"taakveld ",""),"installaties","inst"),"ruwbouw","ruwb"),"afbouw","afb"),"bijstelling","bijst"),"investeringen","invest")),""),"")</f>
        <v/>
      </c>
      <c r="K219" s="83" t="n"/>
      <c r="L219" s="83">
        <f>IFERROR(MATCH(ROW()-104,'Invullen groen'!$S$121:$S$272,0)+120,0)</f>
        <v/>
      </c>
    </row>
    <row r="220" hidden="1" s="402">
      <c r="A220" s="102">
        <f>IF($L220&gt;0,"+","")</f>
        <v/>
      </c>
      <c r="B220" s="83">
        <f>IFERROR(IF($L220&gt;0,IF(INDEX('Invullen groen'!$F:$F,$L220)&gt;0,INDEX('Invullen groen'!$F:$F,$L220),""),""),"")</f>
        <v/>
      </c>
      <c r="C220" s="83">
        <f>IFERROR(IF($L220&gt;0,IF(INDEX('Invullen groen'!$N:$N,$L220)&gt;0,INDEX('Invullen groen'!$N:$N,$L220),""),""),"")</f>
        <v/>
      </c>
      <c r="D220" s="83" t="n"/>
      <c r="E220" s="83">
        <f>IFERROR(IF(LEN(J220)&lt;=36,J220,IFERROR(LEFT(J220,FIND(CHAR(1),SUBSTITUTE(LEFT(J220,36)," ",CHAR(1),LEN(LEFT(J220,36))-LEN(SUBSTITUTE(LEFT(J220,36)," ",""))))-1),LEFT(J220,36))),"")</f>
        <v/>
      </c>
      <c r="F220" s="103">
        <f>IFERROR(IF($L220&gt;0,IF(INDEX('Invullen groen'!$H:$H,$L220)=0,"",INT(INDEX('Invullen groen'!$H:$H,$L220))),""),"")</f>
        <v/>
      </c>
      <c r="G220" s="103">
        <f>IFERROR(IF($L220&gt;0,IF(INDEX('Invullen groen'!$I:$I,$L220)=0,"",INT(INDEX('Invullen groen'!$I:$I,$L220))),""),"")</f>
        <v/>
      </c>
      <c r="H220" s="103">
        <f>IFERROR(IF($L220&gt;0,IF(INDEX('Invullen groen'!$J:$J,$L220)=0,"",INT(INDEX('Invullen groen'!$J:$J,$L220))),""),"")</f>
        <v/>
      </c>
      <c r="I220" s="103">
        <f>IFERROR(IF($L220&gt;0,IF(INDEX('Invullen groen'!$K:$K,$L220)=0,"",INT(INDEX('Invullen groen'!$K:$K,$L220))),""),"")</f>
        <v/>
      </c>
      <c r="J220" s="83">
        <f>IF($L220&gt;0,IFERROR($K$1&amp;" "&amp;TRIM(SUBSTITUTE(SUBSTITUTE(SUBSTITUTE(SUBSTITUTE(SUBSTITUTE(SUBSTITUTE(SUBSTITUTE(SUBSTITUTE(SUBSTITUTE(SUBSTITUTE(SUBSTITUTE(SUBSTITUTE(LOWER(INDEX('Invullen groen'!$O:$O,$L220)),"2024",""),"2025",""),"2026",""),"2027",""),"2028",""),"2029",""),"taakveld ",""),"installaties","inst"),"ruwbouw","ruwb"),"afbouw","afb"),"bijstelling","bijst"),"investeringen","invest")),""),"")</f>
        <v/>
      </c>
      <c r="K220" s="83" t="n"/>
      <c r="L220" s="83">
        <f>IFERROR(MATCH(ROW()-104,'Invullen groen'!$S$121:$S$272,0)+120,0)</f>
        <v/>
      </c>
    </row>
    <row r="221" hidden="1" s="402">
      <c r="A221" s="102">
        <f>IF($L221&gt;0,"+","")</f>
        <v/>
      </c>
      <c r="B221" s="83">
        <f>IFERROR(IF($L221&gt;0,IF(INDEX('Invullen groen'!$F:$F,$L221)&gt;0,INDEX('Invullen groen'!$F:$F,$L221),""),""),"")</f>
        <v/>
      </c>
      <c r="C221" s="83">
        <f>IFERROR(IF($L221&gt;0,IF(INDEX('Invullen groen'!$N:$N,$L221)&gt;0,INDEX('Invullen groen'!$N:$N,$L221),""),""),"")</f>
        <v/>
      </c>
      <c r="D221" s="83" t="n"/>
      <c r="E221" s="83">
        <f>IFERROR(IF(LEN(J221)&lt;=36,J221,IFERROR(LEFT(J221,FIND(CHAR(1),SUBSTITUTE(LEFT(J221,36)," ",CHAR(1),LEN(LEFT(J221,36))-LEN(SUBSTITUTE(LEFT(J221,36)," ",""))))-1),LEFT(J221,36))),"")</f>
        <v/>
      </c>
      <c r="F221" s="103">
        <f>IFERROR(IF($L221&gt;0,IF(INDEX('Invullen groen'!$H:$H,$L221)=0,"",INT(INDEX('Invullen groen'!$H:$H,$L221))),""),"")</f>
        <v/>
      </c>
      <c r="G221" s="103">
        <f>IFERROR(IF($L221&gt;0,IF(INDEX('Invullen groen'!$I:$I,$L221)=0,"",INT(INDEX('Invullen groen'!$I:$I,$L221))),""),"")</f>
        <v/>
      </c>
      <c r="H221" s="103">
        <f>IFERROR(IF($L221&gt;0,IF(INDEX('Invullen groen'!$J:$J,$L221)=0,"",INT(INDEX('Invullen groen'!$J:$J,$L221))),""),"")</f>
        <v/>
      </c>
      <c r="I221" s="103">
        <f>IFERROR(IF($L221&gt;0,IF(INDEX('Invullen groen'!$K:$K,$L221)=0,"",INT(INDEX('Invullen groen'!$K:$K,$L221))),""),"")</f>
        <v/>
      </c>
      <c r="J221" s="83">
        <f>IF($L221&gt;0,IFERROR($K$1&amp;" "&amp;TRIM(SUBSTITUTE(SUBSTITUTE(SUBSTITUTE(SUBSTITUTE(SUBSTITUTE(SUBSTITUTE(SUBSTITUTE(SUBSTITUTE(SUBSTITUTE(SUBSTITUTE(SUBSTITUTE(SUBSTITUTE(LOWER(INDEX('Invullen groen'!$O:$O,$L221)),"2024",""),"2025",""),"2026",""),"2027",""),"2028",""),"2029",""),"taakveld ",""),"installaties","inst"),"ruwbouw","ruwb"),"afbouw","afb"),"bijstelling","bijst"),"investeringen","invest")),""),"")</f>
        <v/>
      </c>
      <c r="K221" s="83" t="n"/>
      <c r="L221" s="83">
        <f>IFERROR(MATCH(ROW()-104,'Invullen groen'!$S$121:$S$272,0)+120,0)</f>
        <v/>
      </c>
    </row>
    <row r="222" hidden="1" s="402">
      <c r="A222" s="102">
        <f>IF($L222&gt;0,"+","")</f>
        <v/>
      </c>
      <c r="B222" s="83">
        <f>IFERROR(IF($L222&gt;0,IF(INDEX('Invullen groen'!$F:$F,$L222)&gt;0,INDEX('Invullen groen'!$F:$F,$L222),""),""),"")</f>
        <v/>
      </c>
      <c r="C222" s="83">
        <f>IFERROR(IF($L222&gt;0,IF(INDEX('Invullen groen'!$N:$N,$L222)&gt;0,INDEX('Invullen groen'!$N:$N,$L222),""),""),"")</f>
        <v/>
      </c>
      <c r="D222" s="83" t="n"/>
      <c r="E222" s="83">
        <f>IFERROR(IF(LEN(J222)&lt;=36,J222,IFERROR(LEFT(J222,FIND(CHAR(1),SUBSTITUTE(LEFT(J222,36)," ",CHAR(1),LEN(LEFT(J222,36))-LEN(SUBSTITUTE(LEFT(J222,36)," ",""))))-1),LEFT(J222,36))),"")</f>
        <v/>
      </c>
      <c r="F222" s="103">
        <f>IFERROR(IF($L222&gt;0,IF(INDEX('Invullen groen'!$H:$H,$L222)=0,"",INT(INDEX('Invullen groen'!$H:$H,$L222))),""),"")</f>
        <v/>
      </c>
      <c r="G222" s="103">
        <f>IFERROR(IF($L222&gt;0,IF(INDEX('Invullen groen'!$I:$I,$L222)=0,"",INT(INDEX('Invullen groen'!$I:$I,$L222))),""),"")</f>
        <v/>
      </c>
      <c r="H222" s="103">
        <f>IFERROR(IF($L222&gt;0,IF(INDEX('Invullen groen'!$J:$J,$L222)=0,"",INT(INDEX('Invullen groen'!$J:$J,$L222))),""),"")</f>
        <v/>
      </c>
      <c r="I222" s="103">
        <f>IFERROR(IF($L222&gt;0,IF(INDEX('Invullen groen'!$K:$K,$L222)=0,"",INT(INDEX('Invullen groen'!$K:$K,$L222))),""),"")</f>
        <v/>
      </c>
      <c r="J222" s="83">
        <f>IF($L222&gt;0,IFERROR($K$1&amp;" "&amp;TRIM(SUBSTITUTE(SUBSTITUTE(SUBSTITUTE(SUBSTITUTE(SUBSTITUTE(SUBSTITUTE(SUBSTITUTE(SUBSTITUTE(SUBSTITUTE(SUBSTITUTE(SUBSTITUTE(SUBSTITUTE(LOWER(INDEX('Invullen groen'!$O:$O,$L222)),"2024",""),"2025",""),"2026",""),"2027",""),"2028",""),"2029",""),"taakveld ",""),"installaties","inst"),"ruwbouw","ruwb"),"afbouw","afb"),"bijstelling","bijst"),"investeringen","invest")),""),"")</f>
        <v/>
      </c>
      <c r="K222" s="83" t="n"/>
      <c r="L222" s="83">
        <f>IFERROR(MATCH(ROW()-104,'Invullen groen'!$S$121:$S$272,0)+120,0)</f>
        <v/>
      </c>
    </row>
    <row r="223" hidden="1" s="402">
      <c r="A223" s="102">
        <f>IF($L223&gt;0,"+","")</f>
        <v/>
      </c>
      <c r="B223" s="83">
        <f>IFERROR(IF($L223&gt;0,IF(INDEX('Invullen groen'!$F:$F,$L223)&gt;0,INDEX('Invullen groen'!$F:$F,$L223),""),""),"")</f>
        <v/>
      </c>
      <c r="C223" s="83">
        <f>IFERROR(IF($L223&gt;0,IF(INDEX('Invullen groen'!$N:$N,$L223)&gt;0,INDEX('Invullen groen'!$N:$N,$L223),""),""),"")</f>
        <v/>
      </c>
      <c r="D223" s="83" t="n"/>
      <c r="E223" s="83">
        <f>IFERROR(IF(LEN(J223)&lt;=36,J223,IFERROR(LEFT(J223,FIND(CHAR(1),SUBSTITUTE(LEFT(J223,36)," ",CHAR(1),LEN(LEFT(J223,36))-LEN(SUBSTITUTE(LEFT(J223,36)," ",""))))-1),LEFT(J223,36))),"")</f>
        <v/>
      </c>
      <c r="F223" s="103">
        <f>IFERROR(IF($L223&gt;0,IF(INDEX('Invullen groen'!$H:$H,$L223)=0,"",INT(INDEX('Invullen groen'!$H:$H,$L223))),""),"")</f>
        <v/>
      </c>
      <c r="G223" s="103">
        <f>IFERROR(IF($L223&gt;0,IF(INDEX('Invullen groen'!$I:$I,$L223)=0,"",INT(INDEX('Invullen groen'!$I:$I,$L223))),""),"")</f>
        <v/>
      </c>
      <c r="H223" s="103">
        <f>IFERROR(IF($L223&gt;0,IF(INDEX('Invullen groen'!$J:$J,$L223)=0,"",INT(INDEX('Invullen groen'!$J:$J,$L223))),""),"")</f>
        <v/>
      </c>
      <c r="I223" s="103">
        <f>IFERROR(IF($L223&gt;0,IF(INDEX('Invullen groen'!$K:$K,$L223)=0,"",INT(INDEX('Invullen groen'!$K:$K,$L223))),""),"")</f>
        <v/>
      </c>
      <c r="J223" s="83">
        <f>IF($L223&gt;0,IFERROR($K$1&amp;" "&amp;TRIM(SUBSTITUTE(SUBSTITUTE(SUBSTITUTE(SUBSTITUTE(SUBSTITUTE(SUBSTITUTE(SUBSTITUTE(SUBSTITUTE(SUBSTITUTE(SUBSTITUTE(SUBSTITUTE(SUBSTITUTE(LOWER(INDEX('Invullen groen'!$O:$O,$L223)),"2024",""),"2025",""),"2026",""),"2027",""),"2028",""),"2029",""),"taakveld ",""),"installaties","inst"),"ruwbouw","ruwb"),"afbouw","afb"),"bijstelling","bijst"),"investeringen","invest")),""),"")</f>
        <v/>
      </c>
      <c r="K223" s="83" t="n"/>
      <c r="L223" s="83">
        <f>IFERROR(MATCH(ROW()-104,'Invullen groen'!$S$121:$S$272,0)+120,0)</f>
        <v/>
      </c>
    </row>
    <row r="224" hidden="1" s="402">
      <c r="A224" s="102">
        <f>IF($L224&gt;0,"+","")</f>
        <v/>
      </c>
      <c r="B224" s="83">
        <f>IFERROR(IF($L224&gt;0,IF(INDEX('Invullen groen'!$F:$F,$L224)&gt;0,INDEX('Invullen groen'!$F:$F,$L224),""),""),"")</f>
        <v/>
      </c>
      <c r="C224" s="83">
        <f>IFERROR(IF($L224&gt;0,IF(INDEX('Invullen groen'!$N:$N,$L224)&gt;0,INDEX('Invullen groen'!$N:$N,$L224),""),""),"")</f>
        <v/>
      </c>
      <c r="D224" s="83" t="n"/>
      <c r="E224" s="83">
        <f>IFERROR(IF(LEN(J224)&lt;=36,J224,IFERROR(LEFT(J224,FIND(CHAR(1),SUBSTITUTE(LEFT(J224,36)," ",CHAR(1),LEN(LEFT(J224,36))-LEN(SUBSTITUTE(LEFT(J224,36)," ",""))))-1),LEFT(J224,36))),"")</f>
        <v/>
      </c>
      <c r="F224" s="103">
        <f>IFERROR(IF($L224&gt;0,IF(INDEX('Invullen groen'!$H:$H,$L224)=0,"",INT(INDEX('Invullen groen'!$H:$H,$L224))),""),"")</f>
        <v/>
      </c>
      <c r="G224" s="103">
        <f>IFERROR(IF($L224&gt;0,IF(INDEX('Invullen groen'!$I:$I,$L224)=0,"",INT(INDEX('Invullen groen'!$I:$I,$L224))),""),"")</f>
        <v/>
      </c>
      <c r="H224" s="103">
        <f>IFERROR(IF($L224&gt;0,IF(INDEX('Invullen groen'!$J:$J,$L224)=0,"",INT(INDEX('Invullen groen'!$J:$J,$L224))),""),"")</f>
        <v/>
      </c>
      <c r="I224" s="103">
        <f>IFERROR(IF($L224&gt;0,IF(INDEX('Invullen groen'!$K:$K,$L224)=0,"",INT(INDEX('Invullen groen'!$K:$K,$L224))),""),"")</f>
        <v/>
      </c>
      <c r="J224" s="83">
        <f>IF($L224&gt;0,IFERROR($K$1&amp;" "&amp;TRIM(SUBSTITUTE(SUBSTITUTE(SUBSTITUTE(SUBSTITUTE(SUBSTITUTE(SUBSTITUTE(SUBSTITUTE(SUBSTITUTE(SUBSTITUTE(SUBSTITUTE(SUBSTITUTE(SUBSTITUTE(LOWER(INDEX('Invullen groen'!$O:$O,$L224)),"2024",""),"2025",""),"2026",""),"2027",""),"2028",""),"2029",""),"taakveld ",""),"installaties","inst"),"ruwbouw","ruwb"),"afbouw","afb"),"bijstelling","bijst"),"investeringen","invest")),""),"")</f>
        <v/>
      </c>
      <c r="K224" s="83" t="n"/>
      <c r="L224" s="83">
        <f>IFERROR(MATCH(ROW()-104,'Invullen groen'!$S$121:$S$272,0)+120,0)</f>
        <v/>
      </c>
    </row>
    <row r="225" hidden="1" s="402">
      <c r="A225" s="102">
        <f>IF($L225&gt;0,"+","")</f>
        <v/>
      </c>
      <c r="B225" s="83">
        <f>IFERROR(IF($L225&gt;0,IF(INDEX('Invullen groen'!$F:$F,$L225)&gt;0,INDEX('Invullen groen'!$F:$F,$L225),""),""),"")</f>
        <v/>
      </c>
      <c r="C225" s="83">
        <f>IFERROR(IF($L225&gt;0,IF(INDEX('Invullen groen'!$N:$N,$L225)&gt;0,INDEX('Invullen groen'!$N:$N,$L225),""),""),"")</f>
        <v/>
      </c>
      <c r="D225" s="83" t="n"/>
      <c r="E225" s="83">
        <f>IFERROR(IF(LEN(J225)&lt;=36,J225,IFERROR(LEFT(J225,FIND(CHAR(1),SUBSTITUTE(LEFT(J225,36)," ",CHAR(1),LEN(LEFT(J225,36))-LEN(SUBSTITUTE(LEFT(J225,36)," ",""))))-1),LEFT(J225,36))),"")</f>
        <v/>
      </c>
      <c r="F225" s="103">
        <f>IFERROR(IF($L225&gt;0,IF(INDEX('Invullen groen'!$H:$H,$L225)=0,"",INT(INDEX('Invullen groen'!$H:$H,$L225))),""),"")</f>
        <v/>
      </c>
      <c r="G225" s="103">
        <f>IFERROR(IF($L225&gt;0,IF(INDEX('Invullen groen'!$I:$I,$L225)=0,"",INT(INDEX('Invullen groen'!$I:$I,$L225))),""),"")</f>
        <v/>
      </c>
      <c r="H225" s="103">
        <f>IFERROR(IF($L225&gt;0,IF(INDEX('Invullen groen'!$J:$J,$L225)=0,"",INT(INDEX('Invullen groen'!$J:$J,$L225))),""),"")</f>
        <v/>
      </c>
      <c r="I225" s="103">
        <f>IFERROR(IF($L225&gt;0,IF(INDEX('Invullen groen'!$K:$K,$L225)=0,"",INT(INDEX('Invullen groen'!$K:$K,$L225))),""),"")</f>
        <v/>
      </c>
      <c r="J225" s="83">
        <f>IF($L225&gt;0,IFERROR($K$1&amp;" "&amp;TRIM(SUBSTITUTE(SUBSTITUTE(SUBSTITUTE(SUBSTITUTE(SUBSTITUTE(SUBSTITUTE(SUBSTITUTE(SUBSTITUTE(SUBSTITUTE(SUBSTITUTE(SUBSTITUTE(SUBSTITUTE(LOWER(INDEX('Invullen groen'!$O:$O,$L225)),"2024",""),"2025",""),"2026",""),"2027",""),"2028",""),"2029",""),"taakveld ",""),"installaties","inst"),"ruwbouw","ruwb"),"afbouw","afb"),"bijstelling","bijst"),"investeringen","invest")),""),"")</f>
        <v/>
      </c>
      <c r="K225" s="83" t="n"/>
      <c r="L225" s="83">
        <f>IFERROR(MATCH(ROW()-104,'Invullen groen'!$S$121:$S$272,0)+120,0)</f>
        <v/>
      </c>
    </row>
    <row r="226" hidden="1" s="402">
      <c r="A226" s="102">
        <f>IF($L226&gt;0,"+","")</f>
        <v/>
      </c>
      <c r="B226" s="83">
        <f>IFERROR(IF($L226&gt;0,IF(INDEX('Invullen groen'!$F:$F,$L226)&gt;0,INDEX('Invullen groen'!$F:$F,$L226),""),""),"")</f>
        <v/>
      </c>
      <c r="C226" s="83">
        <f>IFERROR(IF($L226&gt;0,IF(INDEX('Invullen groen'!$N:$N,$L226)&gt;0,INDEX('Invullen groen'!$N:$N,$L226),""),""),"")</f>
        <v/>
      </c>
      <c r="D226" s="83" t="n"/>
      <c r="E226" s="83">
        <f>IFERROR(IF(LEN(J226)&lt;=36,J226,IFERROR(LEFT(J226,FIND(CHAR(1),SUBSTITUTE(LEFT(J226,36)," ",CHAR(1),LEN(LEFT(J226,36))-LEN(SUBSTITUTE(LEFT(J226,36)," ",""))))-1),LEFT(J226,36))),"")</f>
        <v/>
      </c>
      <c r="F226" s="103">
        <f>IFERROR(IF($L226&gt;0,IF(INDEX('Invullen groen'!$H:$H,$L226)=0,"",INT(INDEX('Invullen groen'!$H:$H,$L226))),""),"")</f>
        <v/>
      </c>
      <c r="G226" s="103">
        <f>IFERROR(IF($L226&gt;0,IF(INDEX('Invullen groen'!$I:$I,$L226)=0,"",INT(INDEX('Invullen groen'!$I:$I,$L226))),""),"")</f>
        <v/>
      </c>
      <c r="H226" s="103">
        <f>IFERROR(IF($L226&gt;0,IF(INDEX('Invullen groen'!$J:$J,$L226)=0,"",INT(INDEX('Invullen groen'!$J:$J,$L226))),""),"")</f>
        <v/>
      </c>
      <c r="I226" s="103">
        <f>IFERROR(IF($L226&gt;0,IF(INDEX('Invullen groen'!$K:$K,$L226)=0,"",INT(INDEX('Invullen groen'!$K:$K,$L226))),""),"")</f>
        <v/>
      </c>
      <c r="J226" s="83">
        <f>IF($L226&gt;0,IFERROR($K$1&amp;" "&amp;TRIM(SUBSTITUTE(SUBSTITUTE(SUBSTITUTE(SUBSTITUTE(SUBSTITUTE(SUBSTITUTE(SUBSTITUTE(SUBSTITUTE(SUBSTITUTE(SUBSTITUTE(SUBSTITUTE(SUBSTITUTE(LOWER(INDEX('Invullen groen'!$O:$O,$L226)),"2024",""),"2025",""),"2026",""),"2027",""),"2028",""),"2029",""),"taakveld ",""),"installaties","inst"),"ruwbouw","ruwb"),"afbouw","afb"),"bijstelling","bijst"),"investeringen","invest")),""),"")</f>
        <v/>
      </c>
      <c r="K226" s="83" t="n"/>
      <c r="L226" s="83">
        <f>IFERROR(MATCH(ROW()-104,'Invullen groen'!$S$121:$S$272,0)+120,0)</f>
        <v/>
      </c>
    </row>
    <row r="227" hidden="1" s="402">
      <c r="A227" s="102">
        <f>IF($L227&gt;0,"+","")</f>
        <v/>
      </c>
      <c r="B227" s="83">
        <f>IFERROR(IF($L227&gt;0,IF(INDEX('Invullen groen'!$F:$F,$L227)&gt;0,INDEX('Invullen groen'!$F:$F,$L227),""),""),"")</f>
        <v/>
      </c>
      <c r="C227" s="83">
        <f>IFERROR(IF($L227&gt;0,IF(INDEX('Invullen groen'!$N:$N,$L227)&gt;0,INDEX('Invullen groen'!$N:$N,$L227),""),""),"")</f>
        <v/>
      </c>
      <c r="D227" s="83" t="n"/>
      <c r="E227" s="83">
        <f>IFERROR(IF(LEN(J227)&lt;=36,J227,IFERROR(LEFT(J227,FIND(CHAR(1),SUBSTITUTE(LEFT(J227,36)," ",CHAR(1),LEN(LEFT(J227,36))-LEN(SUBSTITUTE(LEFT(J227,36)," ",""))))-1),LEFT(J227,36))),"")</f>
        <v/>
      </c>
      <c r="F227" s="103">
        <f>IFERROR(IF($L227&gt;0,IF(INDEX('Invullen groen'!$H:$H,$L227)=0,"",INT(INDEX('Invullen groen'!$H:$H,$L227))),""),"")</f>
        <v/>
      </c>
      <c r="G227" s="103">
        <f>IFERROR(IF($L227&gt;0,IF(INDEX('Invullen groen'!$I:$I,$L227)=0,"",INT(INDEX('Invullen groen'!$I:$I,$L227))),""),"")</f>
        <v/>
      </c>
      <c r="H227" s="103">
        <f>IFERROR(IF($L227&gt;0,IF(INDEX('Invullen groen'!$J:$J,$L227)=0,"",INT(INDEX('Invullen groen'!$J:$J,$L227))),""),"")</f>
        <v/>
      </c>
      <c r="I227" s="103">
        <f>IFERROR(IF($L227&gt;0,IF(INDEX('Invullen groen'!$K:$K,$L227)=0,"",INT(INDEX('Invullen groen'!$K:$K,$L227))),""),"")</f>
        <v/>
      </c>
      <c r="J227" s="83">
        <f>IF($L227&gt;0,IFERROR($K$1&amp;" "&amp;TRIM(SUBSTITUTE(SUBSTITUTE(SUBSTITUTE(SUBSTITUTE(SUBSTITUTE(SUBSTITUTE(SUBSTITUTE(SUBSTITUTE(SUBSTITUTE(SUBSTITUTE(SUBSTITUTE(SUBSTITUTE(LOWER(INDEX('Invullen groen'!$O:$O,$L227)),"2024",""),"2025",""),"2026",""),"2027",""),"2028",""),"2029",""),"taakveld ",""),"installaties","inst"),"ruwbouw","ruwb"),"afbouw","afb"),"bijstelling","bijst"),"investeringen","invest")),""),"")</f>
        <v/>
      </c>
      <c r="K227" s="83" t="n"/>
      <c r="L227" s="83">
        <f>IFERROR(MATCH(ROW()-104,'Invullen groen'!$S$121:$S$272,0)+120,0)</f>
        <v/>
      </c>
    </row>
    <row r="228" hidden="1" s="402">
      <c r="A228" s="102">
        <f>IF($L228&gt;0,"+","")</f>
        <v/>
      </c>
      <c r="B228" s="83">
        <f>IFERROR(IF($L228&gt;0,IF(INDEX('Invullen groen'!$F:$F,$L228)&gt;0,INDEX('Invullen groen'!$F:$F,$L228),""),""),"")</f>
        <v/>
      </c>
      <c r="C228" s="83">
        <f>IFERROR(IF($L228&gt;0,IF(INDEX('Invullen groen'!$N:$N,$L228)&gt;0,INDEX('Invullen groen'!$N:$N,$L228),""),""),"")</f>
        <v/>
      </c>
      <c r="D228" s="83" t="n"/>
      <c r="E228" s="83">
        <f>IFERROR(IF(LEN(J228)&lt;=36,J228,IFERROR(LEFT(J228,FIND(CHAR(1),SUBSTITUTE(LEFT(J228,36)," ",CHAR(1),LEN(LEFT(J228,36))-LEN(SUBSTITUTE(LEFT(J228,36)," ",""))))-1),LEFT(J228,36))),"")</f>
        <v/>
      </c>
      <c r="F228" s="103">
        <f>IFERROR(IF($L228&gt;0,IF(INDEX('Invullen groen'!$H:$H,$L228)=0,"",INT(INDEX('Invullen groen'!$H:$H,$L228))),""),"")</f>
        <v/>
      </c>
      <c r="G228" s="103">
        <f>IFERROR(IF($L228&gt;0,IF(INDEX('Invullen groen'!$I:$I,$L228)=0,"",INT(INDEX('Invullen groen'!$I:$I,$L228))),""),"")</f>
        <v/>
      </c>
      <c r="H228" s="103">
        <f>IFERROR(IF($L228&gt;0,IF(INDEX('Invullen groen'!$J:$J,$L228)=0,"",INT(INDEX('Invullen groen'!$J:$J,$L228))),""),"")</f>
        <v/>
      </c>
      <c r="I228" s="103">
        <f>IFERROR(IF($L228&gt;0,IF(INDEX('Invullen groen'!$K:$K,$L228)=0,"",INT(INDEX('Invullen groen'!$K:$K,$L228))),""),"")</f>
        <v/>
      </c>
      <c r="J228" s="83">
        <f>IF($L228&gt;0,IFERROR($K$1&amp;" "&amp;TRIM(SUBSTITUTE(SUBSTITUTE(SUBSTITUTE(SUBSTITUTE(SUBSTITUTE(SUBSTITUTE(SUBSTITUTE(SUBSTITUTE(SUBSTITUTE(SUBSTITUTE(SUBSTITUTE(SUBSTITUTE(LOWER(INDEX('Invullen groen'!$O:$O,$L228)),"2024",""),"2025",""),"2026",""),"2027",""),"2028",""),"2029",""),"taakveld ",""),"installaties","inst"),"ruwbouw","ruwb"),"afbouw","afb"),"bijstelling","bijst"),"investeringen","invest")),""),"")</f>
        <v/>
      </c>
      <c r="K228" s="83" t="n"/>
      <c r="L228" s="83">
        <f>IFERROR(MATCH(ROW()-104,'Invullen groen'!$S$121:$S$272,0)+120,0)</f>
        <v/>
      </c>
    </row>
    <row r="229" hidden="1" s="402">
      <c r="A229" s="102">
        <f>IF($L229&gt;0,"+","")</f>
        <v/>
      </c>
      <c r="B229" s="83">
        <f>IFERROR(IF($L229&gt;0,IF(INDEX('Invullen groen'!$F:$F,$L229)&gt;0,INDEX('Invullen groen'!$F:$F,$L229),""),""),"")</f>
        <v/>
      </c>
      <c r="C229" s="83">
        <f>IFERROR(IF($L229&gt;0,IF(INDEX('Invullen groen'!$N:$N,$L229)&gt;0,INDEX('Invullen groen'!$N:$N,$L229),""),""),"")</f>
        <v/>
      </c>
      <c r="D229" s="83" t="n"/>
      <c r="E229" s="83">
        <f>IFERROR(IF(LEN(J229)&lt;=36,J229,IFERROR(LEFT(J229,FIND(CHAR(1),SUBSTITUTE(LEFT(J229,36)," ",CHAR(1),LEN(LEFT(J229,36))-LEN(SUBSTITUTE(LEFT(J229,36)," ",""))))-1),LEFT(J229,36))),"")</f>
        <v/>
      </c>
      <c r="F229" s="103">
        <f>IFERROR(IF($L229&gt;0,IF(INDEX('Invullen groen'!$H:$H,$L229)=0,"",INT(INDEX('Invullen groen'!$H:$H,$L229))),""),"")</f>
        <v/>
      </c>
      <c r="G229" s="103">
        <f>IFERROR(IF($L229&gt;0,IF(INDEX('Invullen groen'!$I:$I,$L229)=0,"",INT(INDEX('Invullen groen'!$I:$I,$L229))),""),"")</f>
        <v/>
      </c>
      <c r="H229" s="103">
        <f>IFERROR(IF($L229&gt;0,IF(INDEX('Invullen groen'!$J:$J,$L229)=0,"",INT(INDEX('Invullen groen'!$J:$J,$L229))),""),"")</f>
        <v/>
      </c>
      <c r="I229" s="103">
        <f>IFERROR(IF($L229&gt;0,IF(INDEX('Invullen groen'!$K:$K,$L229)=0,"",INT(INDEX('Invullen groen'!$K:$K,$L229))),""),"")</f>
        <v/>
      </c>
      <c r="J229" s="83">
        <f>IF($L229&gt;0,IFERROR($K$1&amp;" "&amp;TRIM(SUBSTITUTE(SUBSTITUTE(SUBSTITUTE(SUBSTITUTE(SUBSTITUTE(SUBSTITUTE(SUBSTITUTE(SUBSTITUTE(SUBSTITUTE(SUBSTITUTE(SUBSTITUTE(SUBSTITUTE(LOWER(INDEX('Invullen groen'!$O:$O,$L229)),"2024",""),"2025",""),"2026",""),"2027",""),"2028",""),"2029",""),"taakveld ",""),"installaties","inst"),"ruwbouw","ruwb"),"afbouw","afb"),"bijstelling","bijst"),"investeringen","invest")),""),"")</f>
        <v/>
      </c>
      <c r="K229" s="83" t="n"/>
      <c r="L229" s="83">
        <f>IFERROR(MATCH(ROW()-104,'Invullen groen'!$S$121:$S$272,0)+120,0)</f>
        <v/>
      </c>
    </row>
    <row r="230" hidden="1" s="402">
      <c r="A230" s="102">
        <f>IF($L230&gt;0,"+","")</f>
        <v/>
      </c>
      <c r="B230" s="83">
        <f>IFERROR(IF($L230&gt;0,IF(INDEX('Invullen groen'!$F:$F,$L230)&gt;0,INDEX('Invullen groen'!$F:$F,$L230),""),""),"")</f>
        <v/>
      </c>
      <c r="C230" s="83">
        <f>IFERROR(IF($L230&gt;0,IF(INDEX('Invullen groen'!$N:$N,$L230)&gt;0,INDEX('Invullen groen'!$N:$N,$L230),""),""),"")</f>
        <v/>
      </c>
      <c r="D230" s="83" t="n"/>
      <c r="E230" s="83">
        <f>IFERROR(IF(LEN(J230)&lt;=36,J230,IFERROR(LEFT(J230,FIND(CHAR(1),SUBSTITUTE(LEFT(J230,36)," ",CHAR(1),LEN(LEFT(J230,36))-LEN(SUBSTITUTE(LEFT(J230,36)," ",""))))-1),LEFT(J230,36))),"")</f>
        <v/>
      </c>
      <c r="F230" s="103">
        <f>IFERROR(IF($L230&gt;0,IF(INDEX('Invullen groen'!$H:$H,$L230)=0,"",INT(INDEX('Invullen groen'!$H:$H,$L230))),""),"")</f>
        <v/>
      </c>
      <c r="G230" s="103">
        <f>IFERROR(IF($L230&gt;0,IF(INDEX('Invullen groen'!$I:$I,$L230)=0,"",INT(INDEX('Invullen groen'!$I:$I,$L230))),""),"")</f>
        <v/>
      </c>
      <c r="H230" s="103">
        <f>IFERROR(IF($L230&gt;0,IF(INDEX('Invullen groen'!$J:$J,$L230)=0,"",INT(INDEX('Invullen groen'!$J:$J,$L230))),""),"")</f>
        <v/>
      </c>
      <c r="I230" s="103">
        <f>IFERROR(IF($L230&gt;0,IF(INDEX('Invullen groen'!$K:$K,$L230)=0,"",INT(INDEX('Invullen groen'!$K:$K,$L230))),""),"")</f>
        <v/>
      </c>
      <c r="J230" s="83">
        <f>IF($L230&gt;0,IFERROR($K$1&amp;" "&amp;TRIM(SUBSTITUTE(SUBSTITUTE(SUBSTITUTE(SUBSTITUTE(SUBSTITUTE(SUBSTITUTE(SUBSTITUTE(SUBSTITUTE(SUBSTITUTE(SUBSTITUTE(SUBSTITUTE(SUBSTITUTE(LOWER(INDEX('Invullen groen'!$O:$O,$L230)),"2024",""),"2025",""),"2026",""),"2027",""),"2028",""),"2029",""),"taakveld ",""),"installaties","inst"),"ruwbouw","ruwb"),"afbouw","afb"),"bijstelling","bijst"),"investeringen","invest")),""),"")</f>
        <v/>
      </c>
      <c r="K230" s="83" t="n"/>
      <c r="L230" s="83">
        <f>IFERROR(MATCH(ROW()-104,'Invullen groen'!$S$121:$S$272,0)+120,0)</f>
        <v/>
      </c>
    </row>
    <row r="231" hidden="1" s="402">
      <c r="A231" s="102">
        <f>IF($L231&gt;0,"+","")</f>
        <v/>
      </c>
      <c r="B231" s="83">
        <f>IFERROR(IF($L231&gt;0,IF(INDEX('Invullen groen'!$F:$F,$L231)&gt;0,INDEX('Invullen groen'!$F:$F,$L231),""),""),"")</f>
        <v/>
      </c>
      <c r="C231" s="83">
        <f>IFERROR(IF($L231&gt;0,IF(INDEX('Invullen groen'!$N:$N,$L231)&gt;0,INDEX('Invullen groen'!$N:$N,$L231),""),""),"")</f>
        <v/>
      </c>
      <c r="D231" s="83" t="n"/>
      <c r="E231" s="83">
        <f>IFERROR(IF(LEN(J231)&lt;=36,J231,IFERROR(LEFT(J231,FIND(CHAR(1),SUBSTITUTE(LEFT(J231,36)," ",CHAR(1),LEN(LEFT(J231,36))-LEN(SUBSTITUTE(LEFT(J231,36)," ",""))))-1),LEFT(J231,36))),"")</f>
        <v/>
      </c>
      <c r="F231" s="103">
        <f>IFERROR(IF($L231&gt;0,IF(INDEX('Invullen groen'!$H:$H,$L231)=0,"",INT(INDEX('Invullen groen'!$H:$H,$L231))),""),"")</f>
        <v/>
      </c>
      <c r="G231" s="103">
        <f>IFERROR(IF($L231&gt;0,IF(INDEX('Invullen groen'!$I:$I,$L231)=0,"",INT(INDEX('Invullen groen'!$I:$I,$L231))),""),"")</f>
        <v/>
      </c>
      <c r="H231" s="103">
        <f>IFERROR(IF($L231&gt;0,IF(INDEX('Invullen groen'!$J:$J,$L231)=0,"",INT(INDEX('Invullen groen'!$J:$J,$L231))),""),"")</f>
        <v/>
      </c>
      <c r="I231" s="103">
        <f>IFERROR(IF($L231&gt;0,IF(INDEX('Invullen groen'!$K:$K,$L231)=0,"",INT(INDEX('Invullen groen'!$K:$K,$L231))),""),"")</f>
        <v/>
      </c>
      <c r="J231" s="83">
        <f>IF($L231&gt;0,IFERROR($K$1&amp;" "&amp;TRIM(SUBSTITUTE(SUBSTITUTE(SUBSTITUTE(SUBSTITUTE(SUBSTITUTE(SUBSTITUTE(SUBSTITUTE(SUBSTITUTE(SUBSTITUTE(SUBSTITUTE(SUBSTITUTE(SUBSTITUTE(LOWER(INDEX('Invullen groen'!$O:$O,$L231)),"2024",""),"2025",""),"2026",""),"2027",""),"2028",""),"2029",""),"taakveld ",""),"installaties","inst"),"ruwbouw","ruwb"),"afbouw","afb"),"bijstelling","bijst"),"investeringen","invest")),""),"")</f>
        <v/>
      </c>
      <c r="K231" s="83" t="n"/>
      <c r="L231" s="83">
        <f>IFERROR(MATCH(ROW()-104,'Invullen groen'!$S$121:$S$272,0)+120,0)</f>
        <v/>
      </c>
    </row>
    <row r="232" hidden="1" s="402">
      <c r="A232" s="102">
        <f>IF($L232&gt;0,"+","")</f>
        <v/>
      </c>
      <c r="B232" s="83">
        <f>IFERROR(IF($L232&gt;0,IF(INDEX('Invullen groen'!$F:$F,$L232)&gt;0,INDEX('Invullen groen'!$F:$F,$L232),""),""),"")</f>
        <v/>
      </c>
      <c r="C232" s="83">
        <f>IFERROR(IF($L232&gt;0,IF(INDEX('Invullen groen'!$N:$N,$L232)&gt;0,INDEX('Invullen groen'!$N:$N,$L232),""),""),"")</f>
        <v/>
      </c>
      <c r="D232" s="83" t="n"/>
      <c r="E232" s="83">
        <f>IFERROR(IF(LEN(J232)&lt;=36,J232,IFERROR(LEFT(J232,FIND(CHAR(1),SUBSTITUTE(LEFT(J232,36)," ",CHAR(1),LEN(LEFT(J232,36))-LEN(SUBSTITUTE(LEFT(J232,36)," ",""))))-1),LEFT(J232,36))),"")</f>
        <v/>
      </c>
      <c r="F232" s="103">
        <f>IFERROR(IF($L232&gt;0,IF(INDEX('Invullen groen'!$H:$H,$L232)=0,"",INT(INDEX('Invullen groen'!$H:$H,$L232))),""),"")</f>
        <v/>
      </c>
      <c r="G232" s="103">
        <f>IFERROR(IF($L232&gt;0,IF(INDEX('Invullen groen'!$I:$I,$L232)=0,"",INT(INDEX('Invullen groen'!$I:$I,$L232))),""),"")</f>
        <v/>
      </c>
      <c r="H232" s="103">
        <f>IFERROR(IF($L232&gt;0,IF(INDEX('Invullen groen'!$J:$J,$L232)=0,"",INT(INDEX('Invullen groen'!$J:$J,$L232))),""),"")</f>
        <v/>
      </c>
      <c r="I232" s="103">
        <f>IFERROR(IF($L232&gt;0,IF(INDEX('Invullen groen'!$K:$K,$L232)=0,"",INT(INDEX('Invullen groen'!$K:$K,$L232))),""),"")</f>
        <v/>
      </c>
      <c r="J232" s="83">
        <f>IF($L232&gt;0,IFERROR($K$1&amp;" "&amp;TRIM(SUBSTITUTE(SUBSTITUTE(SUBSTITUTE(SUBSTITUTE(SUBSTITUTE(SUBSTITUTE(SUBSTITUTE(SUBSTITUTE(SUBSTITUTE(SUBSTITUTE(SUBSTITUTE(SUBSTITUTE(LOWER(INDEX('Invullen groen'!$O:$O,$L232)),"2024",""),"2025",""),"2026",""),"2027",""),"2028",""),"2029",""),"taakveld ",""),"installaties","inst"),"ruwbouw","ruwb"),"afbouw","afb"),"bijstelling","bijst"),"investeringen","invest")),""),"")</f>
        <v/>
      </c>
      <c r="K232" s="83" t="n"/>
      <c r="L232" s="83">
        <f>IFERROR(MATCH(ROW()-104,'Invullen groen'!$S$121:$S$272,0)+120,0)</f>
        <v/>
      </c>
    </row>
    <row r="233" hidden="1" s="402">
      <c r="A233" s="102">
        <f>IF($L233&gt;0,"+","")</f>
        <v/>
      </c>
      <c r="B233" s="83">
        <f>IFERROR(IF($L233&gt;0,IF(INDEX('Invullen groen'!$F:$F,$L233)&gt;0,INDEX('Invullen groen'!$F:$F,$L233),""),""),"")</f>
        <v/>
      </c>
      <c r="C233" s="83">
        <f>IFERROR(IF($L233&gt;0,IF(INDEX('Invullen groen'!$N:$N,$L233)&gt;0,INDEX('Invullen groen'!$N:$N,$L233),""),""),"")</f>
        <v/>
      </c>
      <c r="D233" s="83" t="n"/>
      <c r="E233" s="83">
        <f>IFERROR(IF(LEN(J233)&lt;=36,J233,IFERROR(LEFT(J233,FIND(CHAR(1),SUBSTITUTE(LEFT(J233,36)," ",CHAR(1),LEN(LEFT(J233,36))-LEN(SUBSTITUTE(LEFT(J233,36)," ",""))))-1),LEFT(J233,36))),"")</f>
        <v/>
      </c>
      <c r="F233" s="103">
        <f>IFERROR(IF($L233&gt;0,IF(INDEX('Invullen groen'!$H:$H,$L233)=0,"",INT(INDEX('Invullen groen'!$H:$H,$L233))),""),"")</f>
        <v/>
      </c>
      <c r="G233" s="103">
        <f>IFERROR(IF($L233&gt;0,IF(INDEX('Invullen groen'!$I:$I,$L233)=0,"",INT(INDEX('Invullen groen'!$I:$I,$L233))),""),"")</f>
        <v/>
      </c>
      <c r="H233" s="103">
        <f>IFERROR(IF($L233&gt;0,IF(INDEX('Invullen groen'!$J:$J,$L233)=0,"",INT(INDEX('Invullen groen'!$J:$J,$L233))),""),"")</f>
        <v/>
      </c>
      <c r="I233" s="103">
        <f>IFERROR(IF($L233&gt;0,IF(INDEX('Invullen groen'!$K:$K,$L233)=0,"",INT(INDEX('Invullen groen'!$K:$K,$L233))),""),"")</f>
        <v/>
      </c>
      <c r="J233" s="83">
        <f>IF($L233&gt;0,IFERROR($K$1&amp;" "&amp;TRIM(SUBSTITUTE(SUBSTITUTE(SUBSTITUTE(SUBSTITUTE(SUBSTITUTE(SUBSTITUTE(SUBSTITUTE(SUBSTITUTE(SUBSTITUTE(SUBSTITUTE(SUBSTITUTE(SUBSTITUTE(LOWER(INDEX('Invullen groen'!$O:$O,$L233)),"2024",""),"2025",""),"2026",""),"2027",""),"2028",""),"2029",""),"taakveld ",""),"installaties","inst"),"ruwbouw","ruwb"),"afbouw","afb"),"bijstelling","bijst"),"investeringen","invest")),""),"")</f>
        <v/>
      </c>
      <c r="K233" s="83" t="n"/>
      <c r="L233" s="83">
        <f>IFERROR(MATCH(ROW()-104,'Invullen groen'!$S$121:$S$272,0)+120,0)</f>
        <v/>
      </c>
    </row>
    <row r="234" hidden="1" s="402">
      <c r="A234" s="102">
        <f>IF($L234&gt;0,"+","")</f>
        <v/>
      </c>
      <c r="B234" s="83">
        <f>IFERROR(IF($L234&gt;0,IF(INDEX('Invullen groen'!$F:$F,$L234)&gt;0,INDEX('Invullen groen'!$F:$F,$L234),""),""),"")</f>
        <v/>
      </c>
      <c r="C234" s="83">
        <f>IFERROR(IF($L234&gt;0,IF(INDEX('Invullen groen'!$N:$N,$L234)&gt;0,INDEX('Invullen groen'!$N:$N,$L234),""),""),"")</f>
        <v/>
      </c>
      <c r="D234" s="83" t="n"/>
      <c r="E234" s="83">
        <f>IFERROR(IF(LEN(J234)&lt;=36,J234,IFERROR(LEFT(J234,FIND(CHAR(1),SUBSTITUTE(LEFT(J234,36)," ",CHAR(1),LEN(LEFT(J234,36))-LEN(SUBSTITUTE(LEFT(J234,36)," ",""))))-1),LEFT(J234,36))),"")</f>
        <v/>
      </c>
      <c r="F234" s="103">
        <f>IFERROR(IF($L234&gt;0,IF(INDEX('Invullen groen'!$H:$H,$L234)=0,"",INT(INDEX('Invullen groen'!$H:$H,$L234))),""),"")</f>
        <v/>
      </c>
      <c r="G234" s="103">
        <f>IFERROR(IF($L234&gt;0,IF(INDEX('Invullen groen'!$I:$I,$L234)=0,"",INT(INDEX('Invullen groen'!$I:$I,$L234))),""),"")</f>
        <v/>
      </c>
      <c r="H234" s="103">
        <f>IFERROR(IF($L234&gt;0,IF(INDEX('Invullen groen'!$J:$J,$L234)=0,"",INT(INDEX('Invullen groen'!$J:$J,$L234))),""),"")</f>
        <v/>
      </c>
      <c r="I234" s="103">
        <f>IFERROR(IF($L234&gt;0,IF(INDEX('Invullen groen'!$K:$K,$L234)=0,"",INT(INDEX('Invullen groen'!$K:$K,$L234))),""),"")</f>
        <v/>
      </c>
      <c r="J234" s="83">
        <f>IF($L234&gt;0,IFERROR($K$1&amp;" "&amp;TRIM(SUBSTITUTE(SUBSTITUTE(SUBSTITUTE(SUBSTITUTE(SUBSTITUTE(SUBSTITUTE(SUBSTITUTE(SUBSTITUTE(SUBSTITUTE(SUBSTITUTE(SUBSTITUTE(SUBSTITUTE(LOWER(INDEX('Invullen groen'!$O:$O,$L234)),"2024",""),"2025",""),"2026",""),"2027",""),"2028",""),"2029",""),"taakveld ",""),"installaties","inst"),"ruwbouw","ruwb"),"afbouw","afb"),"bijstelling","bijst"),"investeringen","invest")),""),"")</f>
        <v/>
      </c>
      <c r="K234" s="83" t="n"/>
      <c r="L234" s="83">
        <f>IFERROR(MATCH(ROW()-104,'Invullen groen'!$S$121:$S$272,0)+120,0)</f>
        <v/>
      </c>
    </row>
    <row r="235" hidden="1" s="402">
      <c r="A235" s="102">
        <f>IF($L235&gt;0,"+","")</f>
        <v/>
      </c>
      <c r="B235" s="83">
        <f>IFERROR(IF($L235&gt;0,IF(INDEX('Invullen groen'!$F:$F,$L235)&gt;0,INDEX('Invullen groen'!$F:$F,$L235),""),""),"")</f>
        <v/>
      </c>
      <c r="C235" s="83">
        <f>IFERROR(IF($L235&gt;0,IF(INDEX('Invullen groen'!$N:$N,$L235)&gt;0,INDEX('Invullen groen'!$N:$N,$L235),""),""),"")</f>
        <v/>
      </c>
      <c r="D235" s="83" t="n"/>
      <c r="E235" s="83">
        <f>IFERROR(IF(LEN(J235)&lt;=36,J235,IFERROR(LEFT(J235,FIND(CHAR(1),SUBSTITUTE(LEFT(J235,36)," ",CHAR(1),LEN(LEFT(J235,36))-LEN(SUBSTITUTE(LEFT(J235,36)," ",""))))-1),LEFT(J235,36))),"")</f>
        <v/>
      </c>
      <c r="F235" s="103">
        <f>IFERROR(IF($L235&gt;0,IF(INDEX('Invullen groen'!$H:$H,$L235)=0,"",INT(INDEX('Invullen groen'!$H:$H,$L235))),""),"")</f>
        <v/>
      </c>
      <c r="G235" s="103">
        <f>IFERROR(IF($L235&gt;0,IF(INDEX('Invullen groen'!$I:$I,$L235)=0,"",INT(INDEX('Invullen groen'!$I:$I,$L235))),""),"")</f>
        <v/>
      </c>
      <c r="H235" s="103">
        <f>IFERROR(IF($L235&gt;0,IF(INDEX('Invullen groen'!$J:$J,$L235)=0,"",INT(INDEX('Invullen groen'!$J:$J,$L235))),""),"")</f>
        <v/>
      </c>
      <c r="I235" s="103">
        <f>IFERROR(IF($L235&gt;0,IF(INDEX('Invullen groen'!$K:$K,$L235)=0,"",INT(INDEX('Invullen groen'!$K:$K,$L235))),""),"")</f>
        <v/>
      </c>
      <c r="J235" s="83">
        <f>IF($L235&gt;0,IFERROR($K$1&amp;" "&amp;TRIM(SUBSTITUTE(SUBSTITUTE(SUBSTITUTE(SUBSTITUTE(SUBSTITUTE(SUBSTITUTE(SUBSTITUTE(SUBSTITUTE(SUBSTITUTE(SUBSTITUTE(SUBSTITUTE(SUBSTITUTE(LOWER(INDEX('Invullen groen'!$O:$O,$L235)),"2024",""),"2025",""),"2026",""),"2027",""),"2028",""),"2029",""),"taakveld ",""),"installaties","inst"),"ruwbouw","ruwb"),"afbouw","afb"),"bijstelling","bijst"),"investeringen","invest")),""),"")</f>
        <v/>
      </c>
      <c r="K235" s="83" t="n"/>
      <c r="L235" s="83">
        <f>IFERROR(MATCH(ROW()-104,'Invullen groen'!$S$121:$S$272,0)+120,0)</f>
        <v/>
      </c>
    </row>
    <row r="236" hidden="1" s="402">
      <c r="A236" s="102">
        <f>IF($L236&gt;0,"+","")</f>
        <v/>
      </c>
      <c r="B236" s="83">
        <f>IFERROR(IF($L236&gt;0,IF(INDEX('Invullen groen'!$F:$F,$L236)&gt;0,INDEX('Invullen groen'!$F:$F,$L236),""),""),"")</f>
        <v/>
      </c>
      <c r="C236" s="83">
        <f>IFERROR(IF($L236&gt;0,IF(INDEX('Invullen groen'!$N:$N,$L236)&gt;0,INDEX('Invullen groen'!$N:$N,$L236),""),""),"")</f>
        <v/>
      </c>
      <c r="D236" s="83" t="n"/>
      <c r="E236" s="83">
        <f>IFERROR(IF(LEN(J236)&lt;=36,J236,IFERROR(LEFT(J236,FIND(CHAR(1),SUBSTITUTE(LEFT(J236,36)," ",CHAR(1),LEN(LEFT(J236,36))-LEN(SUBSTITUTE(LEFT(J236,36)," ",""))))-1),LEFT(J236,36))),"")</f>
        <v/>
      </c>
      <c r="F236" s="103">
        <f>IFERROR(IF($L236&gt;0,IF(INDEX('Invullen groen'!$H:$H,$L236)=0,"",INT(INDEX('Invullen groen'!$H:$H,$L236))),""),"")</f>
        <v/>
      </c>
      <c r="G236" s="103">
        <f>IFERROR(IF($L236&gt;0,IF(INDEX('Invullen groen'!$I:$I,$L236)=0,"",INT(INDEX('Invullen groen'!$I:$I,$L236))),""),"")</f>
        <v/>
      </c>
      <c r="H236" s="103">
        <f>IFERROR(IF($L236&gt;0,IF(INDEX('Invullen groen'!$J:$J,$L236)=0,"",INT(INDEX('Invullen groen'!$J:$J,$L236))),""),"")</f>
        <v/>
      </c>
      <c r="I236" s="103">
        <f>IFERROR(IF($L236&gt;0,IF(INDEX('Invullen groen'!$K:$K,$L236)=0,"",INT(INDEX('Invullen groen'!$K:$K,$L236))),""),"")</f>
        <v/>
      </c>
      <c r="J236" s="83">
        <f>IF($L236&gt;0,IFERROR($K$1&amp;" "&amp;TRIM(SUBSTITUTE(SUBSTITUTE(SUBSTITUTE(SUBSTITUTE(SUBSTITUTE(SUBSTITUTE(SUBSTITUTE(SUBSTITUTE(SUBSTITUTE(SUBSTITUTE(SUBSTITUTE(SUBSTITUTE(LOWER(INDEX('Invullen groen'!$O:$O,$L236)),"2024",""),"2025",""),"2026",""),"2027",""),"2028",""),"2029",""),"taakveld ",""),"installaties","inst"),"ruwbouw","ruwb"),"afbouw","afb"),"bijstelling","bijst"),"investeringen","invest")),""),"")</f>
        <v/>
      </c>
      <c r="K236" s="83" t="n"/>
      <c r="L236" s="83">
        <f>IFERROR(MATCH(ROW()-104,'Invullen groen'!$S$121:$S$272,0)+120,0)</f>
        <v/>
      </c>
    </row>
    <row r="237" hidden="1" s="402">
      <c r="A237" s="102">
        <f>IF($L237&gt;0,"+","")</f>
        <v/>
      </c>
      <c r="B237" s="83">
        <f>IFERROR(IF($L237&gt;0,IF(INDEX('Invullen groen'!$F:$F,$L237)&gt;0,INDEX('Invullen groen'!$F:$F,$L237),""),""),"")</f>
        <v/>
      </c>
      <c r="C237" s="83">
        <f>IFERROR(IF($L237&gt;0,IF(INDEX('Invullen groen'!$N:$N,$L237)&gt;0,INDEX('Invullen groen'!$N:$N,$L237),""),""),"")</f>
        <v/>
      </c>
      <c r="D237" s="83" t="n"/>
      <c r="E237" s="83">
        <f>IFERROR(IF(LEN(J237)&lt;=36,J237,IFERROR(LEFT(J237,FIND(CHAR(1),SUBSTITUTE(LEFT(J237,36)," ",CHAR(1),LEN(LEFT(J237,36))-LEN(SUBSTITUTE(LEFT(J237,36)," ",""))))-1),LEFT(J237,36))),"")</f>
        <v/>
      </c>
      <c r="F237" s="103">
        <f>IFERROR(IF($L237&gt;0,IF(INDEX('Invullen groen'!$H:$H,$L237)=0,"",INT(INDEX('Invullen groen'!$H:$H,$L237))),""),"")</f>
        <v/>
      </c>
      <c r="G237" s="103">
        <f>IFERROR(IF($L237&gt;0,IF(INDEX('Invullen groen'!$I:$I,$L237)=0,"",INT(INDEX('Invullen groen'!$I:$I,$L237))),""),"")</f>
        <v/>
      </c>
      <c r="H237" s="103">
        <f>IFERROR(IF($L237&gt;0,IF(INDEX('Invullen groen'!$J:$J,$L237)=0,"",INT(INDEX('Invullen groen'!$J:$J,$L237))),""),"")</f>
        <v/>
      </c>
      <c r="I237" s="103">
        <f>IFERROR(IF($L237&gt;0,IF(INDEX('Invullen groen'!$K:$K,$L237)=0,"",INT(INDEX('Invullen groen'!$K:$K,$L237))),""),"")</f>
        <v/>
      </c>
      <c r="J237" s="83">
        <f>IF($L237&gt;0,IFERROR($K$1&amp;" "&amp;TRIM(SUBSTITUTE(SUBSTITUTE(SUBSTITUTE(SUBSTITUTE(SUBSTITUTE(SUBSTITUTE(SUBSTITUTE(SUBSTITUTE(SUBSTITUTE(SUBSTITUTE(SUBSTITUTE(SUBSTITUTE(LOWER(INDEX('Invullen groen'!$O:$O,$L237)),"2024",""),"2025",""),"2026",""),"2027",""),"2028",""),"2029",""),"taakveld ",""),"installaties","inst"),"ruwbouw","ruwb"),"afbouw","afb"),"bijstelling","bijst"),"investeringen","invest")),""),"")</f>
        <v/>
      </c>
      <c r="K237" s="83" t="n"/>
      <c r="L237" s="83">
        <f>IFERROR(MATCH(ROW()-104,'Invullen groen'!$S$121:$S$272,0)+120,0)</f>
        <v/>
      </c>
    </row>
    <row r="238" hidden="1" s="402">
      <c r="A238" s="102">
        <f>IF($L238&gt;0,"+","")</f>
        <v/>
      </c>
      <c r="B238" s="83">
        <f>IFERROR(IF($L238&gt;0,IF(INDEX('Invullen groen'!$F:$F,$L238)&gt;0,INDEX('Invullen groen'!$F:$F,$L238),""),""),"")</f>
        <v/>
      </c>
      <c r="C238" s="83">
        <f>IFERROR(IF($L238&gt;0,IF(INDEX('Invullen groen'!$N:$N,$L238)&gt;0,INDEX('Invullen groen'!$N:$N,$L238),""),""),"")</f>
        <v/>
      </c>
      <c r="D238" s="83" t="n"/>
      <c r="E238" s="83">
        <f>IFERROR(IF(LEN(J238)&lt;=36,J238,IFERROR(LEFT(J238,FIND(CHAR(1),SUBSTITUTE(LEFT(J238,36)," ",CHAR(1),LEN(LEFT(J238,36))-LEN(SUBSTITUTE(LEFT(J238,36)," ",""))))-1),LEFT(J238,36))),"")</f>
        <v/>
      </c>
      <c r="F238" s="103">
        <f>IFERROR(IF($L238&gt;0,IF(INDEX('Invullen groen'!$H:$H,$L238)=0,"",INT(INDEX('Invullen groen'!$H:$H,$L238))),""),"")</f>
        <v/>
      </c>
      <c r="G238" s="103">
        <f>IFERROR(IF($L238&gt;0,IF(INDEX('Invullen groen'!$I:$I,$L238)=0,"",INT(INDEX('Invullen groen'!$I:$I,$L238))),""),"")</f>
        <v/>
      </c>
      <c r="H238" s="103">
        <f>IFERROR(IF($L238&gt;0,IF(INDEX('Invullen groen'!$J:$J,$L238)=0,"",INT(INDEX('Invullen groen'!$J:$J,$L238))),""),"")</f>
        <v/>
      </c>
      <c r="I238" s="103">
        <f>IFERROR(IF($L238&gt;0,IF(INDEX('Invullen groen'!$K:$K,$L238)=0,"",INT(INDEX('Invullen groen'!$K:$K,$L238))),""),"")</f>
        <v/>
      </c>
      <c r="J238" s="83">
        <f>IF($L238&gt;0,IFERROR($K$1&amp;" "&amp;TRIM(SUBSTITUTE(SUBSTITUTE(SUBSTITUTE(SUBSTITUTE(SUBSTITUTE(SUBSTITUTE(SUBSTITUTE(SUBSTITUTE(SUBSTITUTE(SUBSTITUTE(SUBSTITUTE(SUBSTITUTE(LOWER(INDEX('Invullen groen'!$O:$O,$L238)),"2024",""),"2025",""),"2026",""),"2027",""),"2028",""),"2029",""),"taakveld ",""),"installaties","inst"),"ruwbouw","ruwb"),"afbouw","afb"),"bijstelling","bijst"),"investeringen","invest")),""),"")</f>
        <v/>
      </c>
      <c r="K238" s="83" t="n"/>
      <c r="L238" s="83">
        <f>IFERROR(MATCH(ROW()-104,'Invullen groen'!$S$121:$S$272,0)+120,0)</f>
        <v/>
      </c>
    </row>
    <row r="239" hidden="1" s="402">
      <c r="A239" s="102">
        <f>IF($L239&gt;0,"+","")</f>
        <v/>
      </c>
      <c r="B239" s="83">
        <f>IFERROR(IF($L239&gt;0,IF(INDEX('Invullen groen'!$F:$F,$L239)&gt;0,INDEX('Invullen groen'!$F:$F,$L239),""),""),"")</f>
        <v/>
      </c>
      <c r="C239" s="83">
        <f>IFERROR(IF($L239&gt;0,IF(INDEX('Invullen groen'!$N:$N,$L239)&gt;0,INDEX('Invullen groen'!$N:$N,$L239),""),""),"")</f>
        <v/>
      </c>
      <c r="D239" s="83" t="n"/>
      <c r="E239" s="83">
        <f>IFERROR(IF(LEN(J239)&lt;=36,J239,IFERROR(LEFT(J239,FIND(CHAR(1),SUBSTITUTE(LEFT(J239,36)," ",CHAR(1),LEN(LEFT(J239,36))-LEN(SUBSTITUTE(LEFT(J239,36)," ",""))))-1),LEFT(J239,36))),"")</f>
        <v/>
      </c>
      <c r="F239" s="103">
        <f>IFERROR(IF($L239&gt;0,IF(INDEX('Invullen groen'!$H:$H,$L239)=0,"",INT(INDEX('Invullen groen'!$H:$H,$L239))),""),"")</f>
        <v/>
      </c>
      <c r="G239" s="103">
        <f>IFERROR(IF($L239&gt;0,IF(INDEX('Invullen groen'!$I:$I,$L239)=0,"",INT(INDEX('Invullen groen'!$I:$I,$L239))),""),"")</f>
        <v/>
      </c>
      <c r="H239" s="103">
        <f>IFERROR(IF($L239&gt;0,IF(INDEX('Invullen groen'!$J:$J,$L239)=0,"",INT(INDEX('Invullen groen'!$J:$J,$L239))),""),"")</f>
        <v/>
      </c>
      <c r="I239" s="103">
        <f>IFERROR(IF($L239&gt;0,IF(INDEX('Invullen groen'!$K:$K,$L239)=0,"",INT(INDEX('Invullen groen'!$K:$K,$L239))),""),"")</f>
        <v/>
      </c>
      <c r="J239" s="83">
        <f>IF($L239&gt;0,IFERROR($K$1&amp;" "&amp;TRIM(SUBSTITUTE(SUBSTITUTE(SUBSTITUTE(SUBSTITUTE(SUBSTITUTE(SUBSTITUTE(SUBSTITUTE(SUBSTITUTE(SUBSTITUTE(SUBSTITUTE(SUBSTITUTE(SUBSTITUTE(LOWER(INDEX('Invullen groen'!$O:$O,$L239)),"2024",""),"2025",""),"2026",""),"2027",""),"2028",""),"2029",""),"taakveld ",""),"installaties","inst"),"ruwbouw","ruwb"),"afbouw","afb"),"bijstelling","bijst"),"investeringen","invest")),""),"")</f>
        <v/>
      </c>
      <c r="K239" s="83" t="n"/>
      <c r="L239" s="83">
        <f>IFERROR(MATCH(ROW()-104,'Invullen groen'!$S$121:$S$272,0)+120,0)</f>
        <v/>
      </c>
    </row>
    <row r="240">
      <c r="A240" s="102">
        <f>IF($L240&gt;0,"+","")</f>
        <v/>
      </c>
      <c r="B240" s="83">
        <f>IFERROR(IF($L240&gt;0,IF(INDEX('Invullen groen'!$F:$F,$L240)&gt;0,INDEX('Invullen groen'!$F:$F,$L240),""),""),"")</f>
        <v/>
      </c>
      <c r="C240" s="83">
        <f>IFERROR(IF($L240&gt;0,IF(INDEX('Invullen groen'!$N:$N,$L240)&gt;0,INDEX('Invullen groen'!$N:$N,$L240),""),""),"")</f>
        <v/>
      </c>
      <c r="D240" s="83" t="n"/>
      <c r="E240" s="83">
        <f>IFERROR(IF(LEN(J240)&lt;=36,J240,IFERROR(LEFT(J240,FIND(CHAR(1),SUBSTITUTE(LEFT(J240,36)," ",CHAR(1),LEN(LEFT(J240,36))-LEN(SUBSTITUTE(LEFT(J240,36)," ",""))))-1),LEFT(J240,36))),"")</f>
        <v/>
      </c>
      <c r="F240" s="103">
        <f>IFERROR(IF($L240&gt;0,IF(INDEX('Invullen groen'!$H:$H,$L240)=0,"",INT(INDEX('Invullen groen'!$H:$H,$L240))),""),"")</f>
        <v/>
      </c>
      <c r="G240" s="103">
        <f>IFERROR(IF($L240&gt;0,IF(INDEX('Invullen groen'!$I:$I,$L240)=0,"",INT(INDEX('Invullen groen'!$I:$I,$L240))),""),"")</f>
        <v/>
      </c>
      <c r="H240" s="103">
        <f>IFERROR(IF($L240&gt;0,IF(INDEX('Invullen groen'!$J:$J,$L240)=0,"",INT(INDEX('Invullen groen'!$J:$J,$L240))),""),"")</f>
        <v/>
      </c>
      <c r="I240" s="103">
        <f>IFERROR(IF($L240&gt;0,IF(INDEX('Invullen groen'!$K:$K,$L240)=0,"",INT(INDEX('Invullen groen'!$K:$K,$L240))),""),"")</f>
        <v/>
      </c>
      <c r="J240" s="83">
        <f>IF($L240&gt;0,IFERROR($K$1&amp;" "&amp;TRIM(SUBSTITUTE(SUBSTITUTE(SUBSTITUTE(SUBSTITUTE(SUBSTITUTE(SUBSTITUTE(SUBSTITUTE(SUBSTITUTE(SUBSTITUTE(SUBSTITUTE(SUBSTITUTE(SUBSTITUTE(LOWER(INDEX('Invullen groen'!$O:$O,$L240)),"2024",""),"2025",""),"2026",""),"2027",""),"2028",""),"2029",""),"taakveld ",""),"installaties","inst"),"ruwbouw","ruwb"),"afbouw","afb"),"bijstelling","bijst"),"investeringen","invest")),""),"")</f>
        <v/>
      </c>
      <c r="K240" s="83" t="n"/>
      <c r="L240" s="83">
        <f>IFERROR(MATCH(ROW()-104,'Invullen groen'!$S$121:$S$272,0)+120,0)</f>
        <v/>
      </c>
    </row>
    <row r="241">
      <c r="A241" s="102">
        <f>IF($L241&gt;0,"+","")</f>
        <v/>
      </c>
      <c r="B241" s="83">
        <f>IFERROR(IF($L241&gt;0,IF(INDEX('Invullen groen'!$F:$F,$L241)&gt;0,INDEX('Invullen groen'!$F:$F,$L241),""),""),"")</f>
        <v/>
      </c>
      <c r="C241" s="83">
        <f>IFERROR(IF($L241&gt;0,IF(INDEX('Invullen groen'!$N:$N,$L241)&gt;0,INDEX('Invullen groen'!$N:$N,$L241),""),""),"")</f>
        <v/>
      </c>
      <c r="D241" s="83" t="n"/>
      <c r="E241" s="83">
        <f>IFERROR(IF(LEN(J241)&lt;=36,J241,IFERROR(LEFT(J241,FIND(CHAR(1),SUBSTITUTE(LEFT(J241,36)," ",CHAR(1),LEN(LEFT(J241,36))-LEN(SUBSTITUTE(LEFT(J241,36)," ",""))))-1),LEFT(J241,36))),"")</f>
        <v/>
      </c>
      <c r="F241" s="103">
        <f>IFERROR(IF($L241&gt;0,IF(INDEX('Invullen groen'!$H:$H,$L241)=0,"",INT(INDEX('Invullen groen'!$H:$H,$L241))),""),"")</f>
        <v/>
      </c>
      <c r="G241" s="103">
        <f>IFERROR(IF($L241&gt;0,IF(INDEX('Invullen groen'!$I:$I,$L241)=0,"",INT(INDEX('Invullen groen'!$I:$I,$L241))),""),"")</f>
        <v/>
      </c>
      <c r="H241" s="103">
        <f>IFERROR(IF($L241&gt;0,IF(INDEX('Invullen groen'!$J:$J,$L241)=0,"",INT(INDEX('Invullen groen'!$J:$J,$L241))),""),"")</f>
        <v/>
      </c>
      <c r="I241" s="103">
        <f>IFERROR(IF($L241&gt;0,IF(INDEX('Invullen groen'!$K:$K,$L241)=0,"",INT(INDEX('Invullen groen'!$K:$K,$L241))),""),"")</f>
        <v/>
      </c>
      <c r="J241" s="83">
        <f>IF($L241&gt;0,IFERROR($K$1&amp;" "&amp;TRIM(SUBSTITUTE(SUBSTITUTE(SUBSTITUTE(SUBSTITUTE(SUBSTITUTE(SUBSTITUTE(SUBSTITUTE(SUBSTITUTE(SUBSTITUTE(SUBSTITUTE(SUBSTITUTE(SUBSTITUTE(LOWER(INDEX('Invullen groen'!$O:$O,$L241)),"2024",""),"2025",""),"2026",""),"2027",""),"2028",""),"2029",""),"taakveld ",""),"installaties","inst"),"ruwbouw","ruwb"),"afbouw","afb"),"bijstelling","bijst"),"investeringen","invest")),""),"")</f>
        <v/>
      </c>
      <c r="K241" s="83" t="n"/>
      <c r="L241" s="83">
        <f>IFERROR(MATCH(ROW()-104,'Invullen groen'!$S$121:$S$272,0)+120,0)</f>
        <v/>
      </c>
    </row>
    <row r="242">
      <c r="A242" s="102">
        <f>IF($L242&gt;0,"+","")</f>
        <v/>
      </c>
      <c r="B242" s="83">
        <f>IFERROR(IF($L242&gt;0,IF(INDEX('Invullen groen'!$F:$F,$L242)&gt;0,INDEX('Invullen groen'!$F:$F,$L242),""),""),"")</f>
        <v/>
      </c>
      <c r="C242" s="83">
        <f>IFERROR(IF($L242&gt;0,IF(INDEX('Invullen groen'!$N:$N,$L242)&gt;0,INDEX('Invullen groen'!$N:$N,$L242),""),""),"")</f>
        <v/>
      </c>
      <c r="D242" s="83" t="n"/>
      <c r="E242" s="83">
        <f>IFERROR(IF(LEN(J242)&lt;=36,J242,IFERROR(LEFT(J242,FIND(CHAR(1),SUBSTITUTE(LEFT(J242,36)," ",CHAR(1),LEN(LEFT(J242,36))-LEN(SUBSTITUTE(LEFT(J242,36)," ",""))))-1),LEFT(J242,36))),"")</f>
        <v/>
      </c>
      <c r="F242" s="83">
        <f>IFERROR(IF($L242&gt;0,IF(INDEX('Invullen groen'!$H:$H,$L242)=0,"",INT(INDEX('Invullen groen'!$H:$H,$L242))),""),"")</f>
        <v/>
      </c>
      <c r="G242" s="83">
        <f>IFERROR(IF($L242&gt;0,IF(INDEX('Invullen groen'!$I:$I,$L242)=0,"",INT(INDEX('Invullen groen'!$I:$I,$L242))),""),"")</f>
        <v/>
      </c>
      <c r="H242" s="83">
        <f>IFERROR(IF($L242&gt;0,IF(INDEX('Invullen groen'!$J:$J,$L242)=0,"",INT(INDEX('Invullen groen'!$J:$J,$L242))),""),"")</f>
        <v/>
      </c>
      <c r="I242" s="83">
        <f>IFERROR(IF($L242&gt;0,IF(INDEX('Invullen groen'!$K:$K,$L242)=0,"",INT(INDEX('Invullen groen'!$K:$K,$L242))),""),"")</f>
        <v/>
      </c>
      <c r="J242" s="83">
        <f>IF($L242&gt;0,IFERROR($K$1&amp;" "&amp;TRIM(SUBSTITUTE(SUBSTITUTE(SUBSTITUTE(SUBSTITUTE(SUBSTITUTE(SUBSTITUTE(SUBSTITUTE(SUBSTITUTE(SUBSTITUTE(SUBSTITUTE(SUBSTITUTE(SUBSTITUTE(LOWER(INDEX('Invullen groen'!$O:$O,$L242)),"2024",""),"2025",""),"2026",""),"2027",""),"2028",""),"2029",""),"taakveld ",""),"installaties","inst"),"ruwbouw","ruwb"),"afbouw","afb"),"bijstelling","bijst"),"investeringen","invest")),""),"")</f>
        <v/>
      </c>
      <c r="K242" s="83" t="n"/>
      <c r="L242" s="83">
        <f>IFERROR(MATCH(ROW()-104,'Invullen groen'!$S$121:$S$272,0)+120,0)</f>
        <v/>
      </c>
    </row>
    <row r="243">
      <c r="A243" s="102">
        <f>IF($L243&gt;0,"+","")</f>
        <v/>
      </c>
      <c r="B243" s="83">
        <f>IFERROR(IF($L243&gt;0,IF(INDEX('Invullen groen'!$F:$F,$L243)&gt;0,INDEX('Invullen groen'!$F:$F,$L243),""),""),"")</f>
        <v/>
      </c>
      <c r="C243" s="83">
        <f>IFERROR(IF($L243&gt;0,IF(INDEX('Invullen groen'!$N:$N,$L243)&gt;0,INDEX('Invullen groen'!$N:$N,$L243),""),""),"")</f>
        <v/>
      </c>
      <c r="D243" s="83" t="n"/>
      <c r="E243" s="83">
        <f>IFERROR(IF(LEN(J243)&lt;=36,J243,IFERROR(LEFT(J243,FIND(CHAR(1),SUBSTITUTE(LEFT(J243,36)," ",CHAR(1),LEN(LEFT(J243,36))-LEN(SUBSTITUTE(LEFT(J243,36)," ",""))))-1),LEFT(J243,36))),"")</f>
        <v/>
      </c>
      <c r="F243" s="83">
        <f>IFERROR(IF($L243&gt;0,IF(INDEX('Invullen groen'!$H:$H,$L243)=0,"",INT(INDEX('Invullen groen'!$H:$H,$L243))),""),"")</f>
        <v/>
      </c>
      <c r="G243" s="83">
        <f>IFERROR(IF($L243&gt;0,IF(INDEX('Invullen groen'!$I:$I,$L243)=0,"",INT(INDEX('Invullen groen'!$I:$I,$L243))),""),"")</f>
        <v/>
      </c>
      <c r="H243" s="83">
        <f>IFERROR(IF($L243&gt;0,IF(INDEX('Invullen groen'!$J:$J,$L243)=0,"",INT(INDEX('Invullen groen'!$J:$J,$L243))),""),"")</f>
        <v/>
      </c>
      <c r="I243" s="83">
        <f>IFERROR(IF($L243&gt;0,IF(INDEX('Invullen groen'!$K:$K,$L243)=0,"",INT(INDEX('Invullen groen'!$K:$K,$L243))),""),"")</f>
        <v/>
      </c>
      <c r="J243" s="83">
        <f>IF($L243&gt;0,IFERROR($K$1&amp;" "&amp;TRIM(SUBSTITUTE(SUBSTITUTE(SUBSTITUTE(SUBSTITUTE(SUBSTITUTE(SUBSTITUTE(SUBSTITUTE(SUBSTITUTE(SUBSTITUTE(SUBSTITUTE(SUBSTITUTE(SUBSTITUTE(LOWER(INDEX('Invullen groen'!$O:$O,$L243)),"2024",""),"2025",""),"2026",""),"2027",""),"2028",""),"2029",""),"taakveld ",""),"installaties","inst"),"ruwbouw","ruwb"),"afbouw","afb"),"bijstelling","bijst"),"investeringen","invest")),""),"")</f>
        <v/>
      </c>
      <c r="K243" s="83" t="n"/>
      <c r="L243" s="83">
        <f>IFERROR(MATCH(ROW()-104,'Invullen groen'!$S$121:$S$272,0)+120,0)</f>
        <v/>
      </c>
    </row>
    <row r="244">
      <c r="A244" s="102">
        <f>IF($L244&gt;0,"+","")</f>
        <v/>
      </c>
      <c r="B244" s="83">
        <f>IFERROR(IF($L244&gt;0,IF(INDEX('Invullen groen'!$F:$F,$L244)&gt;0,INDEX('Invullen groen'!$F:$F,$L244),""),""),"")</f>
        <v/>
      </c>
      <c r="C244" s="83">
        <f>IFERROR(IF($L244&gt;0,IF(INDEX('Invullen groen'!$N:$N,$L244)&gt;0,INDEX('Invullen groen'!$N:$N,$L244),""),""),"")</f>
        <v/>
      </c>
      <c r="D244" s="83" t="n"/>
      <c r="E244" s="83">
        <f>IFERROR(IF(LEN(J244)&lt;=36,J244,IFERROR(LEFT(J244,FIND(CHAR(1),SUBSTITUTE(LEFT(J244,36)," ",CHAR(1),LEN(LEFT(J244,36))-LEN(SUBSTITUTE(LEFT(J244,36)," ",""))))-1),LEFT(J244,36))),"")</f>
        <v/>
      </c>
      <c r="F244" s="83">
        <f>IFERROR(IF($L244&gt;0,IF(INDEX('Invullen groen'!$H:$H,$L244)=0,"",INT(INDEX('Invullen groen'!$H:$H,$L244))),""),"")</f>
        <v/>
      </c>
      <c r="G244" s="83">
        <f>IFERROR(IF($L244&gt;0,IF(INDEX('Invullen groen'!$I:$I,$L244)=0,"",INT(INDEX('Invullen groen'!$I:$I,$L244))),""),"")</f>
        <v/>
      </c>
      <c r="H244" s="83">
        <f>IFERROR(IF($L244&gt;0,IF(INDEX('Invullen groen'!$J:$J,$L244)=0,"",INT(INDEX('Invullen groen'!$J:$J,$L244))),""),"")</f>
        <v/>
      </c>
      <c r="I244" s="83">
        <f>IFERROR(IF($L244&gt;0,IF(INDEX('Invullen groen'!$K:$K,$L244)=0,"",INT(INDEX('Invullen groen'!$K:$K,$L244))),""),"")</f>
        <v/>
      </c>
      <c r="J244" s="83">
        <f>IF($L244&gt;0,IFERROR($K$1&amp;" "&amp;TRIM(SUBSTITUTE(SUBSTITUTE(SUBSTITUTE(SUBSTITUTE(SUBSTITUTE(SUBSTITUTE(SUBSTITUTE(SUBSTITUTE(SUBSTITUTE(SUBSTITUTE(SUBSTITUTE(SUBSTITUTE(LOWER(INDEX('Invullen groen'!$O:$O,$L244)),"2024",""),"2025",""),"2026",""),"2027",""),"2028",""),"2029",""),"taakveld ",""),"installaties","inst"),"ruwbouw","ruwb"),"afbouw","afb"),"bijstelling","bijst"),"investeringen","invest")),""),"")</f>
        <v/>
      </c>
      <c r="K244" s="83" t="n"/>
      <c r="L244" s="83">
        <f>IFERROR(MATCH(ROW()-104,'Invullen groen'!$S$121:$S$272,0)+120,0)</f>
        <v/>
      </c>
    </row>
    <row r="245">
      <c r="A245" s="102">
        <f>IF($L245&gt;0,"+","")</f>
        <v/>
      </c>
      <c r="B245" s="83">
        <f>IFERROR(IF($L245&gt;0,IF(INDEX('Invullen groen'!$F:$F,$L245)&gt;0,INDEX('Invullen groen'!$F:$F,$L245),""),""),"")</f>
        <v/>
      </c>
      <c r="C245" s="83">
        <f>IFERROR(IF($L245&gt;0,IF(INDEX('Invullen groen'!$N:$N,$L245)&gt;0,INDEX('Invullen groen'!$N:$N,$L245),""),""),"")</f>
        <v/>
      </c>
      <c r="D245" s="83" t="n"/>
      <c r="E245" s="83">
        <f>IFERROR(IF(LEN(J245)&lt;=36,J245,IFERROR(LEFT(J245,FIND(CHAR(1),SUBSTITUTE(LEFT(J245,36)," ",CHAR(1),LEN(LEFT(J245,36))-LEN(SUBSTITUTE(LEFT(J245,36)," ",""))))-1),LEFT(J245,36))),"")</f>
        <v/>
      </c>
      <c r="F245" s="83">
        <f>IFERROR(IF($L245&gt;0,IF(INDEX('Invullen groen'!$H:$H,$L245)=0,"",INT(INDEX('Invullen groen'!$H:$H,$L245))),""),"")</f>
        <v/>
      </c>
      <c r="G245" s="83">
        <f>IFERROR(IF($L245&gt;0,IF(INDEX('Invullen groen'!$I:$I,$L245)=0,"",INT(INDEX('Invullen groen'!$I:$I,$L245))),""),"")</f>
        <v/>
      </c>
      <c r="H245" s="83">
        <f>IFERROR(IF($L245&gt;0,IF(INDEX('Invullen groen'!$J:$J,$L245)=0,"",INT(INDEX('Invullen groen'!$J:$J,$L245))),""),"")</f>
        <v/>
      </c>
      <c r="I245" s="83">
        <f>IFERROR(IF($L245&gt;0,IF(INDEX('Invullen groen'!$K:$K,$L245)=0,"",INT(INDEX('Invullen groen'!$K:$K,$L245))),""),"")</f>
        <v/>
      </c>
      <c r="J245" s="83">
        <f>IF($L245&gt;0,IFERROR($K$1&amp;" "&amp;TRIM(SUBSTITUTE(SUBSTITUTE(SUBSTITUTE(SUBSTITUTE(SUBSTITUTE(SUBSTITUTE(SUBSTITUTE(SUBSTITUTE(SUBSTITUTE(SUBSTITUTE(SUBSTITUTE(SUBSTITUTE(LOWER(INDEX('Invullen groen'!$O:$O,$L245)),"2024",""),"2025",""),"2026",""),"2027",""),"2028",""),"2029",""),"taakveld ",""),"installaties","inst"),"ruwbouw","ruwb"),"afbouw","afb"),"bijstelling","bijst"),"investeringen","invest")),""),"")</f>
        <v/>
      </c>
      <c r="K245" s="83" t="n"/>
      <c r="L245" s="83">
        <f>IFERROR(MATCH(ROW()-104,'Invullen groen'!$S$121:$S$272,0)+120,0)</f>
        <v/>
      </c>
    </row>
    <row r="246">
      <c r="A246" s="102">
        <f>IF($L246&gt;0,"+","")</f>
        <v/>
      </c>
      <c r="B246" s="83">
        <f>IFERROR(IF($L246&gt;0,IF(INDEX('Invullen groen'!$F:$F,$L246)&gt;0,INDEX('Invullen groen'!$F:$F,$L246),""),""),"")</f>
        <v/>
      </c>
      <c r="C246" s="83">
        <f>IFERROR(IF($L246&gt;0,IF(INDEX('Invullen groen'!$N:$N,$L246)&gt;0,INDEX('Invullen groen'!$N:$N,$L246),""),""),"")</f>
        <v/>
      </c>
      <c r="D246" s="83" t="n"/>
      <c r="E246" s="83">
        <f>IFERROR(IF(LEN(J246)&lt;=36,J246,IFERROR(LEFT(J246,FIND(CHAR(1),SUBSTITUTE(LEFT(J246,36)," ",CHAR(1),LEN(LEFT(J246,36))-LEN(SUBSTITUTE(LEFT(J246,36)," ",""))))-1),LEFT(J246,36))),"")</f>
        <v/>
      </c>
      <c r="F246" s="83">
        <f>IFERROR(IF($L246&gt;0,IF(INDEX('Invullen groen'!$H:$H,$L246)=0,"",INT(INDEX('Invullen groen'!$H:$H,$L246))),""),"")</f>
        <v/>
      </c>
      <c r="G246" s="83">
        <f>IFERROR(IF($L246&gt;0,IF(INDEX('Invullen groen'!$I:$I,$L246)=0,"",INT(INDEX('Invullen groen'!$I:$I,$L246))),""),"")</f>
        <v/>
      </c>
      <c r="H246" s="83">
        <f>IFERROR(IF($L246&gt;0,IF(INDEX('Invullen groen'!$J:$J,$L246)=0,"",INT(INDEX('Invullen groen'!$J:$J,$L246))),""),"")</f>
        <v/>
      </c>
      <c r="I246" s="83">
        <f>IFERROR(IF($L246&gt;0,IF(INDEX('Invullen groen'!$K:$K,$L246)=0,"",INT(INDEX('Invullen groen'!$K:$K,$L246))),""),"")</f>
        <v/>
      </c>
      <c r="J246" s="83">
        <f>IF($L246&gt;0,IFERROR($K$1&amp;" "&amp;TRIM(SUBSTITUTE(SUBSTITUTE(SUBSTITUTE(SUBSTITUTE(SUBSTITUTE(SUBSTITUTE(SUBSTITUTE(SUBSTITUTE(SUBSTITUTE(SUBSTITUTE(SUBSTITUTE(SUBSTITUTE(LOWER(INDEX('Invullen groen'!$O:$O,$L246)),"2024",""),"2025",""),"2026",""),"2027",""),"2028",""),"2029",""),"taakveld ",""),"installaties","inst"),"ruwbouw","ruwb"),"afbouw","afb"),"bijstelling","bijst"),"investeringen","invest")),""),"")</f>
        <v/>
      </c>
      <c r="K246" s="83" t="n"/>
      <c r="L246" s="83">
        <f>IFERROR(MATCH(ROW()-104,'Invullen groen'!$S$121:$S$272,0)+120,0)</f>
        <v/>
      </c>
    </row>
    <row r="247">
      <c r="A247" s="102">
        <f>IF($L247&gt;0,"+","")</f>
        <v/>
      </c>
      <c r="B247" s="83">
        <f>IFERROR(IF($L247&gt;0,IF(INDEX('Invullen groen'!$F:$F,$L247)&gt;0,INDEX('Invullen groen'!$F:$F,$L247),""),""),"")</f>
        <v/>
      </c>
      <c r="C247" s="83">
        <f>IFERROR(IF($L247&gt;0,IF(INDEX('Invullen groen'!$N:$N,$L247)&gt;0,INDEX('Invullen groen'!$N:$N,$L247),""),""),"")</f>
        <v/>
      </c>
      <c r="D247" s="83" t="n"/>
      <c r="E247" s="83">
        <f>IFERROR(IF(LEN(J247)&lt;=36,J247,IFERROR(LEFT(J247,FIND(CHAR(1),SUBSTITUTE(LEFT(J247,36)," ",CHAR(1),LEN(LEFT(J247,36))-LEN(SUBSTITUTE(LEFT(J247,36)," ",""))))-1),LEFT(J247,36))),"")</f>
        <v/>
      </c>
      <c r="F247" s="83">
        <f>IFERROR(IF($L247&gt;0,IF(INDEX('Invullen groen'!$H:$H,$L247)=0,"",INT(INDEX('Invullen groen'!$H:$H,$L247))),""),"")</f>
        <v/>
      </c>
      <c r="G247" s="83">
        <f>IFERROR(IF($L247&gt;0,IF(INDEX('Invullen groen'!$I:$I,$L247)=0,"",INT(INDEX('Invullen groen'!$I:$I,$L247))),""),"")</f>
        <v/>
      </c>
      <c r="H247" s="83">
        <f>IFERROR(IF($L247&gt;0,IF(INDEX('Invullen groen'!$J:$J,$L247)=0,"",INT(INDEX('Invullen groen'!$J:$J,$L247))),""),"")</f>
        <v/>
      </c>
      <c r="I247" s="83">
        <f>IFERROR(IF($L247&gt;0,IF(INDEX('Invullen groen'!$K:$K,$L247)=0,"",INT(INDEX('Invullen groen'!$K:$K,$L247))),""),"")</f>
        <v/>
      </c>
      <c r="J247" s="83">
        <f>IF($L247&gt;0,IFERROR($K$1&amp;" "&amp;TRIM(SUBSTITUTE(SUBSTITUTE(SUBSTITUTE(SUBSTITUTE(SUBSTITUTE(SUBSTITUTE(SUBSTITUTE(SUBSTITUTE(SUBSTITUTE(SUBSTITUTE(SUBSTITUTE(SUBSTITUTE(LOWER(INDEX('Invullen groen'!$O:$O,$L247)),"2024",""),"2025",""),"2026",""),"2027",""),"2028",""),"2029",""),"taakveld ",""),"installaties","inst"),"ruwbouw","ruwb"),"afbouw","afb"),"bijstelling","bijst"),"investeringen","invest")),""),"")</f>
        <v/>
      </c>
      <c r="K247" s="83" t="n"/>
      <c r="L247" s="83">
        <f>IFERROR(MATCH(ROW()-104,'Invullen groen'!$S$121:$S$272,0)+120,0)</f>
        <v/>
      </c>
    </row>
    <row r="248">
      <c r="A248" s="102">
        <f>IF($L248&gt;0,"+","")</f>
        <v/>
      </c>
      <c r="B248" s="83">
        <f>IFERROR(IF($L248&gt;0,IF(INDEX('Invullen groen'!$F:$F,$L248)&gt;0,INDEX('Invullen groen'!$F:$F,$L248),""),""),"")</f>
        <v/>
      </c>
      <c r="C248" s="83">
        <f>IFERROR(IF($L248&gt;0,IF(INDEX('Invullen groen'!$N:$N,$L248)&gt;0,INDEX('Invullen groen'!$N:$N,$L248),""),""),"")</f>
        <v/>
      </c>
      <c r="D248" s="83" t="n"/>
      <c r="E248" s="83">
        <f>IFERROR(IF(LEN(J248)&lt;=36,J248,IFERROR(LEFT(J248,FIND(CHAR(1),SUBSTITUTE(LEFT(J248,36)," ",CHAR(1),LEN(LEFT(J248,36))-LEN(SUBSTITUTE(LEFT(J248,36)," ",""))))-1),LEFT(J248,36))),"")</f>
        <v/>
      </c>
      <c r="F248" s="83">
        <f>IFERROR(IF($L248&gt;0,IF(INDEX('Invullen groen'!$H:$H,$L248)=0,"",INT(INDEX('Invullen groen'!$H:$H,$L248))),""),"")</f>
        <v/>
      </c>
      <c r="G248" s="83">
        <f>IFERROR(IF($L248&gt;0,IF(INDEX('Invullen groen'!$I:$I,$L248)=0,"",INT(INDEX('Invullen groen'!$I:$I,$L248))),""),"")</f>
        <v/>
      </c>
      <c r="H248" s="83">
        <f>IFERROR(IF($L248&gt;0,IF(INDEX('Invullen groen'!$J:$J,$L248)=0,"",INT(INDEX('Invullen groen'!$J:$J,$L248))),""),"")</f>
        <v/>
      </c>
      <c r="I248" s="83">
        <f>IFERROR(IF($L248&gt;0,IF(INDEX('Invullen groen'!$K:$K,$L248)=0,"",INT(INDEX('Invullen groen'!$K:$K,$L248))),""),"")</f>
        <v/>
      </c>
      <c r="J248" s="83">
        <f>IF($L248&gt;0,IFERROR($K$1&amp;" "&amp;TRIM(SUBSTITUTE(SUBSTITUTE(SUBSTITUTE(SUBSTITUTE(SUBSTITUTE(SUBSTITUTE(SUBSTITUTE(SUBSTITUTE(SUBSTITUTE(SUBSTITUTE(SUBSTITUTE(SUBSTITUTE(LOWER(INDEX('Invullen groen'!$O:$O,$L248)),"2024",""),"2025",""),"2026",""),"2027",""),"2028",""),"2029",""),"taakveld ",""),"installaties","inst"),"ruwbouw","ruwb"),"afbouw","afb"),"bijstelling","bijst"),"investeringen","invest")),""),"")</f>
        <v/>
      </c>
      <c r="K248" s="83" t="n"/>
      <c r="L248" s="83">
        <f>IFERROR(MATCH(ROW()-104,'Invullen groen'!$S$121:$S$272,0)+120,0)</f>
        <v/>
      </c>
    </row>
    <row r="249">
      <c r="A249" s="102">
        <f>IF($L249&gt;0,"+","")</f>
        <v/>
      </c>
      <c r="B249" s="83">
        <f>IFERROR(IF($L249&gt;0,IF(INDEX('Invullen groen'!$F:$F,$L249)&gt;0,INDEX('Invullen groen'!$F:$F,$L249),""),""),"")</f>
        <v/>
      </c>
      <c r="C249" s="83">
        <f>IFERROR(IF($L249&gt;0,IF(INDEX('Invullen groen'!$N:$N,$L249)&gt;0,INDEX('Invullen groen'!$N:$N,$L249),""),""),"")</f>
        <v/>
      </c>
      <c r="D249" s="83" t="n"/>
      <c r="E249" s="83">
        <f>IFERROR(IF(LEN(J249)&lt;=36,J249,IFERROR(LEFT(J249,FIND(CHAR(1),SUBSTITUTE(LEFT(J249,36)," ",CHAR(1),LEN(LEFT(J249,36))-LEN(SUBSTITUTE(LEFT(J249,36)," ",""))))-1),LEFT(J249,36))),"")</f>
        <v/>
      </c>
      <c r="F249" s="83">
        <f>IFERROR(IF($L249&gt;0,IF(INDEX('Invullen groen'!$H:$H,$L249)=0,"",INT(INDEX('Invullen groen'!$H:$H,$L249))),""),"")</f>
        <v/>
      </c>
      <c r="G249" s="83">
        <f>IFERROR(IF($L249&gt;0,IF(INDEX('Invullen groen'!$I:$I,$L249)=0,"",INT(INDEX('Invullen groen'!$I:$I,$L249))),""),"")</f>
        <v/>
      </c>
      <c r="H249" s="83">
        <f>IFERROR(IF($L249&gt;0,IF(INDEX('Invullen groen'!$J:$J,$L249)=0,"",INT(INDEX('Invullen groen'!$J:$J,$L249))),""),"")</f>
        <v/>
      </c>
      <c r="I249" s="83">
        <f>IFERROR(IF($L249&gt;0,IF(INDEX('Invullen groen'!$K:$K,$L249)=0,"",INT(INDEX('Invullen groen'!$K:$K,$L249))),""),"")</f>
        <v/>
      </c>
      <c r="J249" s="83">
        <f>IF($L249&gt;0,IFERROR($K$1&amp;" "&amp;TRIM(SUBSTITUTE(SUBSTITUTE(SUBSTITUTE(SUBSTITUTE(SUBSTITUTE(SUBSTITUTE(SUBSTITUTE(SUBSTITUTE(SUBSTITUTE(SUBSTITUTE(SUBSTITUTE(SUBSTITUTE(LOWER(INDEX('Invullen groen'!$O:$O,$L249)),"2024",""),"2025",""),"2026",""),"2027",""),"2028",""),"2029",""),"taakveld ",""),"installaties","inst"),"ruwbouw","ruwb"),"afbouw","afb"),"bijstelling","bijst"),"investeringen","invest")),""),"")</f>
        <v/>
      </c>
      <c r="K249" s="83" t="n"/>
      <c r="L249" s="83">
        <f>IFERROR(MATCH(ROW()-104,'Invullen groen'!$S$121:$S$272,0)+120,0)</f>
        <v/>
      </c>
    </row>
    <row r="250">
      <c r="A250" s="102">
        <f>IF($L250&gt;0,"+","")</f>
        <v/>
      </c>
      <c r="B250" s="83">
        <f>IFERROR(IF($L250&gt;0,IF(INDEX('Invullen groen'!$F:$F,$L250)&gt;0,INDEX('Invullen groen'!$F:$F,$L250),""),""),"")</f>
        <v/>
      </c>
      <c r="C250" s="83">
        <f>IFERROR(IF($L250&gt;0,IF(INDEX('Invullen groen'!$N:$N,$L250)&gt;0,INDEX('Invullen groen'!$N:$N,$L250),""),""),"")</f>
        <v/>
      </c>
      <c r="D250" s="83" t="n"/>
      <c r="E250" s="83">
        <f>IFERROR(IF(LEN(J250)&lt;=36,J250,IFERROR(LEFT(J250,FIND(CHAR(1),SUBSTITUTE(LEFT(J250,36)," ",CHAR(1),LEN(LEFT(J250,36))-LEN(SUBSTITUTE(LEFT(J250,36)," ",""))))-1),LEFT(J250,36))),"")</f>
        <v/>
      </c>
      <c r="F250" s="83">
        <f>IFERROR(IF($L250&gt;0,IF(INDEX('Invullen groen'!$H:$H,$L250)=0,"",INT(INDEX('Invullen groen'!$H:$H,$L250))),""),"")</f>
        <v/>
      </c>
      <c r="G250" s="83">
        <f>IFERROR(IF($L250&gt;0,IF(INDEX('Invullen groen'!$I:$I,$L250)=0,"",INT(INDEX('Invullen groen'!$I:$I,$L250))),""),"")</f>
        <v/>
      </c>
      <c r="H250" s="83">
        <f>IFERROR(IF($L250&gt;0,IF(INDEX('Invullen groen'!$J:$J,$L250)=0,"",INT(INDEX('Invullen groen'!$J:$J,$L250))),""),"")</f>
        <v/>
      </c>
      <c r="I250" s="83">
        <f>IFERROR(IF($L250&gt;0,IF(INDEX('Invullen groen'!$K:$K,$L250)=0,"",INT(INDEX('Invullen groen'!$K:$K,$L250))),""),"")</f>
        <v/>
      </c>
      <c r="J250" s="83">
        <f>IF($L250&gt;0,IFERROR($K$1&amp;" "&amp;TRIM(SUBSTITUTE(SUBSTITUTE(SUBSTITUTE(SUBSTITUTE(SUBSTITUTE(SUBSTITUTE(SUBSTITUTE(SUBSTITUTE(SUBSTITUTE(SUBSTITUTE(SUBSTITUTE(SUBSTITUTE(LOWER(INDEX('Invullen groen'!$O:$O,$L250)),"2024",""),"2025",""),"2026",""),"2027",""),"2028",""),"2029",""),"taakveld ",""),"installaties","inst"),"ruwbouw","ruwb"),"afbouw","afb"),"bijstelling","bijst"),"investeringen","invest")),""),"")</f>
        <v/>
      </c>
      <c r="K250" s="83" t="n"/>
      <c r="L250" s="83">
        <f>IFERROR(MATCH(ROW()-104,'Invullen groen'!$S$121:$S$272,0)+120,0)</f>
        <v/>
      </c>
    </row>
    <row r="251">
      <c r="A251" s="83">
        <f>IF(SUM(F105:I250)=0,"",2999999)</f>
        <v/>
      </c>
      <c r="B251" s="83">
        <f>IF(SUM(F105:I250)=0,"",86100)</f>
        <v/>
      </c>
      <c r="C251" s="83" t="n"/>
      <c r="D251" s="83" t="n"/>
      <c r="E251" s="83">
        <f>IF(SUM(F105:I250)=0,"",$K$1&amp;" sluitrekening balans")</f>
        <v/>
      </c>
      <c r="F251" s="83">
        <f>IFERROR(IF(SUM(F105:F250)=0,"",-SUM(F105:F250)),"")</f>
        <v/>
      </c>
      <c r="G251" s="83">
        <f>IFERROR(IF(SUM(G105:G250)=0,"",-SUM(G105:G250)),"")</f>
        <v/>
      </c>
      <c r="H251" s="83">
        <f>IFERROR(IF(SUM(H105:H250)=0,"",-SUM(H105:H250)),"")</f>
        <v/>
      </c>
      <c r="I251" s="83">
        <f>IFERROR(IF(SUM(I105:I250)=0,"",-SUM(I105:I250)),"")</f>
        <v/>
      </c>
      <c r="J251" s="83" t="n"/>
      <c r="K251" s="83" t="n"/>
      <c r="L251" s="8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Blad1">
    <tabColor rgb="FF1A5FA8"/>
    <outlinePr summaryBelow="1" summaryRight="1"/>
    <pageSetUpPr/>
  </sheetPr>
  <dimension ref="A1:BO1135"/>
  <sheetViews>
    <sheetView showZeros="0" view="pageBreakPreview" zoomScaleNormal="100" zoomScaleSheetLayoutView="100" workbookViewId="0">
      <pane ySplit="3" topLeftCell="A34" activePane="bottomLeft" state="frozen"/>
      <selection pane="bottomLeft" activeCell="A13" sqref="A13"/>
    </sheetView>
  </sheetViews>
  <sheetFormatPr baseColWidth="8" defaultColWidth="9.140625" defaultRowHeight="12.75"/>
  <cols>
    <col width="36.140625" customWidth="1" style="4" min="1" max="1"/>
    <col width="15.42578125" customWidth="1" style="2" min="2" max="2"/>
    <col width="71.7109375" customWidth="1" style="1" min="3" max="3"/>
    <col width="36.42578125" customWidth="1" style="4" min="4" max="4"/>
    <col width="14.85546875" customWidth="1" style="3" min="5" max="8"/>
    <col width="9.140625" customWidth="1" style="1" min="9" max="11"/>
    <col width="9.140625" customWidth="1" style="1" min="12" max="16384"/>
  </cols>
  <sheetData>
    <row r="1" ht="114.95" customHeight="1" s="402">
      <c r="A1" s="401">
        <f>+'Invullen groen'!A4</f>
        <v/>
      </c>
      <c r="B1" s="104" t="n"/>
      <c r="C1" s="104" t="n"/>
      <c r="D1" s="104" t="n"/>
      <c r="E1" s="104" t="n"/>
      <c r="F1" s="105">
        <f>+'Invullen groen'!I4</f>
        <v/>
      </c>
      <c r="G1" s="105">
        <f>+'Invullen groen'!J4</f>
        <v/>
      </c>
      <c r="H1" s="105">
        <f>+'Invullen groen'!K4</f>
        <v/>
      </c>
      <c r="I1" s="106">
        <f>+'Invullen groen'!AW4</f>
        <v/>
      </c>
      <c r="J1" s="106">
        <f>+'Invullen groen'!AX4</f>
        <v/>
      </c>
      <c r="K1" s="106">
        <f>+'Invullen groen'!AY4</f>
        <v/>
      </c>
      <c r="L1" s="106">
        <f>+'Invullen groen'!AZ4</f>
        <v/>
      </c>
      <c r="M1" s="106">
        <f>+'Invullen groen'!BA4</f>
        <v/>
      </c>
      <c r="N1" s="106">
        <f>+'Invullen groen'!BB4</f>
        <v/>
      </c>
      <c r="O1" s="106">
        <f>+'Invullen groen'!BC4</f>
        <v/>
      </c>
      <c r="P1" s="106">
        <f>+'Invullen groen'!BD4</f>
        <v/>
      </c>
    </row>
    <row r="2" ht="18" customHeight="1" s="402">
      <c r="A2" s="107" t="inlineStr">
        <is>
          <t>Omschrijving wijziging</t>
        </is>
      </c>
      <c r="B2" s="108">
        <f>+'Invullen groen'!C5</f>
        <v/>
      </c>
      <c r="C2" s="108">
        <f>+'Invullen groen'!D5</f>
        <v/>
      </c>
      <c r="D2" s="109" t="n"/>
      <c r="E2" s="109" t="n"/>
      <c r="F2" s="412">
        <f>+'Invullen groen'!I5</f>
        <v/>
      </c>
      <c r="G2" s="412">
        <f>+'Invullen groen'!J5</f>
        <v/>
      </c>
      <c r="H2" s="412">
        <f>+'Invullen groen'!K5</f>
        <v/>
      </c>
      <c r="I2" s="96">
        <f>+'Invullen groen'!AW5</f>
        <v/>
      </c>
      <c r="J2" s="96">
        <f>+'Invullen groen'!AX5</f>
        <v/>
      </c>
      <c r="K2" s="96">
        <f>+'Invullen groen'!AY5</f>
        <v/>
      </c>
      <c r="L2" s="96">
        <f>+'Invullen groen'!AZ5</f>
        <v/>
      </c>
      <c r="M2" s="96">
        <f>+'Invullen groen'!BA5</f>
        <v/>
      </c>
      <c r="N2" s="96">
        <f>+'Invullen groen'!BB5</f>
        <v/>
      </c>
      <c r="O2" s="96">
        <f>+'Invullen groen'!BC5</f>
        <v/>
      </c>
      <c r="P2" s="96">
        <f>+'Invullen groen'!BD5</f>
        <v/>
      </c>
    </row>
    <row r="3">
      <c r="A3" s="110">
        <f>+'Invullen groen'!G4</f>
        <v/>
      </c>
      <c r="B3" s="111">
        <f>+'Invullen groen'!H4</f>
        <v/>
      </c>
      <c r="C3" s="112" t="n"/>
      <c r="D3" s="113" t="n"/>
      <c r="E3" s="114" t="n"/>
      <c r="F3" s="112" t="n"/>
      <c r="G3" s="115" t="n"/>
      <c r="H3" s="115" t="n"/>
      <c r="I3" s="116" t="n"/>
      <c r="J3" s="116" t="n"/>
      <c r="K3" s="116" t="n"/>
      <c r="L3" s="116" t="n"/>
      <c r="M3" s="116" t="n"/>
      <c r="N3" s="116" t="n"/>
      <c r="O3" s="116" t="n"/>
      <c r="P3" s="116" t="n"/>
    </row>
    <row r="4">
      <c r="A4" s="117" t="n"/>
      <c r="B4" s="115" t="n"/>
      <c r="C4" s="112" t="n"/>
      <c r="D4" s="113" t="n"/>
      <c r="E4" s="114" t="n"/>
      <c r="F4" s="112" t="n"/>
      <c r="G4" s="115" t="n"/>
      <c r="H4" s="115" t="n"/>
      <c r="I4" s="116" t="n"/>
      <c r="J4" s="116" t="n"/>
      <c r="K4" s="116" t="n"/>
      <c r="L4" s="116" t="n"/>
      <c r="M4" s="116" t="n"/>
      <c r="N4" s="116" t="n"/>
      <c r="O4" s="116" t="n"/>
      <c r="P4" s="116" t="n"/>
    </row>
    <row r="5">
      <c r="A5" s="110">
        <f>+'Invullen groen'!G6</f>
        <v/>
      </c>
      <c r="B5" s="111">
        <f>+'Invullen groen'!H6</f>
        <v/>
      </c>
      <c r="C5" s="116" t="n"/>
      <c r="D5" s="113" t="n"/>
      <c r="E5" s="114" t="n"/>
      <c r="F5" s="112">
        <f>+'Invullen groen'!I7</f>
        <v/>
      </c>
      <c r="G5" s="115">
        <f>+'Invullen groen'!J7</f>
        <v/>
      </c>
      <c r="H5" s="115">
        <f>+'Invullen groen'!K7</f>
        <v/>
      </c>
      <c r="I5" s="116">
        <f>+'Invullen groen'!AW7</f>
        <v/>
      </c>
      <c r="J5" s="116">
        <f>+'Invullen groen'!AX7</f>
        <v/>
      </c>
      <c r="K5" s="116">
        <f>+'Invullen groen'!AY7</f>
        <v/>
      </c>
      <c r="L5" s="116">
        <f>+'Invullen groen'!AZ7</f>
        <v/>
      </c>
      <c r="M5" s="116">
        <f>+'Invullen groen'!BA7</f>
        <v/>
      </c>
      <c r="N5" s="116">
        <f>+'Invullen groen'!BB7</f>
        <v/>
      </c>
      <c r="O5" s="116">
        <f>+'Invullen groen'!BC7</f>
        <v/>
      </c>
      <c r="P5" s="116">
        <f>+'Invullen groen'!BD7</f>
        <v/>
      </c>
    </row>
    <row r="6">
      <c r="A6" s="110">
        <f>'Invullen groen'!G7</f>
        <v/>
      </c>
      <c r="B6" s="118">
        <f>'Invullen groen'!H7</f>
        <v/>
      </c>
      <c r="C6" s="116" t="n"/>
      <c r="D6" s="113" t="n"/>
      <c r="E6" s="114" t="n"/>
      <c r="F6" s="112">
        <f>+'Invullen groen'!I8</f>
        <v/>
      </c>
      <c r="G6" s="115">
        <f>+'Invullen groen'!J8</f>
        <v/>
      </c>
      <c r="H6" s="115">
        <f>+'Invullen groen'!K8</f>
        <v/>
      </c>
      <c r="I6" s="116">
        <f>+'Invullen groen'!AW8</f>
        <v/>
      </c>
      <c r="J6" s="116">
        <f>+'Invullen groen'!AX8</f>
        <v/>
      </c>
      <c r="K6" s="116">
        <f>+'Invullen groen'!AY8</f>
        <v/>
      </c>
      <c r="L6" s="116">
        <f>+'Invullen groen'!AZ8</f>
        <v/>
      </c>
      <c r="M6" s="116">
        <f>+'Invullen groen'!BA8</f>
        <v/>
      </c>
      <c r="N6" s="116">
        <f>+'Invullen groen'!BB8</f>
        <v/>
      </c>
      <c r="O6" s="116">
        <f>+'Invullen groen'!BC8</f>
        <v/>
      </c>
      <c r="P6" s="116">
        <f>+'Invullen groen'!BD8</f>
        <v/>
      </c>
    </row>
    <row r="7">
      <c r="A7" s="117">
        <f>+'Invullen groen'!A9</f>
        <v/>
      </c>
      <c r="B7" s="119">
        <f>+'Invullen groen'!C9</f>
        <v/>
      </c>
      <c r="C7" s="115">
        <f>+'Invullen groen'!G9</f>
        <v/>
      </c>
      <c r="D7" s="117">
        <f>+'Invullen groen'!M9</f>
        <v/>
      </c>
      <c r="E7" s="112">
        <f>+'Invullen groen'!H9</f>
        <v/>
      </c>
      <c r="F7" s="112">
        <f>+'Invullen groen'!I9</f>
        <v/>
      </c>
      <c r="G7" s="115">
        <f>+'Invullen groen'!J9</f>
        <v/>
      </c>
      <c r="H7" s="115">
        <f>+'Invullen groen'!K9</f>
        <v/>
      </c>
      <c r="I7" s="116">
        <f>+'Invullen groen'!AW9</f>
        <v/>
      </c>
      <c r="J7" s="116">
        <f>+'Invullen groen'!AX9</f>
        <v/>
      </c>
      <c r="K7" s="116">
        <f>+'Invullen groen'!AY9</f>
        <v/>
      </c>
      <c r="L7" s="116">
        <f>+'Invullen groen'!AZ9</f>
        <v/>
      </c>
      <c r="M7" s="116">
        <f>+'Invullen groen'!BA9</f>
        <v/>
      </c>
      <c r="N7" s="116">
        <f>+'Invullen groen'!BB9</f>
        <v/>
      </c>
      <c r="O7" s="116">
        <f>+'Invullen groen'!BC9</f>
        <v/>
      </c>
      <c r="P7" s="116">
        <f>+'Invullen groen'!BD9</f>
        <v/>
      </c>
    </row>
    <row r="8">
      <c r="A8" s="120">
        <f>+'Invullen groen'!A11</f>
        <v/>
      </c>
      <c r="B8" s="121" t="n"/>
      <c r="C8" s="115" t="n"/>
      <c r="D8" s="117">
        <f>+'Invullen groen'!M11</f>
        <v/>
      </c>
      <c r="E8" s="112">
        <f>+'Invullen groen'!H11</f>
        <v/>
      </c>
      <c r="F8" s="112">
        <f>+'Invullen groen'!I11</f>
        <v/>
      </c>
      <c r="G8" s="112">
        <f>+'Invullen groen'!J11</f>
        <v/>
      </c>
      <c r="H8" s="115">
        <f>+'Invullen groen'!K11</f>
        <v/>
      </c>
      <c r="I8" s="116">
        <f>+'Invullen groen'!AW11</f>
        <v/>
      </c>
      <c r="J8" s="116">
        <f>+'Invullen groen'!AX11</f>
        <v/>
      </c>
      <c r="K8" s="116">
        <f>+'Invullen groen'!AY11</f>
        <v/>
      </c>
      <c r="L8" s="116">
        <f>+'Invullen groen'!AZ11</f>
        <v/>
      </c>
      <c r="M8" s="116">
        <f>+'Invullen groen'!BA11</f>
        <v/>
      </c>
      <c r="N8" s="116">
        <f>+'Invullen groen'!BB11</f>
        <v/>
      </c>
      <c r="O8" s="116">
        <f>+'Invullen groen'!BC11</f>
        <v/>
      </c>
      <c r="P8" s="116">
        <f>+'Invullen groen'!BD11</f>
        <v/>
      </c>
    </row>
    <row r="9">
      <c r="A9" s="117">
        <f>+'Invullen groen'!A12</f>
        <v/>
      </c>
      <c r="B9" s="119">
        <f>+'Invullen groen'!C12</f>
        <v/>
      </c>
      <c r="C9" s="115">
        <f>+'Invullen groen'!G12</f>
        <v/>
      </c>
      <c r="D9" s="117">
        <f>+'Invullen groen'!M12</f>
        <v/>
      </c>
      <c r="E9" s="112">
        <f>+'Invullen groen'!H12</f>
        <v/>
      </c>
      <c r="F9" s="112">
        <f>+'Invullen groen'!I12</f>
        <v/>
      </c>
      <c r="G9" s="112">
        <f>+'Invullen groen'!J12</f>
        <v/>
      </c>
      <c r="H9" s="115">
        <f>+'Invullen groen'!K12</f>
        <v/>
      </c>
      <c r="I9" s="116">
        <f>+'Invullen groen'!AW12</f>
        <v/>
      </c>
      <c r="J9" s="116">
        <f>+'Invullen groen'!AX12</f>
        <v/>
      </c>
      <c r="K9" s="116">
        <f>+'Invullen groen'!AY12</f>
        <v/>
      </c>
      <c r="L9" s="116">
        <f>+'Invullen groen'!AZ12</f>
        <v/>
      </c>
      <c r="M9" s="116">
        <f>+'Invullen groen'!BA12</f>
        <v/>
      </c>
      <c r="N9" s="116">
        <f>+'Invullen groen'!BB12</f>
        <v/>
      </c>
      <c r="O9" s="116">
        <f>+'Invullen groen'!BC12</f>
        <v/>
      </c>
      <c r="P9" s="116">
        <f>+'Invullen groen'!BD12</f>
        <v/>
      </c>
    </row>
    <row r="10" ht="18" customHeight="1" s="402">
      <c r="A10" s="122">
        <f>+'Invullen groen'!A13</f>
        <v/>
      </c>
      <c r="B10" s="123">
        <f>+'Invullen groen'!C13</f>
        <v/>
      </c>
      <c r="C10" s="123" t="inlineStr">
        <is>
          <t>Omschrijving boekingspost</t>
        </is>
      </c>
      <c r="D10" s="123">
        <f>+'Invullen groen'!M13</f>
        <v/>
      </c>
      <c r="E10" s="123">
        <f>+'Invullen groen'!H13</f>
        <v/>
      </c>
      <c r="F10" s="123">
        <f>+'Invullen groen'!I13</f>
        <v/>
      </c>
      <c r="G10" s="123">
        <f>+'Invullen groen'!J13</f>
        <v/>
      </c>
      <c r="H10" s="123">
        <f>+'Invullen groen'!K13</f>
        <v/>
      </c>
      <c r="I10" s="124">
        <f>+'Invullen groen'!AW13</f>
        <v/>
      </c>
      <c r="J10" s="124">
        <f>+'Invullen groen'!AX13</f>
        <v/>
      </c>
      <c r="K10" s="124">
        <f>+'Invullen groen'!AY13</f>
        <v/>
      </c>
      <c r="L10" s="124">
        <f>+'Invullen groen'!AZ13</f>
        <v/>
      </c>
      <c r="M10" s="124">
        <f>+'Invullen groen'!BA13</f>
        <v/>
      </c>
      <c r="N10" s="124">
        <f>+'Invullen groen'!BB13</f>
        <v/>
      </c>
      <c r="O10" s="124">
        <f>+'Invullen groen'!BC13</f>
        <v/>
      </c>
      <c r="P10" s="124">
        <f>+'Invullen groen'!BD13</f>
        <v/>
      </c>
    </row>
    <row r="11" ht="18" customHeight="1" s="402">
      <c r="A11" s="122">
        <f>+'Invullen groen'!A14</f>
        <v/>
      </c>
      <c r="B11" s="123">
        <f>+'Invullen groen'!C14</f>
        <v/>
      </c>
      <c r="C11" s="125">
        <f>+'Invullen groen'!G14</f>
        <v/>
      </c>
      <c r="D11" s="123">
        <f>+'Invullen groen'!M14</f>
        <v/>
      </c>
      <c r="E11" s="123">
        <f>+'Invullen groen'!H14</f>
        <v/>
      </c>
      <c r="F11" s="123">
        <f>+'Invullen groen'!I14</f>
        <v/>
      </c>
      <c r="G11" s="123">
        <f>+'Invullen groen'!J14</f>
        <v/>
      </c>
      <c r="H11" s="123">
        <f>+'Invullen groen'!K14</f>
        <v/>
      </c>
      <c r="I11" s="124">
        <f>+'Invullen groen'!AW14</f>
        <v/>
      </c>
      <c r="J11" s="124">
        <f>+'Invullen groen'!AX14</f>
        <v/>
      </c>
      <c r="K11" s="124">
        <f>+'Invullen groen'!AY14</f>
        <v/>
      </c>
      <c r="L11" s="124">
        <f>+'Invullen groen'!AZ14</f>
        <v/>
      </c>
      <c r="M11" s="124">
        <f>+'Invullen groen'!BA14</f>
        <v/>
      </c>
      <c r="N11" s="124">
        <f>+'Invullen groen'!BB14</f>
        <v/>
      </c>
      <c r="O11" s="124">
        <f>+'Invullen groen'!BC14</f>
        <v/>
      </c>
      <c r="P11" s="124">
        <f>+'Invullen groen'!BD14</f>
        <v/>
      </c>
    </row>
    <row r="12" ht="15" customHeight="1" s="402">
      <c r="A12" s="8">
        <f>+'Invullen groen'!A15</f>
        <v/>
      </c>
      <c r="B12" s="9">
        <f>+'Invullen groen'!C15</f>
        <v/>
      </c>
      <c r="C12" s="19">
        <f>+'Invullen groen'!G15</f>
        <v/>
      </c>
      <c r="D12" s="10">
        <f>+'Invullen groen'!M15</f>
        <v/>
      </c>
      <c r="E12" s="11">
        <f>+'Invullen groen'!H15</f>
        <v/>
      </c>
      <c r="F12" s="11">
        <f>+'Invullen groen'!I15</f>
        <v/>
      </c>
      <c r="G12" s="11">
        <f>+'Invullen groen'!J15</f>
        <v/>
      </c>
      <c r="H12" s="11">
        <f>+'Invullen groen'!K15</f>
        <v/>
      </c>
      <c r="I12" s="124">
        <f>+'Invullen groen'!AW15</f>
        <v/>
      </c>
      <c r="J12" s="124">
        <f>+'Invullen groen'!AX15</f>
        <v/>
      </c>
      <c r="K12" s="124">
        <f>+'Invullen groen'!AY15</f>
        <v/>
      </c>
      <c r="L12" s="124">
        <f>+'Invullen groen'!AZ15</f>
        <v/>
      </c>
      <c r="M12" s="124">
        <f>+'Invullen groen'!BA15</f>
        <v/>
      </c>
      <c r="N12" s="124">
        <f>+'Invullen groen'!BB15</f>
        <v/>
      </c>
      <c r="O12" s="124">
        <f>+'Invullen groen'!BC15</f>
        <v/>
      </c>
      <c r="P12" s="124">
        <f>+'Invullen groen'!BD15</f>
        <v/>
      </c>
    </row>
    <row r="13" ht="18" customHeight="1" s="402">
      <c r="A13" s="126">
        <f>+'Invullen groen'!A16</f>
        <v/>
      </c>
      <c r="B13" s="126">
        <f>+'Invullen groen'!C16</f>
        <v/>
      </c>
      <c r="C13" s="127">
        <f>+'Invullen groen'!G16</f>
        <v/>
      </c>
      <c r="D13" s="126">
        <f>+'Invullen groen'!M16</f>
        <v/>
      </c>
      <c r="E13" s="126">
        <f>+'Invullen groen'!H16</f>
        <v/>
      </c>
      <c r="F13" s="126">
        <f>+'Invullen groen'!I16</f>
        <v/>
      </c>
      <c r="G13" s="126">
        <f>+'Invullen groen'!J16</f>
        <v/>
      </c>
      <c r="H13" s="126">
        <f>+'Invullen groen'!K16</f>
        <v/>
      </c>
      <c r="I13" s="124">
        <f>+'Invullen groen'!AW16</f>
        <v/>
      </c>
      <c r="J13" s="124">
        <f>+'Invullen groen'!AX16</f>
        <v/>
      </c>
      <c r="K13" s="124">
        <f>+'Invullen groen'!AY16</f>
        <v/>
      </c>
      <c r="L13" s="124">
        <f>+'Invullen groen'!AZ16</f>
        <v/>
      </c>
      <c r="M13" s="124">
        <f>+'Invullen groen'!BA16</f>
        <v/>
      </c>
      <c r="N13" s="124">
        <f>+'Invullen groen'!BB16</f>
        <v/>
      </c>
      <c r="O13" s="124">
        <f>+'Invullen groen'!BC16</f>
        <v/>
      </c>
      <c r="P13" s="124">
        <f>+'Invullen groen'!BD16</f>
        <v/>
      </c>
    </row>
    <row r="14" ht="15" customHeight="1" s="402">
      <c r="A14" s="79">
        <f>+'Invullen groen'!A17</f>
        <v/>
      </c>
      <c r="B14" s="79">
        <f>+'Invullen groen'!C17</f>
        <v/>
      </c>
      <c r="C14" s="128">
        <f>+'Invullen groen'!G17</f>
        <v/>
      </c>
      <c r="D14" s="79">
        <f>+'Invullen groen'!M17</f>
        <v/>
      </c>
      <c r="E14" s="129">
        <f>+'Invullen groen'!H17</f>
        <v/>
      </c>
      <c r="F14" s="129">
        <f>+'Invullen groen'!I17</f>
        <v/>
      </c>
      <c r="G14" s="129">
        <f>+'Invullen groen'!J17</f>
        <v/>
      </c>
      <c r="H14" s="129">
        <f>+'Invullen groen'!K17</f>
        <v/>
      </c>
      <c r="I14" s="124">
        <f>+'Invullen groen'!AW17</f>
        <v/>
      </c>
      <c r="J14" s="124">
        <f>+'Invullen groen'!AX17</f>
        <v/>
      </c>
      <c r="K14" s="124">
        <f>+'Invullen groen'!AY17</f>
        <v/>
      </c>
      <c r="L14" s="124">
        <f>+'Invullen groen'!AZ17</f>
        <v/>
      </c>
      <c r="M14" s="124">
        <f>+'Invullen groen'!BA17</f>
        <v/>
      </c>
      <c r="N14" s="124">
        <f>+'Invullen groen'!BB17</f>
        <v/>
      </c>
      <c r="O14" s="124">
        <f>+'Invullen groen'!BC17</f>
        <v/>
      </c>
      <c r="P14" s="124">
        <f>+'Invullen groen'!BD17</f>
        <v/>
      </c>
    </row>
    <row r="15" ht="15" customHeight="1" s="402">
      <c r="A15" s="80">
        <f>+'Invullen groen'!A18</f>
        <v/>
      </c>
      <c r="B15" s="80">
        <f>+'Invullen groen'!C18</f>
        <v/>
      </c>
      <c r="C15" s="130">
        <f>+'Invullen groen'!G18</f>
        <v/>
      </c>
      <c r="D15" s="80">
        <f>+'Invullen groen'!M18</f>
        <v/>
      </c>
      <c r="E15" s="131">
        <f>+'Invullen groen'!H18</f>
        <v/>
      </c>
      <c r="F15" s="131">
        <f>+'Invullen groen'!I18</f>
        <v/>
      </c>
      <c r="G15" s="131">
        <f>+'Invullen groen'!J18</f>
        <v/>
      </c>
      <c r="H15" s="131">
        <f>+'Invullen groen'!K18</f>
        <v/>
      </c>
      <c r="I15" s="124">
        <f>+'Invullen groen'!AW18</f>
        <v/>
      </c>
      <c r="J15" s="124">
        <f>+'Invullen groen'!AX18</f>
        <v/>
      </c>
      <c r="K15" s="124">
        <f>+'Invullen groen'!AY18</f>
        <v/>
      </c>
      <c r="L15" s="124">
        <f>+'Invullen groen'!AZ18</f>
        <v/>
      </c>
      <c r="M15" s="124">
        <f>+'Invullen groen'!BA18</f>
        <v/>
      </c>
      <c r="N15" s="124">
        <f>+'Invullen groen'!BB18</f>
        <v/>
      </c>
      <c r="O15" s="124">
        <f>+'Invullen groen'!BC18</f>
        <v/>
      </c>
      <c r="P15" s="124">
        <f>+'Invullen groen'!BD18</f>
        <v/>
      </c>
    </row>
    <row r="16" ht="15" customHeight="1" s="402">
      <c r="A16" s="79">
        <f>+'Invullen groen'!A19</f>
        <v/>
      </c>
      <c r="B16" s="79">
        <f>+'Invullen groen'!C19</f>
        <v/>
      </c>
      <c r="C16" s="128">
        <f>+'Invullen groen'!G19</f>
        <v/>
      </c>
      <c r="D16" s="79">
        <f>+'Invullen groen'!M19</f>
        <v/>
      </c>
      <c r="E16" s="129">
        <f>+'Invullen groen'!H19</f>
        <v/>
      </c>
      <c r="F16" s="129">
        <f>+'Invullen groen'!I19</f>
        <v/>
      </c>
      <c r="G16" s="129">
        <f>+'Invullen groen'!J19</f>
        <v/>
      </c>
      <c r="H16" s="129">
        <f>+'Invullen groen'!K19</f>
        <v/>
      </c>
      <c r="I16" s="124">
        <f>+'Invullen groen'!AW19</f>
        <v/>
      </c>
      <c r="J16" s="124">
        <f>+'Invullen groen'!AX19</f>
        <v/>
      </c>
      <c r="K16" s="124">
        <f>+'Invullen groen'!AY19</f>
        <v/>
      </c>
      <c r="L16" s="124">
        <f>+'Invullen groen'!AZ19</f>
        <v/>
      </c>
      <c r="M16" s="124">
        <f>+'Invullen groen'!BA19</f>
        <v/>
      </c>
      <c r="N16" s="124">
        <f>+'Invullen groen'!BB19</f>
        <v/>
      </c>
      <c r="O16" s="124">
        <f>+'Invullen groen'!BC19</f>
        <v/>
      </c>
      <c r="P16" s="124">
        <f>+'Invullen groen'!BD19</f>
        <v/>
      </c>
    </row>
    <row r="17" ht="15" customHeight="1" s="402">
      <c r="A17" s="80">
        <f>+'Invullen groen'!A20</f>
        <v/>
      </c>
      <c r="B17" s="80">
        <f>+'Invullen groen'!C20</f>
        <v/>
      </c>
      <c r="C17" s="130">
        <f>+'Invullen groen'!G20</f>
        <v/>
      </c>
      <c r="D17" s="80">
        <f>+'Invullen groen'!M20</f>
        <v/>
      </c>
      <c r="E17" s="131">
        <f>+'Invullen groen'!H20</f>
        <v/>
      </c>
      <c r="F17" s="131">
        <f>+'Invullen groen'!I20</f>
        <v/>
      </c>
      <c r="G17" s="131">
        <f>+'Invullen groen'!J20</f>
        <v/>
      </c>
      <c r="H17" s="131">
        <f>+'Invullen groen'!K20</f>
        <v/>
      </c>
      <c r="I17" s="124">
        <f>+'Invullen groen'!AW20</f>
        <v/>
      </c>
      <c r="J17" s="124">
        <f>+'Invullen groen'!AX20</f>
        <v/>
      </c>
      <c r="K17" s="124">
        <f>+'Invullen groen'!AY20</f>
        <v/>
      </c>
      <c r="L17" s="124">
        <f>+'Invullen groen'!AZ20</f>
        <v/>
      </c>
      <c r="M17" s="124">
        <f>+'Invullen groen'!BA20</f>
        <v/>
      </c>
      <c r="N17" s="124">
        <f>+'Invullen groen'!BB20</f>
        <v/>
      </c>
      <c r="O17" s="124">
        <f>+'Invullen groen'!BC20</f>
        <v/>
      </c>
      <c r="P17" s="124">
        <f>+'Invullen groen'!BD20</f>
        <v/>
      </c>
    </row>
    <row r="18" ht="15" customHeight="1" s="402">
      <c r="A18" s="79">
        <f>+'Invullen groen'!A21</f>
        <v/>
      </c>
      <c r="B18" s="79">
        <f>+'Invullen groen'!C21</f>
        <v/>
      </c>
      <c r="C18" s="128">
        <f>+'Invullen groen'!G21</f>
        <v/>
      </c>
      <c r="D18" s="79">
        <f>+'Invullen groen'!M21</f>
        <v/>
      </c>
      <c r="E18" s="129">
        <f>+'Invullen groen'!H21</f>
        <v/>
      </c>
      <c r="F18" s="129">
        <f>+'Invullen groen'!I21</f>
        <v/>
      </c>
      <c r="G18" s="129">
        <f>+'Invullen groen'!J21</f>
        <v/>
      </c>
      <c r="H18" s="129">
        <f>+'Invullen groen'!K21</f>
        <v/>
      </c>
      <c r="I18" s="124">
        <f>+'Invullen groen'!AW21</f>
        <v/>
      </c>
      <c r="J18" s="124">
        <f>+'Invullen groen'!AX21</f>
        <v/>
      </c>
      <c r="K18" s="124">
        <f>+'Invullen groen'!AY21</f>
        <v/>
      </c>
      <c r="L18" s="124">
        <f>+'Invullen groen'!AZ21</f>
        <v/>
      </c>
      <c r="M18" s="124">
        <f>+'Invullen groen'!BA21</f>
        <v/>
      </c>
      <c r="N18" s="124">
        <f>+'Invullen groen'!BB21</f>
        <v/>
      </c>
      <c r="O18" s="124">
        <f>+'Invullen groen'!BC21</f>
        <v/>
      </c>
      <c r="P18" s="124">
        <f>+'Invullen groen'!BD21</f>
        <v/>
      </c>
    </row>
    <row r="19" ht="15" customHeight="1" s="402">
      <c r="A19" s="80">
        <f>+'Invullen groen'!A22</f>
        <v/>
      </c>
      <c r="B19" s="80">
        <f>+'Invullen groen'!C22</f>
        <v/>
      </c>
      <c r="C19" s="130">
        <f>+'Invullen groen'!G22</f>
        <v/>
      </c>
      <c r="D19" s="80">
        <f>+'Invullen groen'!M22</f>
        <v/>
      </c>
      <c r="E19" s="131">
        <f>+'Invullen groen'!H22</f>
        <v/>
      </c>
      <c r="F19" s="131">
        <f>+'Invullen groen'!I22</f>
        <v/>
      </c>
      <c r="G19" s="131">
        <f>+'Invullen groen'!J22</f>
        <v/>
      </c>
      <c r="H19" s="131">
        <f>+'Invullen groen'!K22</f>
        <v/>
      </c>
      <c r="I19" s="124">
        <f>+'Invullen groen'!AW22</f>
        <v/>
      </c>
      <c r="J19" s="124">
        <f>+'Invullen groen'!AX22</f>
        <v/>
      </c>
      <c r="K19" s="124">
        <f>+'Invullen groen'!AY22</f>
        <v/>
      </c>
      <c r="L19" s="124">
        <f>+'Invullen groen'!AZ22</f>
        <v/>
      </c>
      <c r="M19" s="124">
        <f>+'Invullen groen'!BA22</f>
        <v/>
      </c>
      <c r="N19" s="124">
        <f>+'Invullen groen'!BB22</f>
        <v/>
      </c>
      <c r="O19" s="124">
        <f>+'Invullen groen'!BC22</f>
        <v/>
      </c>
      <c r="P19" s="124">
        <f>+'Invullen groen'!BD22</f>
        <v/>
      </c>
    </row>
    <row r="20" ht="15" customHeight="1" s="402">
      <c r="A20" s="79">
        <f>+'Invullen groen'!A23</f>
        <v/>
      </c>
      <c r="B20" s="79">
        <f>+'Invullen groen'!C23</f>
        <v/>
      </c>
      <c r="C20" s="128">
        <f>+'Invullen groen'!G23</f>
        <v/>
      </c>
      <c r="D20" s="79">
        <f>+'Invullen groen'!M23</f>
        <v/>
      </c>
      <c r="E20" s="129">
        <f>+'Invullen groen'!H23</f>
        <v/>
      </c>
      <c r="F20" s="129">
        <f>+'Invullen groen'!I23</f>
        <v/>
      </c>
      <c r="G20" s="129">
        <f>+'Invullen groen'!J23</f>
        <v/>
      </c>
      <c r="H20" s="129">
        <f>+'Invullen groen'!K23</f>
        <v/>
      </c>
      <c r="I20" s="124">
        <f>+'Invullen groen'!AW23</f>
        <v/>
      </c>
      <c r="J20" s="124">
        <f>+'Invullen groen'!AX23</f>
        <v/>
      </c>
      <c r="K20" s="124">
        <f>+'Invullen groen'!AY23</f>
        <v/>
      </c>
      <c r="L20" s="124">
        <f>+'Invullen groen'!AZ23</f>
        <v/>
      </c>
      <c r="M20" s="124">
        <f>+'Invullen groen'!BA23</f>
        <v/>
      </c>
      <c r="N20" s="124">
        <f>+'Invullen groen'!BB23</f>
        <v/>
      </c>
      <c r="O20" s="124">
        <f>+'Invullen groen'!BC23</f>
        <v/>
      </c>
      <c r="P20" s="124">
        <f>+'Invullen groen'!BD23</f>
        <v/>
      </c>
    </row>
    <row r="21" ht="15" customHeight="1" s="402">
      <c r="A21" s="80">
        <f>+'Invullen groen'!A24</f>
        <v/>
      </c>
      <c r="B21" s="80">
        <f>+'Invullen groen'!C24</f>
        <v/>
      </c>
      <c r="C21" s="130">
        <f>+'Invullen groen'!G24</f>
        <v/>
      </c>
      <c r="D21" s="80">
        <f>+'Invullen groen'!M24</f>
        <v/>
      </c>
      <c r="E21" s="131">
        <f>+'Invullen groen'!H24</f>
        <v/>
      </c>
      <c r="F21" s="131">
        <f>+'Invullen groen'!I24</f>
        <v/>
      </c>
      <c r="G21" s="131">
        <f>+'Invullen groen'!J24</f>
        <v/>
      </c>
      <c r="H21" s="131">
        <f>+'Invullen groen'!K24</f>
        <v/>
      </c>
      <c r="I21" s="124">
        <f>+'Invullen groen'!AW24</f>
        <v/>
      </c>
      <c r="J21" s="124">
        <f>+'Invullen groen'!AX24</f>
        <v/>
      </c>
      <c r="K21" s="124">
        <f>+'Invullen groen'!AY24</f>
        <v/>
      </c>
      <c r="L21" s="124">
        <f>+'Invullen groen'!AZ24</f>
        <v/>
      </c>
      <c r="M21" s="124">
        <f>+'Invullen groen'!BA24</f>
        <v/>
      </c>
      <c r="N21" s="124">
        <f>+'Invullen groen'!BB24</f>
        <v/>
      </c>
      <c r="O21" s="124">
        <f>+'Invullen groen'!BC24</f>
        <v/>
      </c>
      <c r="P21" s="124">
        <f>+'Invullen groen'!BD24</f>
        <v/>
      </c>
    </row>
    <row r="22" ht="15" customHeight="1" s="402">
      <c r="A22" s="79">
        <f>+'Invullen groen'!A25</f>
        <v/>
      </c>
      <c r="B22" s="79">
        <f>+'Invullen groen'!C25</f>
        <v/>
      </c>
      <c r="C22" s="128">
        <f>+'Invullen groen'!G25</f>
        <v/>
      </c>
      <c r="D22" s="79">
        <f>+'Invullen groen'!M25</f>
        <v/>
      </c>
      <c r="E22" s="129">
        <f>+'Invullen groen'!H25</f>
        <v/>
      </c>
      <c r="F22" s="129">
        <f>+'Invullen groen'!I25</f>
        <v/>
      </c>
      <c r="G22" s="129">
        <f>+'Invullen groen'!J25</f>
        <v/>
      </c>
      <c r="H22" s="129">
        <f>+'Invullen groen'!K25</f>
        <v/>
      </c>
      <c r="I22" s="124">
        <f>+'Invullen groen'!AW25</f>
        <v/>
      </c>
      <c r="J22" s="124">
        <f>+'Invullen groen'!AX25</f>
        <v/>
      </c>
      <c r="K22" s="124">
        <f>+'Invullen groen'!AY25</f>
        <v/>
      </c>
      <c r="L22" s="124">
        <f>+'Invullen groen'!AZ25</f>
        <v/>
      </c>
      <c r="M22" s="124">
        <f>+'Invullen groen'!BA25</f>
        <v/>
      </c>
      <c r="N22" s="124">
        <f>+'Invullen groen'!BB25</f>
        <v/>
      </c>
      <c r="O22" s="124">
        <f>+'Invullen groen'!BC25</f>
        <v/>
      </c>
      <c r="P22" s="124">
        <f>+'Invullen groen'!BD25</f>
        <v/>
      </c>
    </row>
    <row r="23" ht="15" customHeight="1" s="402">
      <c r="A23" s="80">
        <f>+'Invullen groen'!A26</f>
        <v/>
      </c>
      <c r="B23" s="80">
        <f>+'Invullen groen'!C26</f>
        <v/>
      </c>
      <c r="C23" s="130">
        <f>+'Invullen groen'!G26</f>
        <v/>
      </c>
      <c r="D23" s="80">
        <f>+'Invullen groen'!M26</f>
        <v/>
      </c>
      <c r="E23" s="131">
        <f>+'Invullen groen'!H26</f>
        <v/>
      </c>
      <c r="F23" s="131">
        <f>+'Invullen groen'!I26</f>
        <v/>
      </c>
      <c r="G23" s="131">
        <f>+'Invullen groen'!J26</f>
        <v/>
      </c>
      <c r="H23" s="131">
        <f>+'Invullen groen'!K26</f>
        <v/>
      </c>
      <c r="I23" s="124">
        <f>+'Invullen groen'!AW26</f>
        <v/>
      </c>
      <c r="J23" s="124">
        <f>+'Invullen groen'!AX26</f>
        <v/>
      </c>
      <c r="K23" s="124">
        <f>+'Invullen groen'!AY26</f>
        <v/>
      </c>
      <c r="L23" s="124">
        <f>+'Invullen groen'!AZ26</f>
        <v/>
      </c>
      <c r="M23" s="124">
        <f>+'Invullen groen'!BA26</f>
        <v/>
      </c>
      <c r="N23" s="124">
        <f>+'Invullen groen'!BB26</f>
        <v/>
      </c>
      <c r="O23" s="124">
        <f>+'Invullen groen'!BC26</f>
        <v/>
      </c>
      <c r="P23" s="124">
        <f>+'Invullen groen'!BD26</f>
        <v/>
      </c>
    </row>
    <row r="24" ht="15" customHeight="1" s="402">
      <c r="A24" s="79">
        <f>+'Invullen groen'!A27</f>
        <v/>
      </c>
      <c r="B24" s="79">
        <f>+'Invullen groen'!C27</f>
        <v/>
      </c>
      <c r="C24" s="128">
        <f>+'Invullen groen'!G27</f>
        <v/>
      </c>
      <c r="D24" s="79">
        <f>+'Invullen groen'!M27</f>
        <v/>
      </c>
      <c r="E24" s="129">
        <f>+'Invullen groen'!H27</f>
        <v/>
      </c>
      <c r="F24" s="129">
        <f>+'Invullen groen'!I27</f>
        <v/>
      </c>
      <c r="G24" s="129">
        <f>+'Invullen groen'!J27</f>
        <v/>
      </c>
      <c r="H24" s="129">
        <f>+'Invullen groen'!K27</f>
        <v/>
      </c>
      <c r="I24" s="124">
        <f>+'Invullen groen'!AW27</f>
        <v/>
      </c>
      <c r="J24" s="124">
        <f>+'Invullen groen'!AX27</f>
        <v/>
      </c>
      <c r="K24" s="124">
        <f>+'Invullen groen'!AY27</f>
        <v/>
      </c>
      <c r="L24" s="124">
        <f>+'Invullen groen'!AZ27</f>
        <v/>
      </c>
      <c r="M24" s="124">
        <f>+'Invullen groen'!BA27</f>
        <v/>
      </c>
      <c r="N24" s="124">
        <f>+'Invullen groen'!BB27</f>
        <v/>
      </c>
      <c r="O24" s="124">
        <f>+'Invullen groen'!BC27</f>
        <v/>
      </c>
      <c r="P24" s="124">
        <f>+'Invullen groen'!BD27</f>
        <v/>
      </c>
    </row>
    <row r="25" ht="15" customHeight="1" s="402">
      <c r="A25" s="80">
        <f>+'Invullen groen'!A28</f>
        <v/>
      </c>
      <c r="B25" s="80">
        <f>+'Invullen groen'!C28</f>
        <v/>
      </c>
      <c r="C25" s="130">
        <f>+'Invullen groen'!G28</f>
        <v/>
      </c>
      <c r="D25" s="80">
        <f>+'Invullen groen'!M28</f>
        <v/>
      </c>
      <c r="E25" s="131">
        <f>+'Invullen groen'!H28</f>
        <v/>
      </c>
      <c r="F25" s="131">
        <f>+'Invullen groen'!I28</f>
        <v/>
      </c>
      <c r="G25" s="131">
        <f>+'Invullen groen'!J28</f>
        <v/>
      </c>
      <c r="H25" s="131">
        <f>+'Invullen groen'!K28</f>
        <v/>
      </c>
      <c r="I25" s="124">
        <f>+'Invullen groen'!AW28</f>
        <v/>
      </c>
      <c r="J25" s="124">
        <f>+'Invullen groen'!AX28</f>
        <v/>
      </c>
      <c r="K25" s="124">
        <f>+'Invullen groen'!AY28</f>
        <v/>
      </c>
      <c r="L25" s="124">
        <f>+'Invullen groen'!AZ28</f>
        <v/>
      </c>
      <c r="M25" s="124">
        <f>+'Invullen groen'!BA28</f>
        <v/>
      </c>
      <c r="N25" s="124">
        <f>+'Invullen groen'!BB28</f>
        <v/>
      </c>
      <c r="O25" s="124">
        <f>+'Invullen groen'!BC28</f>
        <v/>
      </c>
      <c r="P25" s="124">
        <f>+'Invullen groen'!BD28</f>
        <v/>
      </c>
    </row>
    <row r="26" ht="15" customHeight="1" s="402">
      <c r="A26" s="79">
        <f>+'Invullen groen'!A29</f>
        <v/>
      </c>
      <c r="B26" s="79">
        <f>+'Invullen groen'!C29</f>
        <v/>
      </c>
      <c r="C26" s="128">
        <f>+'Invullen groen'!G29</f>
        <v/>
      </c>
      <c r="D26" s="79">
        <f>+'Invullen groen'!M29</f>
        <v/>
      </c>
      <c r="E26" s="129">
        <f>+'Invullen groen'!H29</f>
        <v/>
      </c>
      <c r="F26" s="129">
        <f>+'Invullen groen'!I29</f>
        <v/>
      </c>
      <c r="G26" s="129">
        <f>+'Invullen groen'!J29</f>
        <v/>
      </c>
      <c r="H26" s="129">
        <f>+'Invullen groen'!K29</f>
        <v/>
      </c>
      <c r="I26" s="124">
        <f>+'Invullen groen'!AW29</f>
        <v/>
      </c>
      <c r="J26" s="124">
        <f>+'Invullen groen'!AX29</f>
        <v/>
      </c>
      <c r="K26" s="124">
        <f>+'Invullen groen'!AY29</f>
        <v/>
      </c>
      <c r="L26" s="124">
        <f>+'Invullen groen'!AZ29</f>
        <v/>
      </c>
      <c r="M26" s="124">
        <f>+'Invullen groen'!BA29</f>
        <v/>
      </c>
      <c r="N26" s="124">
        <f>+'Invullen groen'!BB29</f>
        <v/>
      </c>
      <c r="O26" s="124">
        <f>+'Invullen groen'!BC29</f>
        <v/>
      </c>
      <c r="P26" s="124">
        <f>+'Invullen groen'!BD29</f>
        <v/>
      </c>
    </row>
    <row r="27" ht="15" customHeight="1" s="402">
      <c r="A27" s="80">
        <f>+'Invullen groen'!A30</f>
        <v/>
      </c>
      <c r="B27" s="80">
        <f>+'Invullen groen'!C30</f>
        <v/>
      </c>
      <c r="C27" s="130">
        <f>+'Invullen groen'!G30</f>
        <v/>
      </c>
      <c r="D27" s="80">
        <f>+'Invullen groen'!M30</f>
        <v/>
      </c>
      <c r="E27" s="131">
        <f>+'Invullen groen'!H30</f>
        <v/>
      </c>
      <c r="F27" s="131">
        <f>+'Invullen groen'!I30</f>
        <v/>
      </c>
      <c r="G27" s="131">
        <f>+'Invullen groen'!J30</f>
        <v/>
      </c>
      <c r="H27" s="131">
        <f>+'Invullen groen'!K30</f>
        <v/>
      </c>
      <c r="I27" s="124">
        <f>+'Invullen groen'!AW30</f>
        <v/>
      </c>
      <c r="J27" s="124">
        <f>+'Invullen groen'!AX30</f>
        <v/>
      </c>
      <c r="K27" s="124">
        <f>+'Invullen groen'!AY30</f>
        <v/>
      </c>
      <c r="L27" s="124">
        <f>+'Invullen groen'!AZ30</f>
        <v/>
      </c>
      <c r="M27" s="124">
        <f>+'Invullen groen'!BA30</f>
        <v/>
      </c>
      <c r="N27" s="124">
        <f>+'Invullen groen'!BB30</f>
        <v/>
      </c>
      <c r="O27" s="124">
        <f>+'Invullen groen'!BC30</f>
        <v/>
      </c>
      <c r="P27" s="124">
        <f>+'Invullen groen'!BD30</f>
        <v/>
      </c>
    </row>
    <row r="28" ht="15" customHeight="1" s="402">
      <c r="A28" s="79">
        <f>+'Invullen groen'!A31</f>
        <v/>
      </c>
      <c r="B28" s="79">
        <f>+'Invullen groen'!C31</f>
        <v/>
      </c>
      <c r="C28" s="128">
        <f>+'Invullen groen'!G31</f>
        <v/>
      </c>
      <c r="D28" s="79">
        <f>+'Invullen groen'!M31</f>
        <v/>
      </c>
      <c r="E28" s="129">
        <f>+'Invullen groen'!H31</f>
        <v/>
      </c>
      <c r="F28" s="129">
        <f>+'Invullen groen'!I31</f>
        <v/>
      </c>
      <c r="G28" s="129">
        <f>+'Invullen groen'!J31</f>
        <v/>
      </c>
      <c r="H28" s="129">
        <f>+'Invullen groen'!K31</f>
        <v/>
      </c>
      <c r="I28" s="124">
        <f>+'Invullen groen'!AW31</f>
        <v/>
      </c>
      <c r="J28" s="124">
        <f>+'Invullen groen'!AX31</f>
        <v/>
      </c>
      <c r="K28" s="124">
        <f>+'Invullen groen'!AY31</f>
        <v/>
      </c>
      <c r="L28" s="124">
        <f>+'Invullen groen'!AZ31</f>
        <v/>
      </c>
      <c r="M28" s="124">
        <f>+'Invullen groen'!BA31</f>
        <v/>
      </c>
      <c r="N28" s="124">
        <f>+'Invullen groen'!BB31</f>
        <v/>
      </c>
      <c r="O28" s="124">
        <f>+'Invullen groen'!BC31</f>
        <v/>
      </c>
      <c r="P28" s="124">
        <f>+'Invullen groen'!BD31</f>
        <v/>
      </c>
    </row>
    <row r="29" ht="15" customHeight="1" s="402">
      <c r="A29" s="80">
        <f>+'Invullen groen'!A32</f>
        <v/>
      </c>
      <c r="B29" s="80">
        <f>+'Invullen groen'!C32</f>
        <v/>
      </c>
      <c r="C29" s="130">
        <f>+'Invullen groen'!G32</f>
        <v/>
      </c>
      <c r="D29" s="80">
        <f>+'Invullen groen'!M32</f>
        <v/>
      </c>
      <c r="E29" s="131">
        <f>+'Invullen groen'!H32</f>
        <v/>
      </c>
      <c r="F29" s="131">
        <f>+'Invullen groen'!I32</f>
        <v/>
      </c>
      <c r="G29" s="131">
        <f>+'Invullen groen'!J32</f>
        <v/>
      </c>
      <c r="H29" s="131">
        <f>+'Invullen groen'!K32</f>
        <v/>
      </c>
      <c r="I29" s="124">
        <f>+'Invullen groen'!AW32</f>
        <v/>
      </c>
      <c r="J29" s="124">
        <f>+'Invullen groen'!AX32</f>
        <v/>
      </c>
      <c r="K29" s="124">
        <f>+'Invullen groen'!AY32</f>
        <v/>
      </c>
      <c r="L29" s="124">
        <f>+'Invullen groen'!AZ32</f>
        <v/>
      </c>
      <c r="M29" s="124">
        <f>+'Invullen groen'!BA32</f>
        <v/>
      </c>
      <c r="N29" s="124">
        <f>+'Invullen groen'!BB32</f>
        <v/>
      </c>
      <c r="O29" s="124">
        <f>+'Invullen groen'!BC32</f>
        <v/>
      </c>
      <c r="P29" s="124">
        <f>+'Invullen groen'!BD32</f>
        <v/>
      </c>
    </row>
    <row r="30" ht="15" customHeight="1" s="402">
      <c r="A30" s="79">
        <f>+'Invullen groen'!A33</f>
        <v/>
      </c>
      <c r="B30" s="79">
        <f>+'Invullen groen'!C33</f>
        <v/>
      </c>
      <c r="C30" s="128">
        <f>+'Invullen groen'!G33</f>
        <v/>
      </c>
      <c r="D30" s="79">
        <f>+'Invullen groen'!M33</f>
        <v/>
      </c>
      <c r="E30" s="129">
        <f>+'Invullen groen'!H33</f>
        <v/>
      </c>
      <c r="F30" s="129">
        <f>+'Invullen groen'!I33</f>
        <v/>
      </c>
      <c r="G30" s="129">
        <f>+'Invullen groen'!J33</f>
        <v/>
      </c>
      <c r="H30" s="129">
        <f>+'Invullen groen'!K33</f>
        <v/>
      </c>
      <c r="I30" s="124">
        <f>+'Invullen groen'!AW33</f>
        <v/>
      </c>
      <c r="J30" s="124">
        <f>+'Invullen groen'!AX33</f>
        <v/>
      </c>
      <c r="K30" s="124">
        <f>+'Invullen groen'!AY33</f>
        <v/>
      </c>
      <c r="L30" s="124">
        <f>+'Invullen groen'!AZ33</f>
        <v/>
      </c>
      <c r="M30" s="124">
        <f>+'Invullen groen'!BA33</f>
        <v/>
      </c>
      <c r="N30" s="124">
        <f>+'Invullen groen'!BB33</f>
        <v/>
      </c>
      <c r="O30" s="124">
        <f>+'Invullen groen'!BC33</f>
        <v/>
      </c>
      <c r="P30" s="124">
        <f>+'Invullen groen'!BD33</f>
        <v/>
      </c>
    </row>
    <row r="31" ht="15" customHeight="1" s="402">
      <c r="A31" s="80">
        <f>+'Invullen groen'!A34</f>
        <v/>
      </c>
      <c r="B31" s="80">
        <f>+'Invullen groen'!C34</f>
        <v/>
      </c>
      <c r="C31" s="130">
        <f>+'Invullen groen'!G34</f>
        <v/>
      </c>
      <c r="D31" s="80">
        <f>+'Invullen groen'!M34</f>
        <v/>
      </c>
      <c r="E31" s="131">
        <f>+'Invullen groen'!H34</f>
        <v/>
      </c>
      <c r="F31" s="131">
        <f>+'Invullen groen'!I34</f>
        <v/>
      </c>
      <c r="G31" s="131">
        <f>+'Invullen groen'!J34</f>
        <v/>
      </c>
      <c r="H31" s="131">
        <f>+'Invullen groen'!K34</f>
        <v/>
      </c>
      <c r="I31" s="124">
        <f>+'Invullen groen'!AW34</f>
        <v/>
      </c>
      <c r="J31" s="124">
        <f>+'Invullen groen'!AX34</f>
        <v/>
      </c>
      <c r="K31" s="124">
        <f>+'Invullen groen'!AY34</f>
        <v/>
      </c>
      <c r="L31" s="124">
        <f>+'Invullen groen'!AZ34</f>
        <v/>
      </c>
      <c r="M31" s="124">
        <f>+'Invullen groen'!BA34</f>
        <v/>
      </c>
      <c r="N31" s="124">
        <f>+'Invullen groen'!BB34</f>
        <v/>
      </c>
      <c r="O31" s="124">
        <f>+'Invullen groen'!BC34</f>
        <v/>
      </c>
      <c r="P31" s="124">
        <f>+'Invullen groen'!BD34</f>
        <v/>
      </c>
    </row>
    <row r="32" ht="15" customHeight="1" s="402">
      <c r="A32" s="79">
        <f>+'Invullen groen'!A35</f>
        <v/>
      </c>
      <c r="B32" s="79">
        <f>+'Invullen groen'!C35</f>
        <v/>
      </c>
      <c r="C32" s="128">
        <f>+'Invullen groen'!G35</f>
        <v/>
      </c>
      <c r="D32" s="79">
        <f>+'Invullen groen'!M35</f>
        <v/>
      </c>
      <c r="E32" s="129">
        <f>+'Invullen groen'!H35</f>
        <v/>
      </c>
      <c r="F32" s="129">
        <f>+'Invullen groen'!I35</f>
        <v/>
      </c>
      <c r="G32" s="129">
        <f>+'Invullen groen'!J35</f>
        <v/>
      </c>
      <c r="H32" s="129">
        <f>+'Invullen groen'!K35</f>
        <v/>
      </c>
      <c r="I32" s="124">
        <f>+'Invullen groen'!AW35</f>
        <v/>
      </c>
      <c r="J32" s="124">
        <f>+'Invullen groen'!AX35</f>
        <v/>
      </c>
      <c r="K32" s="124">
        <f>+'Invullen groen'!AY35</f>
        <v/>
      </c>
      <c r="L32" s="124">
        <f>+'Invullen groen'!AZ35</f>
        <v/>
      </c>
      <c r="M32" s="124">
        <f>+'Invullen groen'!BA35</f>
        <v/>
      </c>
      <c r="N32" s="124">
        <f>+'Invullen groen'!BB35</f>
        <v/>
      </c>
      <c r="O32" s="124">
        <f>+'Invullen groen'!BC35</f>
        <v/>
      </c>
      <c r="P32" s="124">
        <f>+'Invullen groen'!BD35</f>
        <v/>
      </c>
    </row>
    <row r="33" ht="15" customHeight="1" s="402">
      <c r="A33" s="80">
        <f>+'Invullen groen'!A36</f>
        <v/>
      </c>
      <c r="B33" s="80">
        <f>+'Invullen groen'!C36</f>
        <v/>
      </c>
      <c r="C33" s="130">
        <f>+'Invullen groen'!G36</f>
        <v/>
      </c>
      <c r="D33" s="80">
        <f>+'Invullen groen'!M36</f>
        <v/>
      </c>
      <c r="E33" s="131">
        <f>+'Invullen groen'!H36</f>
        <v/>
      </c>
      <c r="F33" s="131">
        <f>+'Invullen groen'!I36</f>
        <v/>
      </c>
      <c r="G33" s="131">
        <f>+'Invullen groen'!J36</f>
        <v/>
      </c>
      <c r="H33" s="131">
        <f>+'Invullen groen'!K36</f>
        <v/>
      </c>
      <c r="I33" s="124">
        <f>+'Invullen groen'!AW36</f>
        <v/>
      </c>
      <c r="J33" s="124">
        <f>+'Invullen groen'!AX36</f>
        <v/>
      </c>
      <c r="K33" s="124">
        <f>+'Invullen groen'!AY36</f>
        <v/>
      </c>
      <c r="L33" s="124">
        <f>+'Invullen groen'!AZ36</f>
        <v/>
      </c>
      <c r="M33" s="124">
        <f>+'Invullen groen'!BA36</f>
        <v/>
      </c>
      <c r="N33" s="124">
        <f>+'Invullen groen'!BB36</f>
        <v/>
      </c>
      <c r="O33" s="124">
        <f>+'Invullen groen'!BC36</f>
        <v/>
      </c>
      <c r="P33" s="124">
        <f>+'Invullen groen'!BD36</f>
        <v/>
      </c>
    </row>
    <row r="34" ht="15" customHeight="1" s="402">
      <c r="A34" s="79">
        <f>+'Invullen groen'!A37</f>
        <v/>
      </c>
      <c r="B34" s="79">
        <f>+'Invullen groen'!C37</f>
        <v/>
      </c>
      <c r="C34" s="128">
        <f>+'Invullen groen'!G37</f>
        <v/>
      </c>
      <c r="D34" s="79">
        <f>+'Invullen groen'!M37</f>
        <v/>
      </c>
      <c r="E34" s="129">
        <f>+'Invullen groen'!H37</f>
        <v/>
      </c>
      <c r="F34" s="129">
        <f>+'Invullen groen'!I37</f>
        <v/>
      </c>
      <c r="G34" s="129">
        <f>+'Invullen groen'!J37</f>
        <v/>
      </c>
      <c r="H34" s="129">
        <f>+'Invullen groen'!K37</f>
        <v/>
      </c>
      <c r="I34" s="124">
        <f>+'Invullen groen'!AW37</f>
        <v/>
      </c>
      <c r="J34" s="124">
        <f>+'Invullen groen'!AX37</f>
        <v/>
      </c>
      <c r="K34" s="124">
        <f>+'Invullen groen'!AY37</f>
        <v/>
      </c>
      <c r="L34" s="124">
        <f>+'Invullen groen'!AZ37</f>
        <v/>
      </c>
      <c r="M34" s="124">
        <f>+'Invullen groen'!BA37</f>
        <v/>
      </c>
      <c r="N34" s="124">
        <f>+'Invullen groen'!BB37</f>
        <v/>
      </c>
      <c r="O34" s="124">
        <f>+'Invullen groen'!BC37</f>
        <v/>
      </c>
      <c r="P34" s="124">
        <f>+'Invullen groen'!BD37</f>
        <v/>
      </c>
    </row>
    <row r="35" ht="15" customHeight="1" s="402">
      <c r="A35" s="80">
        <f>+'Invullen groen'!A38</f>
        <v/>
      </c>
      <c r="B35" s="80">
        <f>+'Invullen groen'!C38</f>
        <v/>
      </c>
      <c r="C35" s="130">
        <f>+'Invullen groen'!G38</f>
        <v/>
      </c>
      <c r="D35" s="80">
        <f>+'Invullen groen'!M38</f>
        <v/>
      </c>
      <c r="E35" s="131">
        <f>+'Invullen groen'!H38</f>
        <v/>
      </c>
      <c r="F35" s="131">
        <f>+'Invullen groen'!I38</f>
        <v/>
      </c>
      <c r="G35" s="131">
        <f>+'Invullen groen'!J38</f>
        <v/>
      </c>
      <c r="H35" s="131">
        <f>+'Invullen groen'!K38</f>
        <v/>
      </c>
      <c r="I35" s="124">
        <f>+'Invullen groen'!AW38</f>
        <v/>
      </c>
      <c r="J35" s="124">
        <f>+'Invullen groen'!AX38</f>
        <v/>
      </c>
      <c r="K35" s="124">
        <f>+'Invullen groen'!AY38</f>
        <v/>
      </c>
      <c r="L35" s="124">
        <f>+'Invullen groen'!AZ38</f>
        <v/>
      </c>
      <c r="M35" s="124">
        <f>+'Invullen groen'!BA38</f>
        <v/>
      </c>
      <c r="N35" s="124">
        <f>+'Invullen groen'!BB38</f>
        <v/>
      </c>
      <c r="O35" s="124">
        <f>+'Invullen groen'!BC38</f>
        <v/>
      </c>
      <c r="P35" s="124">
        <f>+'Invullen groen'!BD38</f>
        <v/>
      </c>
    </row>
    <row r="36" ht="15" customHeight="1" s="402">
      <c r="A36" s="79">
        <f>+'Invullen groen'!A39</f>
        <v/>
      </c>
      <c r="B36" s="79">
        <f>+'Invullen groen'!C39</f>
        <v/>
      </c>
      <c r="C36" s="128">
        <f>+'Invullen groen'!G39</f>
        <v/>
      </c>
      <c r="D36" s="79">
        <f>+'Invullen groen'!M39</f>
        <v/>
      </c>
      <c r="E36" s="129">
        <f>+'Invullen groen'!H39</f>
        <v/>
      </c>
      <c r="F36" s="129">
        <f>+'Invullen groen'!I39</f>
        <v/>
      </c>
      <c r="G36" s="129">
        <f>+'Invullen groen'!J39</f>
        <v/>
      </c>
      <c r="H36" s="129">
        <f>+'Invullen groen'!K39</f>
        <v/>
      </c>
      <c r="I36" s="124">
        <f>+'Invullen groen'!AW39</f>
        <v/>
      </c>
      <c r="J36" s="124">
        <f>+'Invullen groen'!AX39</f>
        <v/>
      </c>
      <c r="K36" s="124">
        <f>+'Invullen groen'!AY39</f>
        <v/>
      </c>
      <c r="L36" s="124">
        <f>+'Invullen groen'!AZ39</f>
        <v/>
      </c>
      <c r="M36" s="124">
        <f>+'Invullen groen'!BA39</f>
        <v/>
      </c>
      <c r="N36" s="124">
        <f>+'Invullen groen'!BB39</f>
        <v/>
      </c>
      <c r="O36" s="124">
        <f>+'Invullen groen'!BC39</f>
        <v/>
      </c>
      <c r="P36" s="124">
        <f>+'Invullen groen'!BD39</f>
        <v/>
      </c>
    </row>
    <row r="37" ht="15" customHeight="1" s="402">
      <c r="A37" s="80">
        <f>+'Invullen groen'!A40</f>
        <v/>
      </c>
      <c r="B37" s="80">
        <f>+'Invullen groen'!C40</f>
        <v/>
      </c>
      <c r="C37" s="130">
        <f>+'Invullen groen'!G40</f>
        <v/>
      </c>
      <c r="D37" s="80">
        <f>+'Invullen groen'!M40</f>
        <v/>
      </c>
      <c r="E37" s="131">
        <f>+'Invullen groen'!H40</f>
        <v/>
      </c>
      <c r="F37" s="131">
        <f>+'Invullen groen'!I40</f>
        <v/>
      </c>
      <c r="G37" s="131">
        <f>+'Invullen groen'!J40</f>
        <v/>
      </c>
      <c r="H37" s="131">
        <f>+'Invullen groen'!K40</f>
        <v/>
      </c>
      <c r="I37" s="124">
        <f>+'Invullen groen'!AW40</f>
        <v/>
      </c>
      <c r="J37" s="124">
        <f>+'Invullen groen'!AX40</f>
        <v/>
      </c>
      <c r="K37" s="124">
        <f>+'Invullen groen'!AY40</f>
        <v/>
      </c>
      <c r="L37" s="124">
        <f>+'Invullen groen'!AZ40</f>
        <v/>
      </c>
      <c r="M37" s="124">
        <f>+'Invullen groen'!BA40</f>
        <v/>
      </c>
      <c r="N37" s="124">
        <f>+'Invullen groen'!BB40</f>
        <v/>
      </c>
      <c r="O37" s="124">
        <f>+'Invullen groen'!BC40</f>
        <v/>
      </c>
      <c r="P37" s="124">
        <f>+'Invullen groen'!BD40</f>
        <v/>
      </c>
    </row>
    <row r="38" ht="15" customHeight="1" s="402">
      <c r="A38" s="79">
        <f>+'Invullen groen'!A41</f>
        <v/>
      </c>
      <c r="B38" s="79">
        <f>+'Invullen groen'!C41</f>
        <v/>
      </c>
      <c r="C38" s="128">
        <f>+'Invullen groen'!G41</f>
        <v/>
      </c>
      <c r="D38" s="79">
        <f>+'Invullen groen'!M41</f>
        <v/>
      </c>
      <c r="E38" s="129">
        <f>+'Invullen groen'!H41</f>
        <v/>
      </c>
      <c r="F38" s="129">
        <f>+'Invullen groen'!I41</f>
        <v/>
      </c>
      <c r="G38" s="129">
        <f>+'Invullen groen'!J41</f>
        <v/>
      </c>
      <c r="H38" s="129">
        <f>+'Invullen groen'!K41</f>
        <v/>
      </c>
      <c r="I38" s="124">
        <f>+'Invullen groen'!AW41</f>
        <v/>
      </c>
      <c r="J38" s="124">
        <f>+'Invullen groen'!AX41</f>
        <v/>
      </c>
      <c r="K38" s="124">
        <f>+'Invullen groen'!AY41</f>
        <v/>
      </c>
      <c r="L38" s="124">
        <f>+'Invullen groen'!AZ41</f>
        <v/>
      </c>
      <c r="M38" s="124">
        <f>+'Invullen groen'!BA41</f>
        <v/>
      </c>
      <c r="N38" s="124">
        <f>+'Invullen groen'!BB41</f>
        <v/>
      </c>
      <c r="O38" s="124">
        <f>+'Invullen groen'!BC41</f>
        <v/>
      </c>
      <c r="P38" s="124">
        <f>+'Invullen groen'!BD41</f>
        <v/>
      </c>
    </row>
    <row r="39" ht="15" customHeight="1" s="402">
      <c r="A39" s="80">
        <f>+'Invullen groen'!A42</f>
        <v/>
      </c>
      <c r="B39" s="80">
        <f>+'Invullen groen'!C42</f>
        <v/>
      </c>
      <c r="C39" s="130">
        <f>+'Invullen groen'!G42</f>
        <v/>
      </c>
      <c r="D39" s="80">
        <f>+'Invullen groen'!M42</f>
        <v/>
      </c>
      <c r="E39" s="131">
        <f>+'Invullen groen'!H42</f>
        <v/>
      </c>
      <c r="F39" s="131">
        <f>+'Invullen groen'!I42</f>
        <v/>
      </c>
      <c r="G39" s="131">
        <f>+'Invullen groen'!J42</f>
        <v/>
      </c>
      <c r="H39" s="131">
        <f>+'Invullen groen'!K42</f>
        <v/>
      </c>
      <c r="I39" s="124">
        <f>+'Invullen groen'!AW42</f>
        <v/>
      </c>
      <c r="J39" s="124">
        <f>+'Invullen groen'!AX42</f>
        <v/>
      </c>
      <c r="K39" s="124">
        <f>+'Invullen groen'!AY42</f>
        <v/>
      </c>
      <c r="L39" s="124">
        <f>+'Invullen groen'!AZ42</f>
        <v/>
      </c>
      <c r="M39" s="124">
        <f>+'Invullen groen'!BA42</f>
        <v/>
      </c>
      <c r="N39" s="124">
        <f>+'Invullen groen'!BB42</f>
        <v/>
      </c>
      <c r="O39" s="124">
        <f>+'Invullen groen'!BC42</f>
        <v/>
      </c>
      <c r="P39" s="124">
        <f>+'Invullen groen'!BD42</f>
        <v/>
      </c>
    </row>
    <row r="40" ht="15" customHeight="1" s="402">
      <c r="A40" s="79">
        <f>+'Invullen groen'!A43</f>
        <v/>
      </c>
      <c r="B40" s="79">
        <f>+'Invullen groen'!C43</f>
        <v/>
      </c>
      <c r="C40" s="128">
        <f>+'Invullen groen'!G43</f>
        <v/>
      </c>
      <c r="D40" s="79">
        <f>+'Invullen groen'!M43</f>
        <v/>
      </c>
      <c r="E40" s="129">
        <f>+'Invullen groen'!H43</f>
        <v/>
      </c>
      <c r="F40" s="129">
        <f>+'Invullen groen'!I43</f>
        <v/>
      </c>
      <c r="G40" s="129">
        <f>+'Invullen groen'!J43</f>
        <v/>
      </c>
      <c r="H40" s="129">
        <f>+'Invullen groen'!K43</f>
        <v/>
      </c>
      <c r="I40" s="124">
        <f>+'Invullen groen'!AW43</f>
        <v/>
      </c>
      <c r="J40" s="124">
        <f>+'Invullen groen'!AX43</f>
        <v/>
      </c>
      <c r="K40" s="124">
        <f>+'Invullen groen'!AY43</f>
        <v/>
      </c>
      <c r="L40" s="124">
        <f>+'Invullen groen'!AZ43</f>
        <v/>
      </c>
      <c r="M40" s="124">
        <f>+'Invullen groen'!BA43</f>
        <v/>
      </c>
      <c r="N40" s="124">
        <f>+'Invullen groen'!BB43</f>
        <v/>
      </c>
      <c r="O40" s="124">
        <f>+'Invullen groen'!BC43</f>
        <v/>
      </c>
      <c r="P40" s="124">
        <f>+'Invullen groen'!BD43</f>
        <v/>
      </c>
    </row>
    <row r="41" ht="15" customHeight="1" s="402">
      <c r="A41" s="80">
        <f>+'Invullen groen'!A44</f>
        <v/>
      </c>
      <c r="B41" s="80">
        <f>+'Invullen groen'!C44</f>
        <v/>
      </c>
      <c r="C41" s="130">
        <f>+'Invullen groen'!G44</f>
        <v/>
      </c>
      <c r="D41" s="80">
        <f>+'Invullen groen'!M44</f>
        <v/>
      </c>
      <c r="E41" s="131">
        <f>+'Invullen groen'!H44</f>
        <v/>
      </c>
      <c r="F41" s="131">
        <f>+'Invullen groen'!I44</f>
        <v/>
      </c>
      <c r="G41" s="131">
        <f>+'Invullen groen'!J44</f>
        <v/>
      </c>
      <c r="H41" s="131">
        <f>+'Invullen groen'!K44</f>
        <v/>
      </c>
      <c r="I41" s="124">
        <f>+'Invullen groen'!AW44</f>
        <v/>
      </c>
      <c r="J41" s="124">
        <f>+'Invullen groen'!AX44</f>
        <v/>
      </c>
      <c r="K41" s="124">
        <f>+'Invullen groen'!AY44</f>
        <v/>
      </c>
      <c r="L41" s="124">
        <f>+'Invullen groen'!AZ44</f>
        <v/>
      </c>
      <c r="M41" s="124">
        <f>+'Invullen groen'!BA44</f>
        <v/>
      </c>
      <c r="N41" s="124">
        <f>+'Invullen groen'!BB44</f>
        <v/>
      </c>
      <c r="O41" s="124">
        <f>+'Invullen groen'!BC44</f>
        <v/>
      </c>
      <c r="P41" s="124">
        <f>+'Invullen groen'!BD44</f>
        <v/>
      </c>
    </row>
    <row r="42" ht="15" customHeight="1" s="402">
      <c r="A42" s="79">
        <f>+'Invullen groen'!A45</f>
        <v/>
      </c>
      <c r="B42" s="79">
        <f>+'Invullen groen'!C45</f>
        <v/>
      </c>
      <c r="C42" s="128">
        <f>+'Invullen groen'!G45</f>
        <v/>
      </c>
      <c r="D42" s="79">
        <f>+'Invullen groen'!M45</f>
        <v/>
      </c>
      <c r="E42" s="129">
        <f>+'Invullen groen'!H45</f>
        <v/>
      </c>
      <c r="F42" s="129">
        <f>+'Invullen groen'!I45</f>
        <v/>
      </c>
      <c r="G42" s="129">
        <f>+'Invullen groen'!J45</f>
        <v/>
      </c>
      <c r="H42" s="129">
        <f>+'Invullen groen'!K45</f>
        <v/>
      </c>
      <c r="I42" s="124">
        <f>+'Invullen groen'!AW45</f>
        <v/>
      </c>
      <c r="J42" s="124">
        <f>+'Invullen groen'!AX45</f>
        <v/>
      </c>
      <c r="K42" s="124">
        <f>+'Invullen groen'!AY45</f>
        <v/>
      </c>
      <c r="L42" s="124">
        <f>+'Invullen groen'!AZ45</f>
        <v/>
      </c>
      <c r="M42" s="124">
        <f>+'Invullen groen'!BA45</f>
        <v/>
      </c>
      <c r="N42" s="124">
        <f>+'Invullen groen'!BB45</f>
        <v/>
      </c>
      <c r="O42" s="124">
        <f>+'Invullen groen'!BC45</f>
        <v/>
      </c>
      <c r="P42" s="124">
        <f>+'Invullen groen'!BD45</f>
        <v/>
      </c>
    </row>
    <row r="43" ht="15" customHeight="1" s="402">
      <c r="A43" s="80">
        <f>+'Invullen groen'!A46</f>
        <v/>
      </c>
      <c r="B43" s="80">
        <f>+'Invullen groen'!C46</f>
        <v/>
      </c>
      <c r="C43" s="130">
        <f>+'Invullen groen'!G46</f>
        <v/>
      </c>
      <c r="D43" s="80">
        <f>+'Invullen groen'!M46</f>
        <v/>
      </c>
      <c r="E43" s="131">
        <f>+'Invullen groen'!H46</f>
        <v/>
      </c>
      <c r="F43" s="131">
        <f>+'Invullen groen'!I46</f>
        <v/>
      </c>
      <c r="G43" s="131">
        <f>+'Invullen groen'!J46</f>
        <v/>
      </c>
      <c r="H43" s="131">
        <f>+'Invullen groen'!K46</f>
        <v/>
      </c>
      <c r="I43" s="124">
        <f>+'Invullen groen'!AW46</f>
        <v/>
      </c>
      <c r="J43" s="124">
        <f>+'Invullen groen'!AX46</f>
        <v/>
      </c>
      <c r="K43" s="124">
        <f>+'Invullen groen'!AY46</f>
        <v/>
      </c>
      <c r="L43" s="124">
        <f>+'Invullen groen'!AZ46</f>
        <v/>
      </c>
      <c r="M43" s="124">
        <f>+'Invullen groen'!BA46</f>
        <v/>
      </c>
      <c r="N43" s="124">
        <f>+'Invullen groen'!BB46</f>
        <v/>
      </c>
      <c r="O43" s="124">
        <f>+'Invullen groen'!BC46</f>
        <v/>
      </c>
      <c r="P43" s="124">
        <f>+'Invullen groen'!BD46</f>
        <v/>
      </c>
    </row>
    <row r="44" ht="15" customHeight="1" s="402">
      <c r="A44" s="79">
        <f>+'Invullen groen'!A47</f>
        <v/>
      </c>
      <c r="B44" s="79">
        <f>+'Invullen groen'!C47</f>
        <v/>
      </c>
      <c r="C44" s="128">
        <f>+'Invullen groen'!G47</f>
        <v/>
      </c>
      <c r="D44" s="79">
        <f>+'Invullen groen'!M47</f>
        <v/>
      </c>
      <c r="E44" s="129">
        <f>+'Invullen groen'!H47</f>
        <v/>
      </c>
      <c r="F44" s="129">
        <f>+'Invullen groen'!I47</f>
        <v/>
      </c>
      <c r="G44" s="129">
        <f>+'Invullen groen'!J47</f>
        <v/>
      </c>
      <c r="H44" s="129">
        <f>+'Invullen groen'!K47</f>
        <v/>
      </c>
      <c r="I44" s="124">
        <f>+'Invullen groen'!AW47</f>
        <v/>
      </c>
      <c r="J44" s="124">
        <f>+'Invullen groen'!AX47</f>
        <v/>
      </c>
      <c r="K44" s="124">
        <f>+'Invullen groen'!AY47</f>
        <v/>
      </c>
      <c r="L44" s="124">
        <f>+'Invullen groen'!AZ47</f>
        <v/>
      </c>
      <c r="M44" s="124">
        <f>+'Invullen groen'!BA47</f>
        <v/>
      </c>
      <c r="N44" s="124">
        <f>+'Invullen groen'!BB47</f>
        <v/>
      </c>
      <c r="O44" s="124">
        <f>+'Invullen groen'!BC47</f>
        <v/>
      </c>
      <c r="P44" s="124">
        <f>+'Invullen groen'!BD47</f>
        <v/>
      </c>
    </row>
    <row r="45" ht="15" customHeight="1" s="402">
      <c r="A45" s="80">
        <f>+'Invullen groen'!A48</f>
        <v/>
      </c>
      <c r="B45" s="80">
        <f>+'Invullen groen'!C48</f>
        <v/>
      </c>
      <c r="C45" s="130">
        <f>+'Invullen groen'!G48</f>
        <v/>
      </c>
      <c r="D45" s="80">
        <f>+'Invullen groen'!M48</f>
        <v/>
      </c>
      <c r="E45" s="131">
        <f>+'Invullen groen'!H48</f>
        <v/>
      </c>
      <c r="F45" s="131">
        <f>+'Invullen groen'!I48</f>
        <v/>
      </c>
      <c r="G45" s="131">
        <f>+'Invullen groen'!J48</f>
        <v/>
      </c>
      <c r="H45" s="131">
        <f>+'Invullen groen'!K48</f>
        <v/>
      </c>
      <c r="I45" s="124">
        <f>+'Invullen groen'!AW48</f>
        <v/>
      </c>
      <c r="J45" s="124">
        <f>+'Invullen groen'!AX48</f>
        <v/>
      </c>
      <c r="K45" s="124">
        <f>+'Invullen groen'!AY48</f>
        <v/>
      </c>
      <c r="L45" s="124">
        <f>+'Invullen groen'!AZ48</f>
        <v/>
      </c>
      <c r="M45" s="124">
        <f>+'Invullen groen'!BA48</f>
        <v/>
      </c>
      <c r="N45" s="124">
        <f>+'Invullen groen'!BB48</f>
        <v/>
      </c>
      <c r="O45" s="124">
        <f>+'Invullen groen'!BC48</f>
        <v/>
      </c>
      <c r="P45" s="124">
        <f>+'Invullen groen'!BD48</f>
        <v/>
      </c>
    </row>
    <row r="46" ht="15" customHeight="1" s="402">
      <c r="A46" s="79">
        <f>+'Invullen groen'!A49</f>
        <v/>
      </c>
      <c r="B46" s="79">
        <f>+'Invullen groen'!C49</f>
        <v/>
      </c>
      <c r="C46" s="128">
        <f>+'Invullen groen'!G49</f>
        <v/>
      </c>
      <c r="D46" s="79">
        <f>+'Invullen groen'!M49</f>
        <v/>
      </c>
      <c r="E46" s="129">
        <f>+'Invullen groen'!H49</f>
        <v/>
      </c>
      <c r="F46" s="129">
        <f>+'Invullen groen'!I49</f>
        <v/>
      </c>
      <c r="G46" s="129">
        <f>+'Invullen groen'!J49</f>
        <v/>
      </c>
      <c r="H46" s="129">
        <f>+'Invullen groen'!K49</f>
        <v/>
      </c>
      <c r="I46" s="124">
        <f>+'Invullen groen'!AW49</f>
        <v/>
      </c>
      <c r="J46" s="124">
        <f>+'Invullen groen'!AX49</f>
        <v/>
      </c>
      <c r="K46" s="124">
        <f>+'Invullen groen'!AY49</f>
        <v/>
      </c>
      <c r="L46" s="124">
        <f>+'Invullen groen'!AZ49</f>
        <v/>
      </c>
      <c r="M46" s="124">
        <f>+'Invullen groen'!BA49</f>
        <v/>
      </c>
      <c r="N46" s="124">
        <f>+'Invullen groen'!BB49</f>
        <v/>
      </c>
      <c r="O46" s="124">
        <f>+'Invullen groen'!BC49</f>
        <v/>
      </c>
      <c r="P46" s="124">
        <f>+'Invullen groen'!BD49</f>
        <v/>
      </c>
    </row>
    <row r="47" ht="15" customHeight="1" s="402">
      <c r="A47" s="80">
        <f>+'Invullen groen'!A50</f>
        <v/>
      </c>
      <c r="B47" s="80">
        <f>+'Invullen groen'!C50</f>
        <v/>
      </c>
      <c r="C47" s="130">
        <f>+'Invullen groen'!G50</f>
        <v/>
      </c>
      <c r="D47" s="80">
        <f>+'Invullen groen'!M50</f>
        <v/>
      </c>
      <c r="E47" s="131">
        <f>+'Invullen groen'!H50</f>
        <v/>
      </c>
      <c r="F47" s="131">
        <f>+'Invullen groen'!I50</f>
        <v/>
      </c>
      <c r="G47" s="131">
        <f>+'Invullen groen'!J50</f>
        <v/>
      </c>
      <c r="H47" s="131">
        <f>+'Invullen groen'!K50</f>
        <v/>
      </c>
      <c r="I47" s="124">
        <f>+'Invullen groen'!AW50</f>
        <v/>
      </c>
      <c r="J47" s="124">
        <f>+'Invullen groen'!AX50</f>
        <v/>
      </c>
      <c r="K47" s="124">
        <f>+'Invullen groen'!AY50</f>
        <v/>
      </c>
      <c r="L47" s="124">
        <f>+'Invullen groen'!AZ50</f>
        <v/>
      </c>
      <c r="M47" s="124">
        <f>+'Invullen groen'!BA50</f>
        <v/>
      </c>
      <c r="N47" s="124">
        <f>+'Invullen groen'!BB50</f>
        <v/>
      </c>
      <c r="O47" s="124">
        <f>+'Invullen groen'!BC50</f>
        <v/>
      </c>
      <c r="P47" s="124">
        <f>+'Invullen groen'!BD50</f>
        <v/>
      </c>
    </row>
    <row r="48" ht="15" customHeight="1" s="402">
      <c r="A48" s="79">
        <f>+'Invullen groen'!A51</f>
        <v/>
      </c>
      <c r="B48" s="79">
        <f>+'Invullen groen'!C51</f>
        <v/>
      </c>
      <c r="C48" s="128">
        <f>+'Invullen groen'!G51</f>
        <v/>
      </c>
      <c r="D48" s="79">
        <f>+'Invullen groen'!M51</f>
        <v/>
      </c>
      <c r="E48" s="129">
        <f>+'Invullen groen'!H51</f>
        <v/>
      </c>
      <c r="F48" s="129">
        <f>+'Invullen groen'!I51</f>
        <v/>
      </c>
      <c r="G48" s="129">
        <f>+'Invullen groen'!J51</f>
        <v/>
      </c>
      <c r="H48" s="129">
        <f>+'Invullen groen'!K51</f>
        <v/>
      </c>
      <c r="I48" s="124">
        <f>+'Invullen groen'!AW51</f>
        <v/>
      </c>
      <c r="J48" s="124">
        <f>+'Invullen groen'!AX51</f>
        <v/>
      </c>
      <c r="K48" s="124">
        <f>+'Invullen groen'!AY51</f>
        <v/>
      </c>
      <c r="L48" s="124">
        <f>+'Invullen groen'!AZ51</f>
        <v/>
      </c>
      <c r="M48" s="124">
        <f>+'Invullen groen'!BA51</f>
        <v/>
      </c>
      <c r="N48" s="124">
        <f>+'Invullen groen'!BB51</f>
        <v/>
      </c>
      <c r="O48" s="124">
        <f>+'Invullen groen'!BC51</f>
        <v/>
      </c>
      <c r="P48" s="124">
        <f>+'Invullen groen'!BD51</f>
        <v/>
      </c>
    </row>
    <row r="49" ht="15" customHeight="1" s="402">
      <c r="A49" s="80">
        <f>+'Invullen groen'!A52</f>
        <v/>
      </c>
      <c r="B49" s="80">
        <f>+'Invullen groen'!C52</f>
        <v/>
      </c>
      <c r="C49" s="130">
        <f>+'Invullen groen'!G52</f>
        <v/>
      </c>
      <c r="D49" s="80">
        <f>+'Invullen groen'!M52</f>
        <v/>
      </c>
      <c r="E49" s="131">
        <f>+'Invullen groen'!H52</f>
        <v/>
      </c>
      <c r="F49" s="131">
        <f>+'Invullen groen'!I52</f>
        <v/>
      </c>
      <c r="G49" s="131">
        <f>+'Invullen groen'!J52</f>
        <v/>
      </c>
      <c r="H49" s="131">
        <f>+'Invullen groen'!K52</f>
        <v/>
      </c>
      <c r="I49" s="124">
        <f>+'Invullen groen'!AW52</f>
        <v/>
      </c>
      <c r="J49" s="124">
        <f>+'Invullen groen'!AX52</f>
        <v/>
      </c>
      <c r="K49" s="124">
        <f>+'Invullen groen'!AY52</f>
        <v/>
      </c>
      <c r="L49" s="124">
        <f>+'Invullen groen'!AZ52</f>
        <v/>
      </c>
      <c r="M49" s="124">
        <f>+'Invullen groen'!BA52</f>
        <v/>
      </c>
      <c r="N49" s="124">
        <f>+'Invullen groen'!BB52</f>
        <v/>
      </c>
      <c r="O49" s="124">
        <f>+'Invullen groen'!BC52</f>
        <v/>
      </c>
      <c r="P49" s="124">
        <f>+'Invullen groen'!BD52</f>
        <v/>
      </c>
    </row>
    <row r="50" ht="15" customHeight="1" s="402">
      <c r="A50" s="79">
        <f>+'Invullen groen'!A53</f>
        <v/>
      </c>
      <c r="B50" s="79">
        <f>+'Invullen groen'!C53</f>
        <v/>
      </c>
      <c r="C50" s="128">
        <f>+'Invullen groen'!G53</f>
        <v/>
      </c>
      <c r="D50" s="79">
        <f>+'Invullen groen'!M53</f>
        <v/>
      </c>
      <c r="E50" s="129">
        <f>+'Invullen groen'!H53</f>
        <v/>
      </c>
      <c r="F50" s="129">
        <f>+'Invullen groen'!I53</f>
        <v/>
      </c>
      <c r="G50" s="129">
        <f>+'Invullen groen'!J53</f>
        <v/>
      </c>
      <c r="H50" s="129">
        <f>+'Invullen groen'!K53</f>
        <v/>
      </c>
      <c r="I50" s="124">
        <f>+'Invullen groen'!AW53</f>
        <v/>
      </c>
      <c r="J50" s="124">
        <f>+'Invullen groen'!AX53</f>
        <v/>
      </c>
      <c r="K50" s="124">
        <f>+'Invullen groen'!AY53</f>
        <v/>
      </c>
      <c r="L50" s="124">
        <f>+'Invullen groen'!AZ53</f>
        <v/>
      </c>
      <c r="M50" s="124">
        <f>+'Invullen groen'!BA53</f>
        <v/>
      </c>
      <c r="N50" s="124">
        <f>+'Invullen groen'!BB53</f>
        <v/>
      </c>
      <c r="O50" s="124">
        <f>+'Invullen groen'!BC53</f>
        <v/>
      </c>
      <c r="P50" s="124">
        <f>+'Invullen groen'!BD53</f>
        <v/>
      </c>
    </row>
    <row r="51" ht="15" customHeight="1" s="402">
      <c r="A51" s="80">
        <f>+'Invullen groen'!A54</f>
        <v/>
      </c>
      <c r="B51" s="80">
        <f>+'Invullen groen'!C54</f>
        <v/>
      </c>
      <c r="C51" s="130">
        <f>+'Invullen groen'!G54</f>
        <v/>
      </c>
      <c r="D51" s="80">
        <f>+'Invullen groen'!M54</f>
        <v/>
      </c>
      <c r="E51" s="131">
        <f>+'Invullen groen'!H54</f>
        <v/>
      </c>
      <c r="F51" s="131">
        <f>+'Invullen groen'!I54</f>
        <v/>
      </c>
      <c r="G51" s="131">
        <f>+'Invullen groen'!J54</f>
        <v/>
      </c>
      <c r="H51" s="131">
        <f>+'Invullen groen'!K54</f>
        <v/>
      </c>
      <c r="I51" s="124">
        <f>+'Invullen groen'!AW54</f>
        <v/>
      </c>
      <c r="J51" s="124">
        <f>+'Invullen groen'!AX54</f>
        <v/>
      </c>
      <c r="K51" s="124">
        <f>+'Invullen groen'!AY54</f>
        <v/>
      </c>
      <c r="L51" s="124">
        <f>+'Invullen groen'!AZ54</f>
        <v/>
      </c>
      <c r="M51" s="124">
        <f>+'Invullen groen'!BA54</f>
        <v/>
      </c>
      <c r="N51" s="124">
        <f>+'Invullen groen'!BB54</f>
        <v/>
      </c>
      <c r="O51" s="124">
        <f>+'Invullen groen'!BC54</f>
        <v/>
      </c>
      <c r="P51" s="124">
        <f>+'Invullen groen'!BD54</f>
        <v/>
      </c>
    </row>
    <row r="52" ht="15" customHeight="1" s="402">
      <c r="A52" s="79">
        <f>+'Invullen groen'!A55</f>
        <v/>
      </c>
      <c r="B52" s="79">
        <f>+'Invullen groen'!C55</f>
        <v/>
      </c>
      <c r="C52" s="128">
        <f>+'Invullen groen'!G55</f>
        <v/>
      </c>
      <c r="D52" s="79">
        <f>+'Invullen groen'!M55</f>
        <v/>
      </c>
      <c r="E52" s="129">
        <f>+'Invullen groen'!H55</f>
        <v/>
      </c>
      <c r="F52" s="129">
        <f>+'Invullen groen'!I55</f>
        <v/>
      </c>
      <c r="G52" s="129">
        <f>+'Invullen groen'!J55</f>
        <v/>
      </c>
      <c r="H52" s="129">
        <f>+'Invullen groen'!K55</f>
        <v/>
      </c>
      <c r="I52" s="124">
        <f>+'Invullen groen'!AW55</f>
        <v/>
      </c>
      <c r="J52" s="124">
        <f>+'Invullen groen'!AX55</f>
        <v/>
      </c>
      <c r="K52" s="124">
        <f>+'Invullen groen'!AY55</f>
        <v/>
      </c>
      <c r="L52" s="124">
        <f>+'Invullen groen'!AZ55</f>
        <v/>
      </c>
      <c r="M52" s="124">
        <f>+'Invullen groen'!BA55</f>
        <v/>
      </c>
      <c r="N52" s="124">
        <f>+'Invullen groen'!BB55</f>
        <v/>
      </c>
      <c r="O52" s="124">
        <f>+'Invullen groen'!BC55</f>
        <v/>
      </c>
      <c r="P52" s="124">
        <f>+'Invullen groen'!BD55</f>
        <v/>
      </c>
    </row>
    <row r="53" ht="15" customHeight="1" s="402">
      <c r="A53" s="80">
        <f>+'Invullen groen'!A56</f>
        <v/>
      </c>
      <c r="B53" s="80">
        <f>+'Invullen groen'!C56</f>
        <v/>
      </c>
      <c r="C53" s="130">
        <f>+'Invullen groen'!G56</f>
        <v/>
      </c>
      <c r="D53" s="80">
        <f>+'Invullen groen'!M56</f>
        <v/>
      </c>
      <c r="E53" s="131">
        <f>+'Invullen groen'!H56</f>
        <v/>
      </c>
      <c r="F53" s="131">
        <f>+'Invullen groen'!I56</f>
        <v/>
      </c>
      <c r="G53" s="131">
        <f>+'Invullen groen'!J56</f>
        <v/>
      </c>
      <c r="H53" s="131">
        <f>+'Invullen groen'!K56</f>
        <v/>
      </c>
      <c r="I53" s="124">
        <f>+'Invullen groen'!AW56</f>
        <v/>
      </c>
      <c r="J53" s="124">
        <f>+'Invullen groen'!AX56</f>
        <v/>
      </c>
      <c r="K53" s="124">
        <f>+'Invullen groen'!AY56</f>
        <v/>
      </c>
      <c r="L53" s="124">
        <f>+'Invullen groen'!AZ56</f>
        <v/>
      </c>
      <c r="M53" s="124">
        <f>+'Invullen groen'!BA56</f>
        <v/>
      </c>
      <c r="N53" s="124">
        <f>+'Invullen groen'!BB56</f>
        <v/>
      </c>
      <c r="O53" s="124">
        <f>+'Invullen groen'!BC56</f>
        <v/>
      </c>
      <c r="P53" s="124">
        <f>+'Invullen groen'!BD56</f>
        <v/>
      </c>
    </row>
    <row r="54" ht="15" customHeight="1" s="402">
      <c r="A54" s="79">
        <f>+'Invullen groen'!A57</f>
        <v/>
      </c>
      <c r="B54" s="79">
        <f>+'Invullen groen'!C57</f>
        <v/>
      </c>
      <c r="C54" s="128">
        <f>+'Invullen groen'!G57</f>
        <v/>
      </c>
      <c r="D54" s="79">
        <f>+'Invullen groen'!M57</f>
        <v/>
      </c>
      <c r="E54" s="129">
        <f>+'Invullen groen'!H57</f>
        <v/>
      </c>
      <c r="F54" s="129">
        <f>+'Invullen groen'!I57</f>
        <v/>
      </c>
      <c r="G54" s="129">
        <f>+'Invullen groen'!J57</f>
        <v/>
      </c>
      <c r="H54" s="129">
        <f>+'Invullen groen'!K57</f>
        <v/>
      </c>
      <c r="I54" s="124">
        <f>+'Invullen groen'!AW57</f>
        <v/>
      </c>
      <c r="J54" s="124">
        <f>+'Invullen groen'!AX57</f>
        <v/>
      </c>
      <c r="K54" s="124">
        <f>+'Invullen groen'!AY57</f>
        <v/>
      </c>
      <c r="L54" s="124">
        <f>+'Invullen groen'!AZ57</f>
        <v/>
      </c>
      <c r="M54" s="124">
        <f>+'Invullen groen'!BA57</f>
        <v/>
      </c>
      <c r="N54" s="124">
        <f>+'Invullen groen'!BB57</f>
        <v/>
      </c>
      <c r="O54" s="124">
        <f>+'Invullen groen'!BC57</f>
        <v/>
      </c>
      <c r="P54" s="124">
        <f>+'Invullen groen'!BD57</f>
        <v/>
      </c>
    </row>
    <row r="55" ht="15" customHeight="1" s="402">
      <c r="A55" s="80">
        <f>+'Invullen groen'!A58</f>
        <v/>
      </c>
      <c r="B55" s="80">
        <f>+'Invullen groen'!C58</f>
        <v/>
      </c>
      <c r="C55" s="130">
        <f>+'Invullen groen'!G58</f>
        <v/>
      </c>
      <c r="D55" s="80">
        <f>+'Invullen groen'!M58</f>
        <v/>
      </c>
      <c r="E55" s="131">
        <f>+'Invullen groen'!H58</f>
        <v/>
      </c>
      <c r="F55" s="131">
        <f>+'Invullen groen'!I58</f>
        <v/>
      </c>
      <c r="G55" s="131">
        <f>+'Invullen groen'!J58</f>
        <v/>
      </c>
      <c r="H55" s="131">
        <f>+'Invullen groen'!K58</f>
        <v/>
      </c>
      <c r="I55" s="124">
        <f>+'Invullen groen'!AW58</f>
        <v/>
      </c>
      <c r="J55" s="124">
        <f>+'Invullen groen'!AX58</f>
        <v/>
      </c>
      <c r="K55" s="124">
        <f>+'Invullen groen'!AY58</f>
        <v/>
      </c>
      <c r="L55" s="124">
        <f>+'Invullen groen'!AZ58</f>
        <v/>
      </c>
      <c r="M55" s="124">
        <f>+'Invullen groen'!BA58</f>
        <v/>
      </c>
      <c r="N55" s="124">
        <f>+'Invullen groen'!BB58</f>
        <v/>
      </c>
      <c r="O55" s="124">
        <f>+'Invullen groen'!BC58</f>
        <v/>
      </c>
      <c r="P55" s="124">
        <f>+'Invullen groen'!BD58</f>
        <v/>
      </c>
    </row>
    <row r="56" ht="15" customHeight="1" s="402">
      <c r="A56" s="79">
        <f>+'Invullen groen'!A59</f>
        <v/>
      </c>
      <c r="B56" s="79">
        <f>+'Invullen groen'!C59</f>
        <v/>
      </c>
      <c r="C56" s="128">
        <f>+'Invullen groen'!G59</f>
        <v/>
      </c>
      <c r="D56" s="79">
        <f>+'Invullen groen'!M59</f>
        <v/>
      </c>
      <c r="E56" s="129">
        <f>+'Invullen groen'!H59</f>
        <v/>
      </c>
      <c r="F56" s="129">
        <f>+'Invullen groen'!I59</f>
        <v/>
      </c>
      <c r="G56" s="129">
        <f>+'Invullen groen'!J59</f>
        <v/>
      </c>
      <c r="H56" s="129">
        <f>+'Invullen groen'!K59</f>
        <v/>
      </c>
      <c r="I56" s="124">
        <f>+'Invullen groen'!AW59</f>
        <v/>
      </c>
      <c r="J56" s="124">
        <f>+'Invullen groen'!AX59</f>
        <v/>
      </c>
      <c r="K56" s="124">
        <f>+'Invullen groen'!AY59</f>
        <v/>
      </c>
      <c r="L56" s="124">
        <f>+'Invullen groen'!AZ59</f>
        <v/>
      </c>
      <c r="M56" s="124">
        <f>+'Invullen groen'!BA59</f>
        <v/>
      </c>
      <c r="N56" s="124">
        <f>+'Invullen groen'!BB59</f>
        <v/>
      </c>
      <c r="O56" s="124">
        <f>+'Invullen groen'!BC59</f>
        <v/>
      </c>
      <c r="P56" s="124">
        <f>+'Invullen groen'!BD59</f>
        <v/>
      </c>
    </row>
    <row r="57" ht="15" customHeight="1" s="402">
      <c r="A57" s="80">
        <f>+'Invullen groen'!A60</f>
        <v/>
      </c>
      <c r="B57" s="80">
        <f>+'Invullen groen'!C60</f>
        <v/>
      </c>
      <c r="C57" s="130">
        <f>+'Invullen groen'!G60</f>
        <v/>
      </c>
      <c r="D57" s="80">
        <f>+'Invullen groen'!M60</f>
        <v/>
      </c>
      <c r="E57" s="131">
        <f>+'Invullen groen'!H60</f>
        <v/>
      </c>
      <c r="F57" s="131">
        <f>+'Invullen groen'!I60</f>
        <v/>
      </c>
      <c r="G57" s="131">
        <f>+'Invullen groen'!J60</f>
        <v/>
      </c>
      <c r="H57" s="131">
        <f>+'Invullen groen'!K60</f>
        <v/>
      </c>
      <c r="I57" s="124">
        <f>+'Invullen groen'!AW60</f>
        <v/>
      </c>
      <c r="J57" s="124">
        <f>+'Invullen groen'!AX60</f>
        <v/>
      </c>
      <c r="K57" s="124">
        <f>+'Invullen groen'!AY60</f>
        <v/>
      </c>
      <c r="L57" s="124">
        <f>+'Invullen groen'!AZ60</f>
        <v/>
      </c>
      <c r="M57" s="124">
        <f>+'Invullen groen'!BA60</f>
        <v/>
      </c>
      <c r="N57" s="124">
        <f>+'Invullen groen'!BB60</f>
        <v/>
      </c>
      <c r="O57" s="124">
        <f>+'Invullen groen'!BC60</f>
        <v/>
      </c>
      <c r="P57" s="124">
        <f>+'Invullen groen'!BD60</f>
        <v/>
      </c>
    </row>
    <row r="58" ht="15" customHeight="1" s="402">
      <c r="A58" s="79">
        <f>+'Invullen groen'!A61</f>
        <v/>
      </c>
      <c r="B58" s="79">
        <f>+'Invullen groen'!C61</f>
        <v/>
      </c>
      <c r="C58" s="128">
        <f>+'Invullen groen'!G61</f>
        <v/>
      </c>
      <c r="D58" s="79">
        <f>+'Invullen groen'!M61</f>
        <v/>
      </c>
      <c r="E58" s="129">
        <f>+'Invullen groen'!H61</f>
        <v/>
      </c>
      <c r="F58" s="129">
        <f>+'Invullen groen'!I61</f>
        <v/>
      </c>
      <c r="G58" s="129">
        <f>+'Invullen groen'!J61</f>
        <v/>
      </c>
      <c r="H58" s="129">
        <f>+'Invullen groen'!K61</f>
        <v/>
      </c>
      <c r="I58" s="124">
        <f>+'Invullen groen'!AW61</f>
        <v/>
      </c>
      <c r="J58" s="124">
        <f>+'Invullen groen'!AX61</f>
        <v/>
      </c>
      <c r="K58" s="124">
        <f>+'Invullen groen'!AY61</f>
        <v/>
      </c>
      <c r="L58" s="124">
        <f>+'Invullen groen'!AZ61</f>
        <v/>
      </c>
      <c r="M58" s="124">
        <f>+'Invullen groen'!BA61</f>
        <v/>
      </c>
      <c r="N58" s="124">
        <f>+'Invullen groen'!BB61</f>
        <v/>
      </c>
      <c r="O58" s="124">
        <f>+'Invullen groen'!BC61</f>
        <v/>
      </c>
      <c r="P58" s="124">
        <f>+'Invullen groen'!BD61</f>
        <v/>
      </c>
    </row>
    <row r="59" ht="15" customHeight="1" s="402">
      <c r="A59" s="80">
        <f>+'Invullen groen'!A62</f>
        <v/>
      </c>
      <c r="B59" s="80">
        <f>+'Invullen groen'!C62</f>
        <v/>
      </c>
      <c r="C59" s="130">
        <f>+'Invullen groen'!G62</f>
        <v/>
      </c>
      <c r="D59" s="80">
        <f>+'Invullen groen'!M62</f>
        <v/>
      </c>
      <c r="E59" s="131">
        <f>+'Invullen groen'!H62</f>
        <v/>
      </c>
      <c r="F59" s="131">
        <f>+'Invullen groen'!I62</f>
        <v/>
      </c>
      <c r="G59" s="131">
        <f>+'Invullen groen'!J62</f>
        <v/>
      </c>
      <c r="H59" s="131">
        <f>+'Invullen groen'!K62</f>
        <v/>
      </c>
      <c r="I59" s="124">
        <f>+'Invullen groen'!AW62</f>
        <v/>
      </c>
      <c r="J59" s="124">
        <f>+'Invullen groen'!AX62</f>
        <v/>
      </c>
      <c r="K59" s="124">
        <f>+'Invullen groen'!AY62</f>
        <v/>
      </c>
      <c r="L59" s="124">
        <f>+'Invullen groen'!AZ62</f>
        <v/>
      </c>
      <c r="M59" s="124">
        <f>+'Invullen groen'!BA62</f>
        <v/>
      </c>
      <c r="N59" s="124">
        <f>+'Invullen groen'!BB62</f>
        <v/>
      </c>
      <c r="O59" s="124">
        <f>+'Invullen groen'!BC62</f>
        <v/>
      </c>
      <c r="P59" s="124">
        <f>+'Invullen groen'!BD62</f>
        <v/>
      </c>
    </row>
    <row r="60" ht="15" customHeight="1" s="402">
      <c r="A60" s="79">
        <f>+'Invullen groen'!A63</f>
        <v/>
      </c>
      <c r="B60" s="79">
        <f>+'Invullen groen'!C63</f>
        <v/>
      </c>
      <c r="C60" s="128">
        <f>+'Invullen groen'!G63</f>
        <v/>
      </c>
      <c r="D60" s="79">
        <f>+'Invullen groen'!M63</f>
        <v/>
      </c>
      <c r="E60" s="129">
        <f>+'Invullen groen'!H63</f>
        <v/>
      </c>
      <c r="F60" s="129">
        <f>+'Invullen groen'!I63</f>
        <v/>
      </c>
      <c r="G60" s="129">
        <f>+'Invullen groen'!J63</f>
        <v/>
      </c>
      <c r="H60" s="129">
        <f>+'Invullen groen'!K63</f>
        <v/>
      </c>
      <c r="I60" s="124">
        <f>+'Invullen groen'!AW63</f>
        <v/>
      </c>
      <c r="J60" s="124">
        <f>+'Invullen groen'!AX63</f>
        <v/>
      </c>
      <c r="K60" s="124">
        <f>+'Invullen groen'!AY63</f>
        <v/>
      </c>
      <c r="L60" s="124">
        <f>+'Invullen groen'!AZ63</f>
        <v/>
      </c>
      <c r="M60" s="124">
        <f>+'Invullen groen'!BA63</f>
        <v/>
      </c>
      <c r="N60" s="124">
        <f>+'Invullen groen'!BB63</f>
        <v/>
      </c>
      <c r="O60" s="124">
        <f>+'Invullen groen'!BC63</f>
        <v/>
      </c>
      <c r="P60" s="124">
        <f>+'Invullen groen'!BD63</f>
        <v/>
      </c>
    </row>
    <row r="61" ht="15" customHeight="1" s="402">
      <c r="A61" s="80">
        <f>+'Invullen groen'!A64</f>
        <v/>
      </c>
      <c r="B61" s="80">
        <f>+'Invullen groen'!C64</f>
        <v/>
      </c>
      <c r="C61" s="130">
        <f>+'Invullen groen'!G64</f>
        <v/>
      </c>
      <c r="D61" s="80">
        <f>+'Invullen groen'!M64</f>
        <v/>
      </c>
      <c r="E61" s="131">
        <f>+'Invullen groen'!H64</f>
        <v/>
      </c>
      <c r="F61" s="131">
        <f>+'Invullen groen'!I64</f>
        <v/>
      </c>
      <c r="G61" s="131">
        <f>+'Invullen groen'!J64</f>
        <v/>
      </c>
      <c r="H61" s="131">
        <f>+'Invullen groen'!K64</f>
        <v/>
      </c>
      <c r="I61" s="124">
        <f>+'Invullen groen'!AW64</f>
        <v/>
      </c>
      <c r="J61" s="124">
        <f>+'Invullen groen'!AX64</f>
        <v/>
      </c>
      <c r="K61" s="124">
        <f>+'Invullen groen'!AY64</f>
        <v/>
      </c>
      <c r="L61" s="124">
        <f>+'Invullen groen'!AZ64</f>
        <v/>
      </c>
      <c r="M61" s="124">
        <f>+'Invullen groen'!BA64</f>
        <v/>
      </c>
      <c r="N61" s="124">
        <f>+'Invullen groen'!BB64</f>
        <v/>
      </c>
      <c r="O61" s="124">
        <f>+'Invullen groen'!BC64</f>
        <v/>
      </c>
      <c r="P61" s="124">
        <f>+'Invullen groen'!BD64</f>
        <v/>
      </c>
    </row>
    <row r="62" ht="15" customHeight="1" s="402">
      <c r="A62" s="79">
        <f>+'Invullen groen'!A65</f>
        <v/>
      </c>
      <c r="B62" s="79">
        <f>+'Invullen groen'!C65</f>
        <v/>
      </c>
      <c r="C62" s="128">
        <f>+'Invullen groen'!G65</f>
        <v/>
      </c>
      <c r="D62" s="79">
        <f>+'Invullen groen'!M65</f>
        <v/>
      </c>
      <c r="E62" s="129">
        <f>+'Invullen groen'!H65</f>
        <v/>
      </c>
      <c r="F62" s="129">
        <f>+'Invullen groen'!I65</f>
        <v/>
      </c>
      <c r="G62" s="129">
        <f>+'Invullen groen'!J65</f>
        <v/>
      </c>
      <c r="H62" s="129">
        <f>+'Invullen groen'!K65</f>
        <v/>
      </c>
      <c r="I62" s="124">
        <f>+'Invullen groen'!AW65</f>
        <v/>
      </c>
      <c r="J62" s="124">
        <f>+'Invullen groen'!AX65</f>
        <v/>
      </c>
      <c r="K62" s="124">
        <f>+'Invullen groen'!AY65</f>
        <v/>
      </c>
      <c r="L62" s="124">
        <f>+'Invullen groen'!AZ65</f>
        <v/>
      </c>
      <c r="M62" s="124">
        <f>+'Invullen groen'!BA65</f>
        <v/>
      </c>
      <c r="N62" s="124">
        <f>+'Invullen groen'!BB65</f>
        <v/>
      </c>
      <c r="O62" s="124">
        <f>+'Invullen groen'!BC65</f>
        <v/>
      </c>
      <c r="P62" s="124">
        <f>+'Invullen groen'!BD65</f>
        <v/>
      </c>
    </row>
    <row r="63" ht="15" customHeight="1" s="402">
      <c r="A63" s="80">
        <f>+'Invullen groen'!A66</f>
        <v/>
      </c>
      <c r="B63" s="80">
        <f>+'Invullen groen'!C66</f>
        <v/>
      </c>
      <c r="C63" s="130">
        <f>+'Invullen groen'!G66</f>
        <v/>
      </c>
      <c r="D63" s="80">
        <f>+'Invullen groen'!M66</f>
        <v/>
      </c>
      <c r="E63" s="131">
        <f>+'Invullen groen'!H66</f>
        <v/>
      </c>
      <c r="F63" s="131">
        <f>+'Invullen groen'!I66</f>
        <v/>
      </c>
      <c r="G63" s="131">
        <f>+'Invullen groen'!J66</f>
        <v/>
      </c>
      <c r="H63" s="131">
        <f>+'Invullen groen'!K66</f>
        <v/>
      </c>
      <c r="I63" s="124">
        <f>+'Invullen groen'!AW66</f>
        <v/>
      </c>
      <c r="J63" s="124">
        <f>+'Invullen groen'!AX66</f>
        <v/>
      </c>
      <c r="K63" s="124">
        <f>+'Invullen groen'!AY66</f>
        <v/>
      </c>
      <c r="L63" s="124">
        <f>+'Invullen groen'!AZ66</f>
        <v/>
      </c>
      <c r="M63" s="124">
        <f>+'Invullen groen'!BA66</f>
        <v/>
      </c>
      <c r="N63" s="124">
        <f>+'Invullen groen'!BB66</f>
        <v/>
      </c>
      <c r="O63" s="124">
        <f>+'Invullen groen'!BC66</f>
        <v/>
      </c>
      <c r="P63" s="124">
        <f>+'Invullen groen'!BD66</f>
        <v/>
      </c>
    </row>
    <row r="64" ht="15" customHeight="1" s="402">
      <c r="A64" s="79">
        <f>+'Invullen groen'!A67</f>
        <v/>
      </c>
      <c r="B64" s="79">
        <f>+'Invullen groen'!C67</f>
        <v/>
      </c>
      <c r="C64" s="128">
        <f>+'Invullen groen'!G67</f>
        <v/>
      </c>
      <c r="D64" s="79">
        <f>+'Invullen groen'!M67</f>
        <v/>
      </c>
      <c r="E64" s="129">
        <f>+'Invullen groen'!H67</f>
        <v/>
      </c>
      <c r="F64" s="129">
        <f>+'Invullen groen'!I67</f>
        <v/>
      </c>
      <c r="G64" s="129">
        <f>+'Invullen groen'!J67</f>
        <v/>
      </c>
      <c r="H64" s="129">
        <f>+'Invullen groen'!K67</f>
        <v/>
      </c>
      <c r="I64" s="124">
        <f>+'Invullen groen'!AW67</f>
        <v/>
      </c>
      <c r="J64" s="124">
        <f>+'Invullen groen'!AX67</f>
        <v/>
      </c>
      <c r="K64" s="124">
        <f>+'Invullen groen'!AY67</f>
        <v/>
      </c>
      <c r="L64" s="124">
        <f>+'Invullen groen'!AZ67</f>
        <v/>
      </c>
      <c r="M64" s="124">
        <f>+'Invullen groen'!BA67</f>
        <v/>
      </c>
      <c r="N64" s="124">
        <f>+'Invullen groen'!BB67</f>
        <v/>
      </c>
      <c r="O64" s="124">
        <f>+'Invullen groen'!BC67</f>
        <v/>
      </c>
      <c r="P64" s="124">
        <f>+'Invullen groen'!BD67</f>
        <v/>
      </c>
    </row>
    <row r="65" ht="15" customHeight="1" s="402">
      <c r="A65" s="80">
        <f>+'Invullen groen'!A68</f>
        <v/>
      </c>
      <c r="B65" s="80">
        <f>+'Invullen groen'!C68</f>
        <v/>
      </c>
      <c r="C65" s="130">
        <f>+'Invullen groen'!G68</f>
        <v/>
      </c>
      <c r="D65" s="80">
        <f>+'Invullen groen'!M68</f>
        <v/>
      </c>
      <c r="E65" s="131">
        <f>+'Invullen groen'!H68</f>
        <v/>
      </c>
      <c r="F65" s="131">
        <f>+'Invullen groen'!I68</f>
        <v/>
      </c>
      <c r="G65" s="131">
        <f>+'Invullen groen'!J68</f>
        <v/>
      </c>
      <c r="H65" s="131">
        <f>+'Invullen groen'!K68</f>
        <v/>
      </c>
      <c r="I65" s="124">
        <f>+'Invullen groen'!AW68</f>
        <v/>
      </c>
      <c r="J65" s="124">
        <f>+'Invullen groen'!AX68</f>
        <v/>
      </c>
      <c r="K65" s="124">
        <f>+'Invullen groen'!AY68</f>
        <v/>
      </c>
      <c r="L65" s="124">
        <f>+'Invullen groen'!AZ68</f>
        <v/>
      </c>
      <c r="M65" s="124">
        <f>+'Invullen groen'!BA68</f>
        <v/>
      </c>
      <c r="N65" s="124">
        <f>+'Invullen groen'!BB68</f>
        <v/>
      </c>
      <c r="O65" s="124">
        <f>+'Invullen groen'!BC68</f>
        <v/>
      </c>
      <c r="P65" s="124">
        <f>+'Invullen groen'!BD68</f>
        <v/>
      </c>
      <c r="Q65" s="124" t="n"/>
      <c r="R65" s="124" t="n"/>
      <c r="S65" s="124" t="n"/>
      <c r="T65" s="124" t="n"/>
      <c r="U65" s="124" t="n"/>
      <c r="V65" s="124" t="n"/>
      <c r="W65" s="124" t="n"/>
      <c r="X65" s="124" t="n"/>
      <c r="Y65" s="124" t="n"/>
      <c r="Z65" s="124" t="n"/>
      <c r="AA65" s="124" t="n"/>
      <c r="AB65" s="124" t="n"/>
      <c r="AC65" s="124" t="n"/>
      <c r="AD65" s="124" t="n"/>
      <c r="AE65" s="124" t="n"/>
      <c r="AF65" s="124" t="n"/>
      <c r="AG65" s="124" t="n"/>
      <c r="AH65" s="124" t="n"/>
      <c r="AI65" s="124" t="n"/>
      <c r="AJ65" s="124" t="n"/>
      <c r="AK65" s="124" t="n"/>
      <c r="AL65" s="124" t="n"/>
      <c r="AM65" s="124" t="n"/>
      <c r="AN65" s="124" t="n"/>
      <c r="AO65" s="124" t="n"/>
      <c r="AP65" s="124" t="n"/>
      <c r="AQ65" s="124" t="n"/>
      <c r="AR65" s="124" t="n"/>
      <c r="AS65" s="124" t="n"/>
      <c r="AT65" s="124" t="n"/>
      <c r="AU65" s="124" t="n"/>
      <c r="AV65" s="124" t="n"/>
      <c r="AW65" s="124" t="n"/>
      <c r="AX65" s="124" t="n"/>
      <c r="AY65" s="124" t="n"/>
      <c r="AZ65" s="124" t="n"/>
      <c r="BA65" s="124" t="n"/>
      <c r="BB65" s="124" t="n"/>
      <c r="BC65" s="124" t="n"/>
      <c r="BD65" s="124" t="n"/>
      <c r="BE65" s="124" t="n"/>
      <c r="BF65" s="124" t="n"/>
      <c r="BG65" s="124" t="n"/>
      <c r="BH65" s="124" t="n"/>
      <c r="BI65" s="124" t="n"/>
      <c r="BJ65" s="124" t="n"/>
      <c r="BK65" s="124" t="n"/>
      <c r="BL65" s="124" t="n"/>
      <c r="BM65" s="124" t="n"/>
      <c r="BN65" s="124" t="n"/>
      <c r="BO65" s="124" t="n"/>
    </row>
    <row r="66" ht="15" customHeight="1" s="402">
      <c r="A66" s="79">
        <f>+'Invullen groen'!A69</f>
        <v/>
      </c>
      <c r="B66" s="79">
        <f>+'Invullen groen'!C69</f>
        <v/>
      </c>
      <c r="C66" s="128">
        <f>+'Invullen groen'!G69</f>
        <v/>
      </c>
      <c r="D66" s="79">
        <f>+'Invullen groen'!M69</f>
        <v/>
      </c>
      <c r="E66" s="129">
        <f>+'Invullen groen'!H69</f>
        <v/>
      </c>
      <c r="F66" s="129">
        <f>+'Invullen groen'!I69</f>
        <v/>
      </c>
      <c r="G66" s="129">
        <f>+'Invullen groen'!J69</f>
        <v/>
      </c>
      <c r="H66" s="129">
        <f>+'Invullen groen'!K69</f>
        <v/>
      </c>
      <c r="I66" s="124">
        <f>+'Invullen groen'!AW69</f>
        <v/>
      </c>
      <c r="J66" s="124">
        <f>+'Invullen groen'!AX69</f>
        <v/>
      </c>
      <c r="K66" s="124">
        <f>+'Invullen groen'!AY69</f>
        <v/>
      </c>
      <c r="L66" s="124">
        <f>+'Invullen groen'!AZ69</f>
        <v/>
      </c>
      <c r="M66" s="124">
        <f>+'Invullen groen'!BA69</f>
        <v/>
      </c>
      <c r="N66" s="124">
        <f>+'Invullen groen'!BB69</f>
        <v/>
      </c>
      <c r="O66" s="124">
        <f>+'Invullen groen'!BC69</f>
        <v/>
      </c>
      <c r="P66" s="124">
        <f>+'Invullen groen'!BD69</f>
        <v/>
      </c>
      <c r="Q66" s="124" t="n"/>
      <c r="R66" s="124" t="n"/>
      <c r="S66" s="124" t="n"/>
      <c r="T66" s="124" t="n"/>
      <c r="U66" s="124" t="n"/>
      <c r="V66" s="124" t="n"/>
      <c r="W66" s="124" t="n"/>
      <c r="X66" s="124" t="n"/>
      <c r="Y66" s="124" t="n"/>
      <c r="Z66" s="124" t="n"/>
      <c r="AA66" s="124" t="n"/>
      <c r="AB66" s="124" t="n"/>
      <c r="AC66" s="124" t="n"/>
      <c r="AD66" s="124" t="n"/>
      <c r="AE66" s="124" t="n"/>
      <c r="AF66" s="124" t="n"/>
      <c r="AG66" s="124" t="n"/>
      <c r="AH66" s="124" t="n"/>
      <c r="AI66" s="124" t="n"/>
      <c r="AJ66" s="124" t="n"/>
      <c r="AK66" s="124" t="n"/>
      <c r="AL66" s="124" t="n"/>
      <c r="AM66" s="124" t="n"/>
      <c r="AN66" s="124" t="n"/>
      <c r="AO66" s="124" t="n"/>
      <c r="AP66" s="124" t="n"/>
      <c r="AQ66" s="124" t="n"/>
      <c r="AR66" s="124" t="n"/>
      <c r="AS66" s="124" t="n"/>
      <c r="AT66" s="124" t="n"/>
      <c r="AU66" s="124" t="n"/>
      <c r="AV66" s="124" t="n"/>
      <c r="AW66" s="124" t="n"/>
      <c r="AX66" s="124" t="n"/>
      <c r="AY66" s="124" t="n"/>
      <c r="AZ66" s="124" t="n"/>
      <c r="BA66" s="124" t="n"/>
      <c r="BB66" s="124" t="n"/>
      <c r="BC66" s="124" t="n"/>
      <c r="BD66" s="124" t="n"/>
      <c r="BE66" s="124" t="n"/>
      <c r="BF66" s="124" t="n"/>
      <c r="BG66" s="124" t="n"/>
      <c r="BH66" s="124" t="n"/>
      <c r="BI66" s="124" t="n"/>
      <c r="BJ66" s="124" t="n"/>
      <c r="BK66" s="124" t="n"/>
      <c r="BL66" s="124" t="n"/>
      <c r="BM66" s="124" t="n"/>
      <c r="BN66" s="124" t="n"/>
      <c r="BO66" s="124" t="n"/>
    </row>
    <row r="67" ht="15" customHeight="1" s="402">
      <c r="A67" s="80">
        <f>+'Invullen groen'!A70</f>
        <v/>
      </c>
      <c r="B67" s="80">
        <f>+'Invullen groen'!C70</f>
        <v/>
      </c>
      <c r="C67" s="130">
        <f>+'Invullen groen'!G70</f>
        <v/>
      </c>
      <c r="D67" s="80">
        <f>+'Invullen groen'!M70</f>
        <v/>
      </c>
      <c r="E67" s="131">
        <f>+'Invullen groen'!H70</f>
        <v/>
      </c>
      <c r="F67" s="131">
        <f>+'Invullen groen'!I70</f>
        <v/>
      </c>
      <c r="G67" s="131">
        <f>+'Invullen groen'!J70</f>
        <v/>
      </c>
      <c r="H67" s="131">
        <f>+'Invullen groen'!K70</f>
        <v/>
      </c>
      <c r="I67" s="124">
        <f>+'Invullen groen'!AW70</f>
        <v/>
      </c>
      <c r="J67" s="124">
        <f>+'Invullen groen'!AX70</f>
        <v/>
      </c>
      <c r="K67" s="124">
        <f>+'Invullen groen'!AY70</f>
        <v/>
      </c>
      <c r="L67" s="124">
        <f>+'Invullen groen'!AZ70</f>
        <v/>
      </c>
      <c r="M67" s="124">
        <f>+'Invullen groen'!BA70</f>
        <v/>
      </c>
      <c r="N67" s="124">
        <f>+'Invullen groen'!BB70</f>
        <v/>
      </c>
      <c r="O67" s="124">
        <f>+'Invullen groen'!BC70</f>
        <v/>
      </c>
      <c r="P67" s="124">
        <f>+'Invullen groen'!BD70</f>
        <v/>
      </c>
      <c r="Q67" s="124" t="n"/>
      <c r="R67" s="124" t="n"/>
      <c r="S67" s="124" t="n"/>
      <c r="T67" s="124" t="n"/>
      <c r="U67" s="124" t="n"/>
      <c r="V67" s="124" t="n"/>
      <c r="W67" s="124" t="n"/>
      <c r="X67" s="124" t="n"/>
      <c r="Y67" s="124" t="n"/>
      <c r="Z67" s="124" t="n"/>
      <c r="AA67" s="124" t="n"/>
      <c r="AB67" s="124" t="n"/>
      <c r="AC67" s="124" t="n"/>
      <c r="AD67" s="124" t="n"/>
      <c r="AE67" s="124" t="n"/>
      <c r="AF67" s="124" t="n"/>
      <c r="AG67" s="124" t="n"/>
      <c r="AH67" s="124" t="n"/>
      <c r="AI67" s="124" t="n"/>
      <c r="AJ67" s="124" t="n"/>
      <c r="AK67" s="124" t="n"/>
      <c r="AL67" s="124" t="n"/>
      <c r="AM67" s="124" t="n"/>
      <c r="AN67" s="124" t="n"/>
      <c r="AO67" s="124" t="n"/>
      <c r="AP67" s="124" t="n"/>
      <c r="AQ67" s="124" t="n"/>
      <c r="AR67" s="124" t="n"/>
      <c r="AS67" s="124" t="n"/>
      <c r="AT67" s="124" t="n"/>
      <c r="AU67" s="124" t="n"/>
      <c r="AV67" s="124" t="n"/>
      <c r="AW67" s="124" t="n"/>
      <c r="AX67" s="124" t="n"/>
      <c r="AY67" s="124" t="n"/>
      <c r="AZ67" s="124" t="n"/>
      <c r="BA67" s="124" t="n"/>
      <c r="BB67" s="124" t="n"/>
      <c r="BC67" s="124" t="n"/>
      <c r="BD67" s="124" t="n"/>
      <c r="BE67" s="124" t="n"/>
      <c r="BF67" s="124" t="n"/>
      <c r="BG67" s="124" t="n"/>
      <c r="BH67" s="124" t="n"/>
      <c r="BI67" s="124" t="n"/>
      <c r="BJ67" s="124" t="n"/>
      <c r="BK67" s="124" t="n"/>
      <c r="BL67" s="124" t="n"/>
      <c r="BM67" s="124" t="n"/>
      <c r="BN67" s="124" t="n"/>
      <c r="BO67" s="124" t="n"/>
    </row>
    <row r="68" ht="15" customHeight="1" s="402">
      <c r="A68" s="79">
        <f>+'Invullen groen'!A71</f>
        <v/>
      </c>
      <c r="B68" s="79">
        <f>+'Invullen groen'!C71</f>
        <v/>
      </c>
      <c r="C68" s="128">
        <f>+'Invullen groen'!G71</f>
        <v/>
      </c>
      <c r="D68" s="79">
        <f>+'Invullen groen'!M71</f>
        <v/>
      </c>
      <c r="E68" s="129">
        <f>+'Invullen groen'!H71</f>
        <v/>
      </c>
      <c r="F68" s="129">
        <f>+'Invullen groen'!I71</f>
        <v/>
      </c>
      <c r="G68" s="129">
        <f>+'Invullen groen'!J71</f>
        <v/>
      </c>
      <c r="H68" s="129">
        <f>+'Invullen groen'!K71</f>
        <v/>
      </c>
      <c r="I68" s="124">
        <f>+'Invullen groen'!AW71</f>
        <v/>
      </c>
      <c r="J68" s="124">
        <f>+'Invullen groen'!AX71</f>
        <v/>
      </c>
      <c r="K68" s="124">
        <f>+'Invullen groen'!AY71</f>
        <v/>
      </c>
      <c r="L68" s="124">
        <f>+'Invullen groen'!AZ71</f>
        <v/>
      </c>
      <c r="M68" s="124">
        <f>+'Invullen groen'!BA71</f>
        <v/>
      </c>
      <c r="N68" s="124">
        <f>+'Invullen groen'!BB71</f>
        <v/>
      </c>
      <c r="O68" s="124">
        <f>+'Invullen groen'!BC71</f>
        <v/>
      </c>
      <c r="P68" s="124">
        <f>+'Invullen groen'!BD71</f>
        <v/>
      </c>
      <c r="Q68" s="124" t="n"/>
      <c r="R68" s="124" t="n"/>
      <c r="S68" s="124" t="n"/>
      <c r="T68" s="124" t="n"/>
      <c r="U68" s="124" t="n"/>
      <c r="V68" s="124" t="n"/>
      <c r="W68" s="124" t="n"/>
      <c r="X68" s="124" t="n"/>
      <c r="Y68" s="124" t="n"/>
      <c r="Z68" s="124" t="n"/>
      <c r="AA68" s="124" t="n"/>
      <c r="AB68" s="124" t="n"/>
      <c r="AC68" s="124" t="n"/>
      <c r="AD68" s="124" t="n"/>
      <c r="AE68" s="124" t="n"/>
      <c r="AF68" s="124" t="n"/>
      <c r="AG68" s="124" t="n"/>
      <c r="AH68" s="124" t="n"/>
      <c r="AI68" s="124" t="n"/>
      <c r="AJ68" s="124" t="n"/>
      <c r="AK68" s="124" t="n"/>
      <c r="AL68" s="124" t="n"/>
      <c r="AM68" s="124" t="n"/>
      <c r="AN68" s="124" t="n"/>
      <c r="AO68" s="124" t="n"/>
      <c r="AP68" s="124" t="n"/>
      <c r="AQ68" s="124" t="n"/>
      <c r="AR68" s="124" t="n"/>
      <c r="AS68" s="124" t="n"/>
      <c r="AT68" s="124" t="n"/>
      <c r="AU68" s="124" t="n"/>
      <c r="AV68" s="124" t="n"/>
      <c r="AW68" s="124" t="n"/>
      <c r="AX68" s="124" t="n"/>
      <c r="AY68" s="124" t="n"/>
      <c r="AZ68" s="124" t="n"/>
      <c r="BA68" s="124" t="n"/>
      <c r="BB68" s="124" t="n"/>
      <c r="BC68" s="124" t="n"/>
      <c r="BD68" s="124" t="n"/>
      <c r="BE68" s="124" t="n"/>
      <c r="BF68" s="124" t="n"/>
      <c r="BG68" s="124" t="n"/>
      <c r="BH68" s="124" t="n"/>
      <c r="BI68" s="124" t="n"/>
      <c r="BJ68" s="124" t="n"/>
      <c r="BK68" s="124" t="n"/>
      <c r="BL68" s="124" t="n"/>
      <c r="BM68" s="124" t="n"/>
      <c r="BN68" s="124" t="n"/>
      <c r="BO68" s="124" t="n"/>
    </row>
    <row r="69" ht="15" customHeight="1" s="402">
      <c r="A69" s="80">
        <f>+'Invullen groen'!A72</f>
        <v/>
      </c>
      <c r="B69" s="80">
        <f>+'Invullen groen'!C72</f>
        <v/>
      </c>
      <c r="C69" s="130">
        <f>+'Invullen groen'!G72</f>
        <v/>
      </c>
      <c r="D69" s="80">
        <f>+'Invullen groen'!M72</f>
        <v/>
      </c>
      <c r="E69" s="131">
        <f>+'Invullen groen'!H72</f>
        <v/>
      </c>
      <c r="F69" s="131">
        <f>+'Invullen groen'!I72</f>
        <v/>
      </c>
      <c r="G69" s="131">
        <f>+'Invullen groen'!J72</f>
        <v/>
      </c>
      <c r="H69" s="131">
        <f>+'Invullen groen'!K72</f>
        <v/>
      </c>
      <c r="I69" s="124">
        <f>+'Invullen groen'!AW72</f>
        <v/>
      </c>
      <c r="J69" s="124">
        <f>+'Invullen groen'!AX72</f>
        <v/>
      </c>
      <c r="K69" s="124">
        <f>+'Invullen groen'!AY72</f>
        <v/>
      </c>
      <c r="L69" s="124">
        <f>+'Invullen groen'!AZ72</f>
        <v/>
      </c>
      <c r="M69" s="124">
        <f>+'Invullen groen'!BA72</f>
        <v/>
      </c>
      <c r="N69" s="124">
        <f>+'Invullen groen'!BB72</f>
        <v/>
      </c>
      <c r="O69" s="124">
        <f>+'Invullen groen'!BC72</f>
        <v/>
      </c>
      <c r="P69" s="124">
        <f>+'Invullen groen'!BD72</f>
        <v/>
      </c>
      <c r="Q69" s="124" t="n"/>
      <c r="R69" s="124" t="n"/>
      <c r="S69" s="124" t="n"/>
      <c r="T69" s="124" t="n"/>
      <c r="U69" s="124" t="n"/>
      <c r="V69" s="124" t="n"/>
      <c r="W69" s="124" t="n"/>
      <c r="X69" s="124" t="n"/>
      <c r="Y69" s="124" t="n"/>
      <c r="Z69" s="124" t="n"/>
      <c r="AA69" s="124" t="n"/>
      <c r="AB69" s="124" t="n"/>
      <c r="AC69" s="124" t="n"/>
      <c r="AD69" s="124" t="n"/>
      <c r="AE69" s="124" t="n"/>
      <c r="AF69" s="124" t="n"/>
      <c r="AG69" s="124" t="n"/>
      <c r="AH69" s="124" t="n"/>
      <c r="AI69" s="124" t="n"/>
      <c r="AJ69" s="124" t="n"/>
      <c r="AK69" s="124" t="n"/>
      <c r="AL69" s="124" t="n"/>
      <c r="AM69" s="124" t="n"/>
      <c r="AN69" s="124" t="n"/>
      <c r="AO69" s="124" t="n"/>
      <c r="AP69" s="124" t="n"/>
      <c r="AQ69" s="124" t="n"/>
      <c r="AR69" s="124" t="n"/>
      <c r="AS69" s="124" t="n"/>
      <c r="AT69" s="124" t="n"/>
      <c r="AU69" s="124" t="n"/>
      <c r="AV69" s="124" t="n"/>
      <c r="AW69" s="124" t="n"/>
      <c r="AX69" s="124" t="n"/>
      <c r="AY69" s="124" t="n"/>
      <c r="AZ69" s="124" t="n"/>
      <c r="BA69" s="124" t="n"/>
      <c r="BB69" s="124" t="n"/>
      <c r="BC69" s="124" t="n"/>
      <c r="BD69" s="124" t="n"/>
      <c r="BE69" s="124" t="n"/>
      <c r="BF69" s="124" t="n"/>
      <c r="BG69" s="124" t="n"/>
      <c r="BH69" s="124" t="n"/>
      <c r="BI69" s="124" t="n"/>
      <c r="BJ69" s="124" t="n"/>
      <c r="BK69" s="124" t="n"/>
      <c r="BL69" s="124" t="n"/>
      <c r="BM69" s="124" t="n"/>
      <c r="BN69" s="124" t="n"/>
      <c r="BO69" s="124" t="n"/>
    </row>
    <row r="70" ht="15" customHeight="1" s="402">
      <c r="A70" s="79">
        <f>+'Invullen groen'!A73</f>
        <v/>
      </c>
      <c r="B70" s="79">
        <f>+'Invullen groen'!C73</f>
        <v/>
      </c>
      <c r="C70" s="128">
        <f>+'Invullen groen'!G73</f>
        <v/>
      </c>
      <c r="D70" s="79">
        <f>+'Invullen groen'!M73</f>
        <v/>
      </c>
      <c r="E70" s="129">
        <f>+'Invullen groen'!H73</f>
        <v/>
      </c>
      <c r="F70" s="129">
        <f>+'Invullen groen'!I73</f>
        <v/>
      </c>
      <c r="G70" s="129">
        <f>+'Invullen groen'!J73</f>
        <v/>
      </c>
      <c r="H70" s="129">
        <f>+'Invullen groen'!K73</f>
        <v/>
      </c>
      <c r="I70" s="124">
        <f>+'Invullen groen'!AW73</f>
        <v/>
      </c>
      <c r="J70" s="124">
        <f>+'Invullen groen'!AX73</f>
        <v/>
      </c>
      <c r="K70" s="124">
        <f>+'Invullen groen'!AY73</f>
        <v/>
      </c>
      <c r="L70" s="124">
        <f>+'Invullen groen'!AZ73</f>
        <v/>
      </c>
      <c r="M70" s="124">
        <f>+'Invullen groen'!BA73</f>
        <v/>
      </c>
      <c r="N70" s="124">
        <f>+'Invullen groen'!BB73</f>
        <v/>
      </c>
      <c r="O70" s="124">
        <f>+'Invullen groen'!BC73</f>
        <v/>
      </c>
      <c r="P70" s="124">
        <f>+'Invullen groen'!BD73</f>
        <v/>
      </c>
      <c r="Q70" s="124" t="n"/>
      <c r="R70" s="124" t="n"/>
      <c r="S70" s="124" t="n"/>
      <c r="T70" s="124" t="n"/>
      <c r="U70" s="124" t="n"/>
      <c r="V70" s="124" t="n"/>
      <c r="W70" s="124" t="n"/>
      <c r="X70" s="124" t="n"/>
      <c r="Y70" s="124" t="n"/>
      <c r="Z70" s="124" t="n"/>
      <c r="AA70" s="124" t="n"/>
      <c r="AB70" s="124" t="n"/>
      <c r="AC70" s="124" t="n"/>
      <c r="AD70" s="124" t="n"/>
      <c r="AE70" s="124" t="n"/>
      <c r="AF70" s="124" t="n"/>
      <c r="AG70" s="124" t="n"/>
      <c r="AH70" s="124" t="n"/>
      <c r="AI70" s="124" t="n"/>
      <c r="AJ70" s="124" t="n"/>
      <c r="AK70" s="124" t="n"/>
      <c r="AL70" s="124" t="n"/>
      <c r="AM70" s="124" t="n"/>
      <c r="AN70" s="124" t="n"/>
      <c r="AO70" s="124" t="n"/>
      <c r="AP70" s="124" t="n"/>
      <c r="AQ70" s="124" t="n"/>
      <c r="AR70" s="124" t="n"/>
      <c r="AS70" s="124" t="n"/>
      <c r="AT70" s="124" t="n"/>
      <c r="AU70" s="124" t="n"/>
      <c r="AV70" s="124" t="n"/>
      <c r="AW70" s="124" t="n"/>
      <c r="AX70" s="124" t="n"/>
      <c r="AY70" s="124" t="n"/>
      <c r="AZ70" s="124" t="n"/>
      <c r="BA70" s="124" t="n"/>
      <c r="BB70" s="124" t="n"/>
      <c r="BC70" s="124" t="n"/>
      <c r="BD70" s="124" t="n"/>
      <c r="BE70" s="124" t="n"/>
      <c r="BF70" s="124" t="n"/>
      <c r="BG70" s="124" t="n"/>
      <c r="BH70" s="124" t="n"/>
      <c r="BI70" s="124" t="n"/>
      <c r="BJ70" s="124" t="n"/>
      <c r="BK70" s="124" t="n"/>
      <c r="BL70" s="124" t="n"/>
      <c r="BM70" s="124" t="n"/>
      <c r="BN70" s="124" t="n"/>
      <c r="BO70" s="124" t="n"/>
    </row>
    <row r="71" ht="15" customHeight="1" s="402">
      <c r="A71" s="80">
        <f>+'Invullen groen'!A74</f>
        <v/>
      </c>
      <c r="B71" s="80">
        <f>+'Invullen groen'!C74</f>
        <v/>
      </c>
      <c r="C71" s="130">
        <f>+'Invullen groen'!G74</f>
        <v/>
      </c>
      <c r="D71" s="80">
        <f>+'Invullen groen'!M74</f>
        <v/>
      </c>
      <c r="E71" s="132">
        <f>+'Invullen groen'!H74</f>
        <v/>
      </c>
      <c r="F71" s="132">
        <f>+'Invullen groen'!I74</f>
        <v/>
      </c>
      <c r="G71" s="132">
        <f>+'Invullen groen'!J74</f>
        <v/>
      </c>
      <c r="H71" s="132">
        <f>+'Invullen groen'!K74</f>
        <v/>
      </c>
      <c r="I71" s="124">
        <f>+'Invullen groen'!AW74</f>
        <v/>
      </c>
      <c r="J71" s="124">
        <f>+'Invullen groen'!AX74</f>
        <v/>
      </c>
      <c r="K71" s="124">
        <f>+'Invullen groen'!AY74</f>
        <v/>
      </c>
      <c r="L71" s="124">
        <f>+'Invullen groen'!AZ74</f>
        <v/>
      </c>
      <c r="M71" s="124">
        <f>+'Invullen groen'!BA74</f>
        <v/>
      </c>
      <c r="N71" s="124">
        <f>+'Invullen groen'!BB74</f>
        <v/>
      </c>
      <c r="O71" s="124">
        <f>+'Invullen groen'!BC74</f>
        <v/>
      </c>
      <c r="P71" s="124">
        <f>+'Invullen groen'!BD74</f>
        <v/>
      </c>
      <c r="Q71" s="124" t="n"/>
      <c r="R71" s="124" t="n"/>
      <c r="S71" s="124" t="n"/>
      <c r="T71" s="124" t="n"/>
      <c r="U71" s="124" t="n"/>
      <c r="V71" s="124" t="n"/>
      <c r="W71" s="124" t="n"/>
      <c r="X71" s="124" t="n"/>
      <c r="Y71" s="124" t="n"/>
      <c r="Z71" s="124" t="n"/>
      <c r="AA71" s="124" t="n"/>
      <c r="AB71" s="124" t="n"/>
      <c r="AC71" s="124" t="n"/>
      <c r="AD71" s="124" t="n"/>
      <c r="AE71" s="124" t="n"/>
      <c r="AF71" s="124" t="n"/>
      <c r="AG71" s="124" t="n"/>
      <c r="AH71" s="124" t="n"/>
      <c r="AI71" s="124" t="n"/>
      <c r="AJ71" s="124" t="n"/>
      <c r="AK71" s="124" t="n"/>
      <c r="AL71" s="124" t="n"/>
      <c r="AM71" s="124" t="n"/>
      <c r="AN71" s="124" t="n"/>
      <c r="AO71" s="124" t="n"/>
      <c r="AP71" s="124" t="n"/>
      <c r="AQ71" s="124" t="n"/>
      <c r="AR71" s="124" t="n"/>
      <c r="AS71" s="124" t="n"/>
      <c r="AT71" s="124" t="n"/>
      <c r="AU71" s="124" t="n"/>
      <c r="AV71" s="124" t="n"/>
      <c r="AW71" s="124" t="n"/>
      <c r="AX71" s="124" t="n"/>
      <c r="AY71" s="124" t="n"/>
      <c r="AZ71" s="124" t="n"/>
      <c r="BA71" s="124" t="n"/>
      <c r="BB71" s="124" t="n"/>
      <c r="BC71" s="124" t="n"/>
      <c r="BD71" s="124" t="n"/>
      <c r="BE71" s="124" t="n"/>
      <c r="BF71" s="124" t="n"/>
      <c r="BG71" s="124" t="n"/>
      <c r="BH71" s="124" t="n"/>
      <c r="BI71" s="124" t="n"/>
      <c r="BJ71" s="124" t="n"/>
      <c r="BK71" s="124" t="n"/>
      <c r="BL71" s="124" t="n"/>
      <c r="BM71" s="124" t="n"/>
      <c r="BN71" s="124" t="n"/>
      <c r="BO71" s="124" t="n"/>
    </row>
    <row r="72" ht="15" customFormat="1" customHeight="1" s="22">
      <c r="A72" s="56">
        <f>+'Invullen groen'!A75</f>
        <v/>
      </c>
      <c r="B72" s="56">
        <f>+'Invullen groen'!C75</f>
        <v/>
      </c>
      <c r="C72" s="57">
        <f>+'Invullen groen'!G75</f>
        <v/>
      </c>
      <c r="D72" s="56">
        <f>+'Invullen groen'!M75</f>
        <v/>
      </c>
      <c r="E72" s="58">
        <f>+'Invullen groen'!H75</f>
        <v/>
      </c>
      <c r="F72" s="58">
        <f>+'Invullen groen'!I75</f>
        <v/>
      </c>
      <c r="G72" s="58">
        <f>+'Invullen groen'!J75</f>
        <v/>
      </c>
      <c r="H72" s="58">
        <f>+'Invullen groen'!K75</f>
        <v/>
      </c>
      <c r="I72" s="82">
        <f>+'Invullen groen'!AW75</f>
        <v/>
      </c>
      <c r="J72" s="82">
        <f>+'Invullen groen'!AX75</f>
        <v/>
      </c>
      <c r="K72" s="82">
        <f>+'Invullen groen'!AY75</f>
        <v/>
      </c>
      <c r="L72" s="82">
        <f>+'Invullen groen'!AZ75</f>
        <v/>
      </c>
      <c r="M72" s="82">
        <f>+'Invullen groen'!BA75</f>
        <v/>
      </c>
      <c r="N72" s="82">
        <f>+'Invullen groen'!BB75</f>
        <v/>
      </c>
      <c r="O72" s="82">
        <f>+'Invullen groen'!BC75</f>
        <v/>
      </c>
      <c r="P72" s="82">
        <f>+'Invullen groen'!BD75</f>
        <v/>
      </c>
      <c r="Q72" s="133" t="n"/>
      <c r="R72" s="133" t="n"/>
      <c r="S72" s="133" t="n"/>
      <c r="T72" s="133" t="n"/>
      <c r="U72" s="133" t="n"/>
      <c r="V72" s="133" t="n"/>
      <c r="W72" s="133" t="n"/>
      <c r="X72" s="133" t="n"/>
      <c r="Y72" s="133" t="n"/>
      <c r="Z72" s="133" t="n"/>
      <c r="AA72" s="133" t="n"/>
      <c r="AB72" s="133" t="n"/>
      <c r="AC72" s="133" t="n"/>
      <c r="AD72" s="133" t="n"/>
      <c r="AE72" s="133" t="n"/>
      <c r="AF72" s="133" t="n"/>
      <c r="AG72" s="133" t="n"/>
      <c r="AH72" s="133" t="n"/>
      <c r="AI72" s="133" t="n"/>
      <c r="AJ72" s="133" t="n"/>
      <c r="AK72" s="133" t="n"/>
      <c r="AL72" s="133" t="n"/>
      <c r="AM72" s="133" t="n"/>
      <c r="AN72" s="133" t="n"/>
      <c r="AO72" s="133" t="n"/>
      <c r="AP72" s="133" t="n"/>
      <c r="AQ72" s="133" t="n"/>
      <c r="AR72" s="133" t="n"/>
      <c r="AS72" s="133" t="n"/>
      <c r="AT72" s="133" t="n"/>
      <c r="AU72" s="133" t="n"/>
      <c r="AV72" s="133" t="n"/>
      <c r="AW72" s="133" t="n"/>
      <c r="AX72" s="133" t="n"/>
      <c r="AY72" s="133" t="n"/>
      <c r="AZ72" s="133" t="n"/>
      <c r="BA72" s="133" t="n"/>
      <c r="BB72" s="133" t="n"/>
      <c r="BC72" s="133" t="n"/>
      <c r="BD72" s="133" t="n"/>
      <c r="BE72" s="133" t="n"/>
      <c r="BF72" s="133" t="n"/>
      <c r="BG72" s="133" t="n"/>
      <c r="BH72" s="133" t="n"/>
      <c r="BI72" s="133" t="n"/>
      <c r="BJ72" s="133" t="n"/>
      <c r="BK72" s="133" t="n"/>
      <c r="BL72" s="133" t="n"/>
      <c r="BM72" s="133" t="n"/>
      <c r="BN72" s="133" t="n"/>
      <c r="BO72" s="133" t="n"/>
    </row>
    <row r="73" ht="15" customHeight="1" s="402">
      <c r="A73" s="59">
        <f>+'Invullen groen'!A77</f>
        <v/>
      </c>
      <c r="B73" s="59">
        <f>+'Invullen groen'!C77</f>
        <v/>
      </c>
      <c r="C73" s="59">
        <f>+'Invullen groen'!G77</f>
        <v/>
      </c>
      <c r="D73" s="59">
        <f>+'Invullen groen'!M77</f>
        <v/>
      </c>
      <c r="E73" s="60">
        <f>+'Invullen groen'!H77</f>
        <v/>
      </c>
      <c r="F73" s="60">
        <f>+'Invullen groen'!I77</f>
        <v/>
      </c>
      <c r="G73" s="60">
        <f>+'Invullen groen'!J77</f>
        <v/>
      </c>
      <c r="H73" s="60">
        <f>+'Invullen groen'!K77</f>
        <v/>
      </c>
      <c r="I73" s="134">
        <f>+'Invullen groen'!AW77</f>
        <v/>
      </c>
      <c r="J73" s="134">
        <f>+'Invullen groen'!AX77</f>
        <v/>
      </c>
      <c r="K73" s="134">
        <f>+'Invullen groen'!AY77</f>
        <v/>
      </c>
      <c r="L73" s="134">
        <f>+'Invullen groen'!AZ77</f>
        <v/>
      </c>
      <c r="M73" s="134">
        <f>+'Invullen groen'!BA77</f>
        <v/>
      </c>
      <c r="N73" s="134">
        <f>+'Invullen groen'!BB77</f>
        <v/>
      </c>
      <c r="O73" s="134">
        <f>+'Invullen groen'!BC77</f>
        <v/>
      </c>
      <c r="P73" s="134">
        <f>+'Invullen groen'!BD77</f>
        <v/>
      </c>
      <c r="Q73" s="124" t="n"/>
      <c r="R73" s="124" t="n"/>
      <c r="S73" s="124" t="n"/>
      <c r="T73" s="124" t="n"/>
      <c r="U73" s="124" t="n"/>
      <c r="V73" s="124" t="n"/>
      <c r="W73" s="124" t="n"/>
      <c r="X73" s="124" t="n"/>
      <c r="Y73" s="124" t="n"/>
      <c r="Z73" s="124" t="n"/>
      <c r="AA73" s="124" t="n"/>
      <c r="AB73" s="124" t="n"/>
      <c r="AC73" s="124" t="n"/>
      <c r="AD73" s="124" t="n"/>
      <c r="AE73" s="124" t="n"/>
      <c r="AF73" s="124" t="n"/>
      <c r="AG73" s="124" t="n"/>
      <c r="AH73" s="124" t="n"/>
      <c r="AI73" s="124" t="n"/>
      <c r="AJ73" s="124" t="n"/>
      <c r="AK73" s="124" t="n"/>
      <c r="AL73" s="124" t="n"/>
      <c r="AM73" s="124" t="n"/>
      <c r="AN73" s="124" t="n"/>
      <c r="AO73" s="124" t="n"/>
      <c r="AP73" s="124" t="n"/>
      <c r="AQ73" s="124" t="n"/>
      <c r="AR73" s="124" t="n"/>
      <c r="AS73" s="124" t="n"/>
      <c r="AT73" s="124" t="n"/>
      <c r="AU73" s="124" t="n"/>
      <c r="AV73" s="124" t="n"/>
      <c r="AW73" s="124" t="n"/>
      <c r="AX73" s="124" t="n"/>
      <c r="AY73" s="124" t="n"/>
      <c r="AZ73" s="124" t="n"/>
      <c r="BA73" s="124" t="n"/>
      <c r="BB73" s="124" t="n"/>
      <c r="BC73" s="124" t="n"/>
      <c r="BD73" s="124" t="n"/>
      <c r="BE73" s="124" t="n"/>
      <c r="BF73" s="124" t="n"/>
      <c r="BG73" s="124" t="n"/>
      <c r="BH73" s="124" t="n"/>
      <c r="BI73" s="124" t="n"/>
      <c r="BJ73" s="124" t="n"/>
      <c r="BK73" s="124" t="n"/>
      <c r="BL73" s="124" t="n"/>
      <c r="BM73" s="124" t="n"/>
      <c r="BN73" s="124" t="n"/>
      <c r="BO73" s="124" t="n"/>
    </row>
    <row r="74" ht="15" customHeight="1" s="402">
      <c r="A74" s="80">
        <f>+'Invullen groen'!A78</f>
        <v/>
      </c>
      <c r="B74" s="80">
        <f>+'Invullen groen'!C78</f>
        <v/>
      </c>
      <c r="C74" s="130">
        <f>+'Invullen groen'!G78</f>
        <v/>
      </c>
      <c r="D74" s="80">
        <f>+'Invullen groen'!M78</f>
        <v/>
      </c>
      <c r="E74" s="131">
        <f>+'Invullen groen'!H78</f>
        <v/>
      </c>
      <c r="F74" s="131">
        <f>+'Invullen groen'!I78</f>
        <v/>
      </c>
      <c r="G74" s="131">
        <f>+'Invullen groen'!J78</f>
        <v/>
      </c>
      <c r="H74" s="131">
        <f>+'Invullen groen'!K78</f>
        <v/>
      </c>
      <c r="I74" s="124">
        <f>+'Invullen groen'!AW78</f>
        <v/>
      </c>
      <c r="J74" s="124">
        <f>+'Invullen groen'!AX78</f>
        <v/>
      </c>
      <c r="K74" s="124">
        <f>+'Invullen groen'!AY78</f>
        <v/>
      </c>
      <c r="L74" s="124">
        <f>+'Invullen groen'!AZ78</f>
        <v/>
      </c>
      <c r="M74" s="124">
        <f>+'Invullen groen'!BA78</f>
        <v/>
      </c>
      <c r="N74" s="124">
        <f>+'Invullen groen'!BB78</f>
        <v/>
      </c>
      <c r="O74" s="124">
        <f>+'Invullen groen'!BC78</f>
        <v/>
      </c>
      <c r="P74" s="124">
        <f>+'Invullen groen'!BD78</f>
        <v/>
      </c>
      <c r="Q74" s="124" t="n"/>
      <c r="R74" s="124" t="n"/>
      <c r="S74" s="124" t="n"/>
      <c r="T74" s="124" t="n"/>
      <c r="U74" s="124" t="n"/>
      <c r="V74" s="124" t="n"/>
      <c r="W74" s="124" t="n"/>
      <c r="X74" s="124" t="n"/>
      <c r="Y74" s="124" t="n"/>
      <c r="Z74" s="124" t="n"/>
      <c r="AA74" s="124" t="n"/>
      <c r="AB74" s="124" t="n"/>
      <c r="AC74" s="124" t="n"/>
      <c r="AD74" s="124" t="n"/>
      <c r="AE74" s="124" t="n"/>
      <c r="AF74" s="124" t="n"/>
      <c r="AG74" s="124" t="n"/>
      <c r="AH74" s="124" t="n"/>
      <c r="AI74" s="124" t="n"/>
      <c r="AJ74" s="124" t="n"/>
      <c r="AK74" s="124" t="n"/>
      <c r="AL74" s="124" t="n"/>
      <c r="AM74" s="124" t="n"/>
      <c r="AN74" s="124" t="n"/>
      <c r="AO74" s="124" t="n"/>
      <c r="AP74" s="124" t="n"/>
      <c r="AQ74" s="124" t="n"/>
      <c r="AR74" s="124" t="n"/>
      <c r="AS74" s="124" t="n"/>
      <c r="AT74" s="124" t="n"/>
      <c r="AU74" s="124" t="n"/>
      <c r="AV74" s="124" t="n"/>
      <c r="AW74" s="124" t="n"/>
      <c r="AX74" s="124" t="n"/>
      <c r="AY74" s="124" t="n"/>
      <c r="AZ74" s="124" t="n"/>
      <c r="BA74" s="124" t="n"/>
      <c r="BB74" s="124" t="n"/>
      <c r="BC74" s="124" t="n"/>
      <c r="BD74" s="124" t="n"/>
      <c r="BE74" s="124" t="n"/>
      <c r="BF74" s="124" t="n"/>
      <c r="BG74" s="124" t="n"/>
      <c r="BH74" s="124" t="n"/>
      <c r="BI74" s="124" t="n"/>
      <c r="BJ74" s="124" t="n"/>
      <c r="BK74" s="124" t="n"/>
      <c r="BL74" s="124" t="n"/>
      <c r="BM74" s="124" t="n"/>
      <c r="BN74" s="124" t="n"/>
      <c r="BO74" s="124" t="n"/>
    </row>
    <row r="75" ht="15" customHeight="1" s="402">
      <c r="A75" s="79">
        <f>+'Invullen groen'!A79</f>
        <v/>
      </c>
      <c r="B75" s="79">
        <f>+'Invullen groen'!C79</f>
        <v/>
      </c>
      <c r="C75" s="128">
        <f>+'Invullen groen'!G79</f>
        <v/>
      </c>
      <c r="D75" s="79">
        <f>+'Invullen groen'!M79</f>
        <v/>
      </c>
      <c r="E75" s="129">
        <f>+'Invullen groen'!H79</f>
        <v/>
      </c>
      <c r="F75" s="129">
        <f>+'Invullen groen'!I79</f>
        <v/>
      </c>
      <c r="G75" s="129">
        <f>+'Invullen groen'!J79</f>
        <v/>
      </c>
      <c r="H75" s="129">
        <f>+'Invullen groen'!K79</f>
        <v/>
      </c>
      <c r="I75" s="124">
        <f>+'Invullen groen'!AW79</f>
        <v/>
      </c>
      <c r="J75" s="124">
        <f>+'Invullen groen'!AX79</f>
        <v/>
      </c>
      <c r="K75" s="124">
        <f>+'Invullen groen'!AY79</f>
        <v/>
      </c>
      <c r="L75" s="124">
        <f>+'Invullen groen'!AZ79</f>
        <v/>
      </c>
      <c r="M75" s="124">
        <f>+'Invullen groen'!BA79</f>
        <v/>
      </c>
      <c r="N75" s="124">
        <f>+'Invullen groen'!BB79</f>
        <v/>
      </c>
      <c r="O75" s="124">
        <f>+'Invullen groen'!BC79</f>
        <v/>
      </c>
      <c r="P75" s="124">
        <f>+'Invullen groen'!BD79</f>
        <v/>
      </c>
      <c r="Q75" s="124" t="n"/>
      <c r="R75" s="124" t="n"/>
      <c r="S75" s="124" t="n"/>
      <c r="T75" s="124" t="n"/>
      <c r="U75" s="124" t="n"/>
      <c r="V75" s="124" t="n"/>
      <c r="W75" s="124" t="n"/>
      <c r="X75" s="124" t="n"/>
      <c r="Y75" s="124" t="n"/>
      <c r="Z75" s="124" t="n"/>
      <c r="AA75" s="124" t="n"/>
      <c r="AB75" s="124" t="n"/>
      <c r="AC75" s="124" t="n"/>
      <c r="AD75" s="124" t="n"/>
      <c r="AE75" s="124" t="n"/>
      <c r="AF75" s="124" t="n"/>
      <c r="AG75" s="124" t="n"/>
      <c r="AH75" s="124" t="n"/>
      <c r="AI75" s="124" t="n"/>
      <c r="AJ75" s="124" t="n"/>
      <c r="AK75" s="124" t="n"/>
      <c r="AL75" s="124" t="n"/>
      <c r="AM75" s="124" t="n"/>
      <c r="AN75" s="124" t="n"/>
      <c r="AO75" s="124" t="n"/>
      <c r="AP75" s="124" t="n"/>
      <c r="AQ75" s="124" t="n"/>
      <c r="AR75" s="124" t="n"/>
      <c r="AS75" s="124" t="n"/>
      <c r="AT75" s="124" t="n"/>
      <c r="AU75" s="124" t="n"/>
      <c r="AV75" s="124" t="n"/>
      <c r="AW75" s="124" t="n"/>
      <c r="AX75" s="124" t="n"/>
      <c r="AY75" s="124" t="n"/>
      <c r="AZ75" s="124" t="n"/>
      <c r="BA75" s="124" t="n"/>
      <c r="BB75" s="124" t="n"/>
      <c r="BC75" s="124" t="n"/>
      <c r="BD75" s="124" t="n"/>
      <c r="BE75" s="124" t="n"/>
      <c r="BF75" s="124" t="n"/>
      <c r="BG75" s="124" t="n"/>
      <c r="BH75" s="124" t="n"/>
      <c r="BI75" s="124" t="n"/>
      <c r="BJ75" s="124" t="n"/>
      <c r="BK75" s="124" t="n"/>
      <c r="BL75" s="124" t="n"/>
      <c r="BM75" s="124" t="n"/>
      <c r="BN75" s="124" t="n"/>
      <c r="BO75" s="124" t="n"/>
    </row>
    <row r="76" ht="15" customHeight="1" s="402">
      <c r="A76" s="80">
        <f>+'Invullen groen'!A80</f>
        <v/>
      </c>
      <c r="B76" s="80">
        <f>+'Invullen groen'!C80</f>
        <v/>
      </c>
      <c r="C76" s="130">
        <f>+'Invullen groen'!G80</f>
        <v/>
      </c>
      <c r="D76" s="80">
        <f>+'Invullen groen'!M80</f>
        <v/>
      </c>
      <c r="E76" s="131">
        <f>+'Invullen groen'!H80</f>
        <v/>
      </c>
      <c r="F76" s="131">
        <f>+'Invullen groen'!I80</f>
        <v/>
      </c>
      <c r="G76" s="131">
        <f>+'Invullen groen'!J80</f>
        <v/>
      </c>
      <c r="H76" s="131">
        <f>+'Invullen groen'!K80</f>
        <v/>
      </c>
      <c r="I76" s="124">
        <f>+'Invullen groen'!AW80</f>
        <v/>
      </c>
      <c r="J76" s="124">
        <f>+'Invullen groen'!AX80</f>
        <v/>
      </c>
      <c r="K76" s="124">
        <f>+'Invullen groen'!AY80</f>
        <v/>
      </c>
      <c r="L76" s="124">
        <f>+'Invullen groen'!AZ80</f>
        <v/>
      </c>
      <c r="M76" s="124">
        <f>+'Invullen groen'!BA80</f>
        <v/>
      </c>
      <c r="N76" s="124">
        <f>+'Invullen groen'!BB80</f>
        <v/>
      </c>
      <c r="O76" s="124">
        <f>+'Invullen groen'!BC80</f>
        <v/>
      </c>
      <c r="P76" s="124">
        <f>+'Invullen groen'!BD80</f>
        <v/>
      </c>
      <c r="Q76" s="124" t="n"/>
      <c r="R76" s="124" t="n"/>
      <c r="S76" s="124" t="n"/>
      <c r="T76" s="124" t="n"/>
      <c r="U76" s="124" t="n"/>
      <c r="V76" s="124" t="n"/>
      <c r="W76" s="124" t="n"/>
      <c r="X76" s="124" t="n"/>
      <c r="Y76" s="124" t="n"/>
      <c r="Z76" s="124" t="n"/>
      <c r="AA76" s="124" t="n"/>
      <c r="AB76" s="124" t="n"/>
      <c r="AC76" s="124" t="n"/>
      <c r="AD76" s="124" t="n"/>
      <c r="AE76" s="124" t="n"/>
      <c r="AF76" s="124" t="n"/>
      <c r="AG76" s="124" t="n"/>
      <c r="AH76" s="124" t="n"/>
      <c r="AI76" s="124" t="n"/>
      <c r="AJ76" s="124" t="n"/>
      <c r="AK76" s="124" t="n"/>
      <c r="AL76" s="124" t="n"/>
      <c r="AM76" s="124" t="n"/>
      <c r="AN76" s="124" t="n"/>
      <c r="AO76" s="124" t="n"/>
      <c r="AP76" s="124" t="n"/>
      <c r="AQ76" s="124" t="n"/>
      <c r="AR76" s="124" t="n"/>
      <c r="AS76" s="124" t="n"/>
      <c r="AT76" s="124" t="n"/>
      <c r="AU76" s="124" t="n"/>
      <c r="AV76" s="124" t="n"/>
      <c r="AW76" s="124" t="n"/>
      <c r="AX76" s="124" t="n"/>
      <c r="AY76" s="124" t="n"/>
      <c r="AZ76" s="124" t="n"/>
      <c r="BA76" s="124" t="n"/>
      <c r="BB76" s="124" t="n"/>
      <c r="BC76" s="124" t="n"/>
      <c r="BD76" s="124" t="n"/>
      <c r="BE76" s="124" t="n"/>
      <c r="BF76" s="124" t="n"/>
      <c r="BG76" s="124" t="n"/>
      <c r="BH76" s="124" t="n"/>
      <c r="BI76" s="124" t="n"/>
      <c r="BJ76" s="124" t="n"/>
      <c r="BK76" s="124" t="n"/>
      <c r="BL76" s="124" t="n"/>
      <c r="BM76" s="124" t="n"/>
      <c r="BN76" s="124" t="n"/>
      <c r="BO76" s="124" t="n"/>
    </row>
    <row r="77" ht="15" customHeight="1" s="402">
      <c r="A77" s="79">
        <f>+'Invullen groen'!A81</f>
        <v/>
      </c>
      <c r="B77" s="79">
        <f>+'Invullen groen'!C81</f>
        <v/>
      </c>
      <c r="C77" s="128">
        <f>+'Invullen groen'!G81</f>
        <v/>
      </c>
      <c r="D77" s="79">
        <f>+'Invullen groen'!M81</f>
        <v/>
      </c>
      <c r="E77" s="129">
        <f>+'Invullen groen'!H81</f>
        <v/>
      </c>
      <c r="F77" s="129">
        <f>+'Invullen groen'!I81</f>
        <v/>
      </c>
      <c r="G77" s="129">
        <f>+'Invullen groen'!J81</f>
        <v/>
      </c>
      <c r="H77" s="129">
        <f>+'Invullen groen'!K81</f>
        <v/>
      </c>
      <c r="I77" s="124">
        <f>+'Invullen groen'!AW81</f>
        <v/>
      </c>
      <c r="J77" s="124">
        <f>+'Invullen groen'!AX81</f>
        <v/>
      </c>
      <c r="K77" s="124">
        <f>+'Invullen groen'!AY81</f>
        <v/>
      </c>
      <c r="L77" s="124">
        <f>+'Invullen groen'!AZ81</f>
        <v/>
      </c>
      <c r="M77" s="124">
        <f>+'Invullen groen'!BA81</f>
        <v/>
      </c>
      <c r="N77" s="124">
        <f>+'Invullen groen'!BB81</f>
        <v/>
      </c>
      <c r="O77" s="124">
        <f>+'Invullen groen'!BC81</f>
        <v/>
      </c>
      <c r="P77" s="124">
        <f>+'Invullen groen'!BD81</f>
        <v/>
      </c>
      <c r="Q77" s="124" t="n"/>
      <c r="R77" s="124" t="n"/>
      <c r="S77" s="124" t="n"/>
      <c r="T77" s="124" t="n"/>
      <c r="U77" s="124" t="n"/>
      <c r="V77" s="124" t="n"/>
      <c r="W77" s="124" t="n"/>
      <c r="X77" s="124" t="n"/>
      <c r="Y77" s="124" t="n"/>
      <c r="Z77" s="124" t="n"/>
      <c r="AA77" s="124" t="n"/>
      <c r="AB77" s="124" t="n"/>
      <c r="AC77" s="124" t="n"/>
      <c r="AD77" s="124" t="n"/>
      <c r="AE77" s="124" t="n"/>
      <c r="AF77" s="124" t="n"/>
      <c r="AG77" s="124" t="n"/>
      <c r="AH77" s="124" t="n"/>
      <c r="AI77" s="124" t="n"/>
      <c r="AJ77" s="124" t="n"/>
      <c r="AK77" s="124" t="n"/>
      <c r="AL77" s="124" t="n"/>
      <c r="AM77" s="124" t="n"/>
      <c r="AN77" s="124" t="n"/>
      <c r="AO77" s="124" t="n"/>
      <c r="AP77" s="124" t="n"/>
      <c r="AQ77" s="124" t="n"/>
      <c r="AR77" s="124" t="n"/>
      <c r="AS77" s="124" t="n"/>
      <c r="AT77" s="124" t="n"/>
      <c r="AU77" s="124" t="n"/>
      <c r="AV77" s="124" t="n"/>
      <c r="AW77" s="124" t="n"/>
      <c r="AX77" s="124" t="n"/>
      <c r="AY77" s="124" t="n"/>
      <c r="AZ77" s="124" t="n"/>
      <c r="BA77" s="124" t="n"/>
      <c r="BB77" s="124" t="n"/>
      <c r="BC77" s="124" t="n"/>
      <c r="BD77" s="124" t="n"/>
      <c r="BE77" s="124" t="n"/>
      <c r="BF77" s="124" t="n"/>
      <c r="BG77" s="124" t="n"/>
      <c r="BH77" s="124" t="n"/>
      <c r="BI77" s="124" t="n"/>
      <c r="BJ77" s="124" t="n"/>
      <c r="BK77" s="124" t="n"/>
      <c r="BL77" s="124" t="n"/>
      <c r="BM77" s="124" t="n"/>
      <c r="BN77" s="124" t="n"/>
      <c r="BO77" s="124" t="n"/>
    </row>
    <row r="78" ht="15" customHeight="1" s="402">
      <c r="A78" s="80">
        <f>+'Invullen groen'!A82</f>
        <v/>
      </c>
      <c r="B78" s="80">
        <f>+'Invullen groen'!C82</f>
        <v/>
      </c>
      <c r="C78" s="130">
        <f>+'Invullen groen'!G82</f>
        <v/>
      </c>
      <c r="D78" s="80">
        <f>+'Invullen groen'!M82</f>
        <v/>
      </c>
      <c r="E78" s="131">
        <f>+'Invullen groen'!H82</f>
        <v/>
      </c>
      <c r="F78" s="131">
        <f>+'Invullen groen'!I82</f>
        <v/>
      </c>
      <c r="G78" s="131">
        <f>+'Invullen groen'!J82</f>
        <v/>
      </c>
      <c r="H78" s="131">
        <f>+'Invullen groen'!K82</f>
        <v/>
      </c>
      <c r="I78" s="124">
        <f>+'Invullen groen'!AW82</f>
        <v/>
      </c>
      <c r="J78" s="124">
        <f>+'Invullen groen'!AX82</f>
        <v/>
      </c>
      <c r="K78" s="124">
        <f>+'Invullen groen'!AY82</f>
        <v/>
      </c>
      <c r="L78" s="124">
        <f>+'Invullen groen'!AZ82</f>
        <v/>
      </c>
      <c r="M78" s="124">
        <f>+'Invullen groen'!BA82</f>
        <v/>
      </c>
      <c r="N78" s="124">
        <f>+'Invullen groen'!BB82</f>
        <v/>
      </c>
      <c r="O78" s="124">
        <f>+'Invullen groen'!BC82</f>
        <v/>
      </c>
      <c r="P78" s="124">
        <f>+'Invullen groen'!BD82</f>
        <v/>
      </c>
      <c r="Q78" s="124" t="n"/>
      <c r="R78" s="124" t="n"/>
      <c r="S78" s="124" t="n"/>
      <c r="T78" s="124" t="n"/>
      <c r="U78" s="124" t="n"/>
      <c r="V78" s="124" t="n"/>
      <c r="W78" s="124" t="n"/>
      <c r="X78" s="124" t="n"/>
      <c r="Y78" s="124" t="n"/>
      <c r="Z78" s="124" t="n"/>
      <c r="AA78" s="124" t="n"/>
      <c r="AB78" s="124" t="n"/>
      <c r="AC78" s="124" t="n"/>
      <c r="AD78" s="124" t="n"/>
      <c r="AE78" s="124" t="n"/>
      <c r="AF78" s="124" t="n"/>
      <c r="AG78" s="124" t="n"/>
      <c r="AH78" s="124" t="n"/>
      <c r="AI78" s="124" t="n"/>
      <c r="AJ78" s="124" t="n"/>
      <c r="AK78" s="124" t="n"/>
      <c r="AL78" s="124" t="n"/>
      <c r="AM78" s="124" t="n"/>
      <c r="AN78" s="124" t="n"/>
      <c r="AO78" s="124" t="n"/>
      <c r="AP78" s="124" t="n"/>
      <c r="AQ78" s="124" t="n"/>
      <c r="AR78" s="124" t="n"/>
      <c r="AS78" s="124" t="n"/>
      <c r="AT78" s="124" t="n"/>
      <c r="AU78" s="124" t="n"/>
      <c r="AV78" s="124" t="n"/>
      <c r="AW78" s="124" t="n"/>
      <c r="AX78" s="124" t="n"/>
      <c r="AY78" s="124" t="n"/>
      <c r="AZ78" s="124" t="n"/>
      <c r="BA78" s="124" t="n"/>
      <c r="BB78" s="124" t="n"/>
      <c r="BC78" s="124" t="n"/>
      <c r="BD78" s="124" t="n"/>
      <c r="BE78" s="124" t="n"/>
      <c r="BF78" s="124" t="n"/>
      <c r="BG78" s="124" t="n"/>
      <c r="BH78" s="124" t="n"/>
      <c r="BI78" s="124" t="n"/>
      <c r="BJ78" s="124" t="n"/>
      <c r="BK78" s="124" t="n"/>
      <c r="BL78" s="124" t="n"/>
      <c r="BM78" s="124" t="n"/>
      <c r="BN78" s="124" t="n"/>
      <c r="BO78" s="124" t="n"/>
    </row>
    <row r="79" ht="15" customHeight="1" s="402">
      <c r="A79" s="79">
        <f>+'Invullen groen'!A83</f>
        <v/>
      </c>
      <c r="B79" s="79">
        <f>+'Invullen groen'!C83</f>
        <v/>
      </c>
      <c r="C79" s="128">
        <f>+'Invullen groen'!G83</f>
        <v/>
      </c>
      <c r="D79" s="79">
        <f>+'Invullen groen'!M83</f>
        <v/>
      </c>
      <c r="E79" s="129">
        <f>+'Invullen groen'!H83</f>
        <v/>
      </c>
      <c r="F79" s="129">
        <f>+'Invullen groen'!I83</f>
        <v/>
      </c>
      <c r="G79" s="129">
        <f>+'Invullen groen'!J83</f>
        <v/>
      </c>
      <c r="H79" s="129">
        <f>+'Invullen groen'!K83</f>
        <v/>
      </c>
      <c r="I79" s="124">
        <f>+'Invullen groen'!AW83</f>
        <v/>
      </c>
      <c r="J79" s="124">
        <f>+'Invullen groen'!AX83</f>
        <v/>
      </c>
      <c r="K79" s="124">
        <f>+'Invullen groen'!AY83</f>
        <v/>
      </c>
      <c r="L79" s="124">
        <f>+'Invullen groen'!AZ83</f>
        <v/>
      </c>
      <c r="M79" s="124">
        <f>+'Invullen groen'!BA83</f>
        <v/>
      </c>
      <c r="N79" s="124">
        <f>+'Invullen groen'!BB83</f>
        <v/>
      </c>
      <c r="O79" s="124">
        <f>+'Invullen groen'!BC83</f>
        <v/>
      </c>
      <c r="P79" s="124">
        <f>+'Invullen groen'!BD83</f>
        <v/>
      </c>
      <c r="Q79" s="124" t="n"/>
      <c r="R79" s="124" t="n"/>
      <c r="S79" s="124" t="n"/>
      <c r="T79" s="124" t="n"/>
      <c r="U79" s="124" t="n"/>
      <c r="V79" s="124" t="n"/>
      <c r="W79" s="124" t="n"/>
      <c r="X79" s="124" t="n"/>
      <c r="Y79" s="124" t="n"/>
      <c r="Z79" s="124" t="n"/>
      <c r="AA79" s="124" t="n"/>
      <c r="AB79" s="124" t="n"/>
      <c r="AC79" s="124" t="n"/>
      <c r="AD79" s="124" t="n"/>
      <c r="AE79" s="124" t="n"/>
      <c r="AF79" s="124" t="n"/>
      <c r="AG79" s="124" t="n"/>
      <c r="AH79" s="124" t="n"/>
      <c r="AI79" s="124" t="n"/>
      <c r="AJ79" s="124" t="n"/>
      <c r="AK79" s="124" t="n"/>
      <c r="AL79" s="124" t="n"/>
      <c r="AM79" s="124" t="n"/>
      <c r="AN79" s="124" t="n"/>
      <c r="AO79" s="124" t="n"/>
      <c r="AP79" s="124" t="n"/>
      <c r="AQ79" s="124" t="n"/>
      <c r="AR79" s="124" t="n"/>
      <c r="AS79" s="124" t="n"/>
      <c r="AT79" s="124" t="n"/>
      <c r="AU79" s="124" t="n"/>
      <c r="AV79" s="124" t="n"/>
      <c r="AW79" s="124" t="n"/>
      <c r="AX79" s="124" t="n"/>
      <c r="AY79" s="124" t="n"/>
      <c r="AZ79" s="124" t="n"/>
      <c r="BA79" s="124" t="n"/>
      <c r="BB79" s="124" t="n"/>
      <c r="BC79" s="124" t="n"/>
      <c r="BD79" s="124" t="n"/>
      <c r="BE79" s="124" t="n"/>
      <c r="BF79" s="124" t="n"/>
      <c r="BG79" s="124" t="n"/>
      <c r="BH79" s="124" t="n"/>
      <c r="BI79" s="124" t="n"/>
      <c r="BJ79" s="124" t="n"/>
      <c r="BK79" s="124" t="n"/>
      <c r="BL79" s="124" t="n"/>
      <c r="BM79" s="124" t="n"/>
      <c r="BN79" s="124" t="n"/>
      <c r="BO79" s="124" t="n"/>
    </row>
    <row r="80" ht="15" customHeight="1" s="402">
      <c r="A80" s="80">
        <f>+'Invullen groen'!A84</f>
        <v/>
      </c>
      <c r="B80" s="80">
        <f>+'Invullen groen'!C84</f>
        <v/>
      </c>
      <c r="C80" s="130">
        <f>+'Invullen groen'!G84</f>
        <v/>
      </c>
      <c r="D80" s="80">
        <f>+'Invullen groen'!M84</f>
        <v/>
      </c>
      <c r="E80" s="131">
        <f>+'Invullen groen'!H84</f>
        <v/>
      </c>
      <c r="F80" s="131">
        <f>+'Invullen groen'!I84</f>
        <v/>
      </c>
      <c r="G80" s="131">
        <f>+'Invullen groen'!J84</f>
        <v/>
      </c>
      <c r="H80" s="131">
        <f>+'Invullen groen'!K84</f>
        <v/>
      </c>
      <c r="I80" s="124">
        <f>+'Invullen groen'!AW84</f>
        <v/>
      </c>
      <c r="J80" s="124">
        <f>+'Invullen groen'!AX84</f>
        <v/>
      </c>
      <c r="K80" s="124">
        <f>+'Invullen groen'!AY84</f>
        <v/>
      </c>
      <c r="L80" s="124">
        <f>+'Invullen groen'!AZ84</f>
        <v/>
      </c>
      <c r="M80" s="124">
        <f>+'Invullen groen'!BA84</f>
        <v/>
      </c>
      <c r="N80" s="124">
        <f>+'Invullen groen'!BB84</f>
        <v/>
      </c>
      <c r="O80" s="124">
        <f>+'Invullen groen'!BC84</f>
        <v/>
      </c>
      <c r="P80" s="124">
        <f>+'Invullen groen'!BD84</f>
        <v/>
      </c>
    </row>
    <row r="81" ht="15" customHeight="1" s="402">
      <c r="A81" s="79">
        <f>+'Invullen groen'!A85</f>
        <v/>
      </c>
      <c r="B81" s="79">
        <f>+'Invullen groen'!C85</f>
        <v/>
      </c>
      <c r="C81" s="128">
        <f>+'Invullen groen'!G85</f>
        <v/>
      </c>
      <c r="D81" s="79">
        <f>+'Invullen groen'!M85</f>
        <v/>
      </c>
      <c r="E81" s="129">
        <f>+'Invullen groen'!H85</f>
        <v/>
      </c>
      <c r="F81" s="129">
        <f>+'Invullen groen'!I85</f>
        <v/>
      </c>
      <c r="G81" s="129">
        <f>+'Invullen groen'!J85</f>
        <v/>
      </c>
      <c r="H81" s="129">
        <f>+'Invullen groen'!K85</f>
        <v/>
      </c>
      <c r="I81" s="124">
        <f>+'Invullen groen'!AW85</f>
        <v/>
      </c>
      <c r="J81" s="124">
        <f>+'Invullen groen'!AX85</f>
        <v/>
      </c>
      <c r="K81" s="124">
        <f>+'Invullen groen'!AY85</f>
        <v/>
      </c>
      <c r="L81" s="124">
        <f>+'Invullen groen'!AZ85</f>
        <v/>
      </c>
      <c r="M81" s="124">
        <f>+'Invullen groen'!BA85</f>
        <v/>
      </c>
      <c r="N81" s="124">
        <f>+'Invullen groen'!BB85</f>
        <v/>
      </c>
      <c r="O81" s="124">
        <f>+'Invullen groen'!BC85</f>
        <v/>
      </c>
      <c r="P81" s="124">
        <f>+'Invullen groen'!BD85</f>
        <v/>
      </c>
    </row>
    <row r="82" ht="15" customHeight="1" s="402">
      <c r="A82" s="80">
        <f>+'Invullen groen'!A86</f>
        <v/>
      </c>
      <c r="B82" s="80">
        <f>+'Invullen groen'!C86</f>
        <v/>
      </c>
      <c r="C82" s="130">
        <f>+'Invullen groen'!G86</f>
        <v/>
      </c>
      <c r="D82" s="80">
        <f>+'Invullen groen'!M86</f>
        <v/>
      </c>
      <c r="E82" s="131">
        <f>+'Invullen groen'!H86</f>
        <v/>
      </c>
      <c r="F82" s="131">
        <f>+'Invullen groen'!I86</f>
        <v/>
      </c>
      <c r="G82" s="131">
        <f>+'Invullen groen'!J86</f>
        <v/>
      </c>
      <c r="H82" s="131">
        <f>+'Invullen groen'!K86</f>
        <v/>
      </c>
      <c r="I82" s="124">
        <f>+'Invullen groen'!AW86</f>
        <v/>
      </c>
      <c r="J82" s="124">
        <f>+'Invullen groen'!AX86</f>
        <v/>
      </c>
      <c r="K82" s="124">
        <f>+'Invullen groen'!AY86</f>
        <v/>
      </c>
      <c r="L82" s="124">
        <f>+'Invullen groen'!AZ86</f>
        <v/>
      </c>
      <c r="M82" s="124">
        <f>+'Invullen groen'!BA86</f>
        <v/>
      </c>
      <c r="N82" s="124">
        <f>+'Invullen groen'!BB86</f>
        <v/>
      </c>
      <c r="O82" s="124">
        <f>+'Invullen groen'!BC86</f>
        <v/>
      </c>
      <c r="P82" s="124">
        <f>+'Invullen groen'!BD86</f>
        <v/>
      </c>
    </row>
    <row r="83" ht="15" customHeight="1" s="402">
      <c r="A83" s="79">
        <f>+'Invullen groen'!A87</f>
        <v/>
      </c>
      <c r="B83" s="79">
        <f>+'Invullen groen'!C87</f>
        <v/>
      </c>
      <c r="C83" s="128">
        <f>+'Invullen groen'!G87</f>
        <v/>
      </c>
      <c r="D83" s="79">
        <f>+'Invullen groen'!M87</f>
        <v/>
      </c>
      <c r="E83" s="129">
        <f>+'Invullen groen'!H87</f>
        <v/>
      </c>
      <c r="F83" s="129">
        <f>+'Invullen groen'!I87</f>
        <v/>
      </c>
      <c r="G83" s="129">
        <f>+'Invullen groen'!J87</f>
        <v/>
      </c>
      <c r="H83" s="129">
        <f>+'Invullen groen'!K87</f>
        <v/>
      </c>
      <c r="I83" s="124">
        <f>+'Invullen groen'!AW87</f>
        <v/>
      </c>
      <c r="J83" s="124">
        <f>+'Invullen groen'!AX87</f>
        <v/>
      </c>
      <c r="K83" s="124">
        <f>+'Invullen groen'!AY87</f>
        <v/>
      </c>
      <c r="L83" s="124">
        <f>+'Invullen groen'!AZ87</f>
        <v/>
      </c>
      <c r="M83" s="124">
        <f>+'Invullen groen'!BA87</f>
        <v/>
      </c>
      <c r="N83" s="124">
        <f>+'Invullen groen'!BB87</f>
        <v/>
      </c>
      <c r="O83" s="124">
        <f>+'Invullen groen'!BC87</f>
        <v/>
      </c>
      <c r="P83" s="124">
        <f>+'Invullen groen'!BD87</f>
        <v/>
      </c>
    </row>
    <row r="84" ht="15" customHeight="1" s="402">
      <c r="A84" s="80">
        <f>+'Invullen groen'!A88</f>
        <v/>
      </c>
      <c r="B84" s="80">
        <f>+'Invullen groen'!C88</f>
        <v/>
      </c>
      <c r="C84" s="130">
        <f>+'Invullen groen'!G88</f>
        <v/>
      </c>
      <c r="D84" s="80">
        <f>+'Invullen groen'!M88</f>
        <v/>
      </c>
      <c r="E84" s="131">
        <f>+'Invullen groen'!H88</f>
        <v/>
      </c>
      <c r="F84" s="131">
        <f>+'Invullen groen'!I88</f>
        <v/>
      </c>
      <c r="G84" s="131">
        <f>+'Invullen groen'!J88</f>
        <v/>
      </c>
      <c r="H84" s="131">
        <f>+'Invullen groen'!K88</f>
        <v/>
      </c>
      <c r="I84" s="124">
        <f>+'Invullen groen'!AW88</f>
        <v/>
      </c>
      <c r="J84" s="124">
        <f>+'Invullen groen'!AX88</f>
        <v/>
      </c>
      <c r="K84" s="124">
        <f>+'Invullen groen'!AY88</f>
        <v/>
      </c>
      <c r="L84" s="124">
        <f>+'Invullen groen'!AZ88</f>
        <v/>
      </c>
      <c r="M84" s="124">
        <f>+'Invullen groen'!BA88</f>
        <v/>
      </c>
      <c r="N84" s="124">
        <f>+'Invullen groen'!BB88</f>
        <v/>
      </c>
      <c r="O84" s="124">
        <f>+'Invullen groen'!BC88</f>
        <v/>
      </c>
      <c r="P84" s="124">
        <f>+'Invullen groen'!BD88</f>
        <v/>
      </c>
    </row>
    <row r="85" ht="15" customHeight="1" s="402">
      <c r="A85" s="79">
        <f>+'Invullen groen'!A89</f>
        <v/>
      </c>
      <c r="B85" s="79">
        <f>+'Invullen groen'!C89</f>
        <v/>
      </c>
      <c r="C85" s="128">
        <f>+'Invullen groen'!G89</f>
        <v/>
      </c>
      <c r="D85" s="79">
        <f>+'Invullen groen'!M89</f>
        <v/>
      </c>
      <c r="E85" s="129">
        <f>+'Invullen groen'!H89</f>
        <v/>
      </c>
      <c r="F85" s="129">
        <f>+'Invullen groen'!I89</f>
        <v/>
      </c>
      <c r="G85" s="129">
        <f>+'Invullen groen'!J89</f>
        <v/>
      </c>
      <c r="H85" s="129">
        <f>+'Invullen groen'!K89</f>
        <v/>
      </c>
      <c r="I85" s="124">
        <f>+'Invullen groen'!AW89</f>
        <v/>
      </c>
      <c r="J85" s="124">
        <f>+'Invullen groen'!AX89</f>
        <v/>
      </c>
      <c r="K85" s="124">
        <f>+'Invullen groen'!AY89</f>
        <v/>
      </c>
      <c r="L85" s="124">
        <f>+'Invullen groen'!AZ89</f>
        <v/>
      </c>
      <c r="M85" s="124">
        <f>+'Invullen groen'!BA89</f>
        <v/>
      </c>
      <c r="N85" s="124">
        <f>+'Invullen groen'!BB89</f>
        <v/>
      </c>
      <c r="O85" s="124">
        <f>+'Invullen groen'!BC89</f>
        <v/>
      </c>
      <c r="P85" s="124">
        <f>+'Invullen groen'!BD89</f>
        <v/>
      </c>
    </row>
    <row r="86" ht="15" customHeight="1" s="402">
      <c r="A86" s="80">
        <f>+'Invullen groen'!A90</f>
        <v/>
      </c>
      <c r="B86" s="80">
        <f>+'Invullen groen'!C90</f>
        <v/>
      </c>
      <c r="C86" s="130">
        <f>+'Invullen groen'!G90</f>
        <v/>
      </c>
      <c r="D86" s="80">
        <f>+'Invullen groen'!M90</f>
        <v/>
      </c>
      <c r="E86" s="131">
        <f>+'Invullen groen'!H90</f>
        <v/>
      </c>
      <c r="F86" s="131">
        <f>+'Invullen groen'!I90</f>
        <v/>
      </c>
      <c r="G86" s="131">
        <f>+'Invullen groen'!J90</f>
        <v/>
      </c>
      <c r="H86" s="131">
        <f>+'Invullen groen'!K90</f>
        <v/>
      </c>
      <c r="I86" s="124">
        <f>+'Invullen groen'!AW90</f>
        <v/>
      </c>
      <c r="J86" s="124">
        <f>+'Invullen groen'!AX90</f>
        <v/>
      </c>
      <c r="K86" s="124">
        <f>+'Invullen groen'!AY90</f>
        <v/>
      </c>
      <c r="L86" s="124">
        <f>+'Invullen groen'!AZ90</f>
        <v/>
      </c>
      <c r="M86" s="124">
        <f>+'Invullen groen'!BA90</f>
        <v/>
      </c>
      <c r="N86" s="124">
        <f>+'Invullen groen'!BB90</f>
        <v/>
      </c>
      <c r="O86" s="124">
        <f>+'Invullen groen'!BC90</f>
        <v/>
      </c>
      <c r="P86" s="124">
        <f>+'Invullen groen'!BD90</f>
        <v/>
      </c>
    </row>
    <row r="87" ht="15" customHeight="1" s="402">
      <c r="A87" s="79">
        <f>+'Invullen groen'!A91</f>
        <v/>
      </c>
      <c r="B87" s="79">
        <f>+'Invullen groen'!C91</f>
        <v/>
      </c>
      <c r="C87" s="128">
        <f>+'Invullen groen'!G91</f>
        <v/>
      </c>
      <c r="D87" s="79">
        <f>+'Invullen groen'!M91</f>
        <v/>
      </c>
      <c r="E87" s="129">
        <f>+'Invullen groen'!H91</f>
        <v/>
      </c>
      <c r="F87" s="129">
        <f>+'Invullen groen'!I91</f>
        <v/>
      </c>
      <c r="G87" s="129">
        <f>+'Invullen groen'!J91</f>
        <v/>
      </c>
      <c r="H87" s="129">
        <f>+'Invullen groen'!K91</f>
        <v/>
      </c>
      <c r="I87" s="124">
        <f>+'Invullen groen'!AW91</f>
        <v/>
      </c>
      <c r="J87" s="124">
        <f>+'Invullen groen'!AX91</f>
        <v/>
      </c>
      <c r="K87" s="124">
        <f>+'Invullen groen'!AY91</f>
        <v/>
      </c>
      <c r="L87" s="124">
        <f>+'Invullen groen'!AZ91</f>
        <v/>
      </c>
      <c r="M87" s="124">
        <f>+'Invullen groen'!BA91</f>
        <v/>
      </c>
      <c r="N87" s="124">
        <f>+'Invullen groen'!BB91</f>
        <v/>
      </c>
      <c r="O87" s="124">
        <f>+'Invullen groen'!BC91</f>
        <v/>
      </c>
      <c r="P87" s="124">
        <f>+'Invullen groen'!BD91</f>
        <v/>
      </c>
    </row>
    <row r="88" ht="15" customHeight="1" s="402">
      <c r="A88" s="80">
        <f>+'Invullen groen'!A92</f>
        <v/>
      </c>
      <c r="B88" s="80">
        <f>+'Invullen groen'!C92</f>
        <v/>
      </c>
      <c r="C88" s="130">
        <f>+'Invullen groen'!G92</f>
        <v/>
      </c>
      <c r="D88" s="80">
        <f>+'Invullen groen'!M92</f>
        <v/>
      </c>
      <c r="E88" s="131">
        <f>+'Invullen groen'!H92</f>
        <v/>
      </c>
      <c r="F88" s="131">
        <f>+'Invullen groen'!I92</f>
        <v/>
      </c>
      <c r="G88" s="131">
        <f>+'Invullen groen'!J92</f>
        <v/>
      </c>
      <c r="H88" s="131">
        <f>+'Invullen groen'!K92</f>
        <v/>
      </c>
      <c r="I88" s="124">
        <f>+'Invullen groen'!AW92</f>
        <v/>
      </c>
      <c r="J88" s="124">
        <f>+'Invullen groen'!AX92</f>
        <v/>
      </c>
      <c r="K88" s="124">
        <f>+'Invullen groen'!AY92</f>
        <v/>
      </c>
      <c r="L88" s="124">
        <f>+'Invullen groen'!AZ92</f>
        <v/>
      </c>
      <c r="M88" s="124">
        <f>+'Invullen groen'!BA92</f>
        <v/>
      </c>
      <c r="N88" s="124">
        <f>+'Invullen groen'!BB92</f>
        <v/>
      </c>
      <c r="O88" s="124">
        <f>+'Invullen groen'!BC92</f>
        <v/>
      </c>
      <c r="P88" s="124">
        <f>+'Invullen groen'!BD92</f>
        <v/>
      </c>
    </row>
    <row r="89" ht="15" customHeight="1" s="402">
      <c r="A89" s="79">
        <f>+'Invullen groen'!A93</f>
        <v/>
      </c>
      <c r="B89" s="79">
        <f>+'Invullen groen'!C93</f>
        <v/>
      </c>
      <c r="C89" s="128">
        <f>+'Invullen groen'!G93</f>
        <v/>
      </c>
      <c r="D89" s="79">
        <f>+'Invullen groen'!M93</f>
        <v/>
      </c>
      <c r="E89" s="129">
        <f>+'Invullen groen'!H93</f>
        <v/>
      </c>
      <c r="F89" s="129">
        <f>+'Invullen groen'!I93</f>
        <v/>
      </c>
      <c r="G89" s="129">
        <f>+'Invullen groen'!J93</f>
        <v/>
      </c>
      <c r="H89" s="129">
        <f>+'Invullen groen'!K93</f>
        <v/>
      </c>
      <c r="I89" s="124">
        <f>+'Invullen groen'!AW93</f>
        <v/>
      </c>
      <c r="J89" s="124">
        <f>+'Invullen groen'!AX93</f>
        <v/>
      </c>
      <c r="K89" s="124">
        <f>+'Invullen groen'!AY93</f>
        <v/>
      </c>
      <c r="L89" s="124">
        <f>+'Invullen groen'!AZ93</f>
        <v/>
      </c>
      <c r="M89" s="124">
        <f>+'Invullen groen'!BA93</f>
        <v/>
      </c>
      <c r="N89" s="124">
        <f>+'Invullen groen'!BB93</f>
        <v/>
      </c>
      <c r="O89" s="124">
        <f>+'Invullen groen'!BC93</f>
        <v/>
      </c>
      <c r="P89" s="124">
        <f>+'Invullen groen'!BD93</f>
        <v/>
      </c>
    </row>
    <row r="90" ht="15" customHeight="1" s="402">
      <c r="A90" s="80">
        <f>+'Invullen groen'!A94</f>
        <v/>
      </c>
      <c r="B90" s="80">
        <f>+'Invullen groen'!C94</f>
        <v/>
      </c>
      <c r="C90" s="130">
        <f>+'Invullen groen'!G94</f>
        <v/>
      </c>
      <c r="D90" s="80">
        <f>+'Invullen groen'!M94</f>
        <v/>
      </c>
      <c r="E90" s="131">
        <f>+'Invullen groen'!H94</f>
        <v/>
      </c>
      <c r="F90" s="131">
        <f>+'Invullen groen'!I94</f>
        <v/>
      </c>
      <c r="G90" s="131">
        <f>+'Invullen groen'!J94</f>
        <v/>
      </c>
      <c r="H90" s="131">
        <f>+'Invullen groen'!K94</f>
        <v/>
      </c>
      <c r="I90" s="124">
        <f>+'Invullen groen'!AW94</f>
        <v/>
      </c>
      <c r="J90" s="124">
        <f>+'Invullen groen'!AX94</f>
        <v/>
      </c>
      <c r="K90" s="124">
        <f>+'Invullen groen'!AY94</f>
        <v/>
      </c>
      <c r="L90" s="124">
        <f>+'Invullen groen'!AZ94</f>
        <v/>
      </c>
      <c r="M90" s="124">
        <f>+'Invullen groen'!BA94</f>
        <v/>
      </c>
      <c r="N90" s="124">
        <f>+'Invullen groen'!BB94</f>
        <v/>
      </c>
      <c r="O90" s="124">
        <f>+'Invullen groen'!BC94</f>
        <v/>
      </c>
      <c r="P90" s="124">
        <f>+'Invullen groen'!BD94</f>
        <v/>
      </c>
    </row>
    <row r="91" ht="15" customHeight="1" s="402">
      <c r="A91" s="79">
        <f>+'Invullen groen'!A95</f>
        <v/>
      </c>
      <c r="B91" s="79">
        <f>+'Invullen groen'!C95</f>
        <v/>
      </c>
      <c r="C91" s="128">
        <f>+'Invullen groen'!G95</f>
        <v/>
      </c>
      <c r="D91" s="79">
        <f>+'Invullen groen'!M95</f>
        <v/>
      </c>
      <c r="E91" s="129">
        <f>+'Invullen groen'!H95</f>
        <v/>
      </c>
      <c r="F91" s="129">
        <f>+'Invullen groen'!I95</f>
        <v/>
      </c>
      <c r="G91" s="129">
        <f>+'Invullen groen'!J95</f>
        <v/>
      </c>
      <c r="H91" s="129">
        <f>+'Invullen groen'!K95</f>
        <v/>
      </c>
      <c r="I91" s="124">
        <f>+'Invullen groen'!AW95</f>
        <v/>
      </c>
      <c r="J91" s="124">
        <f>+'Invullen groen'!AX95</f>
        <v/>
      </c>
      <c r="K91" s="124">
        <f>+'Invullen groen'!AY95</f>
        <v/>
      </c>
      <c r="L91" s="124">
        <f>+'Invullen groen'!AZ95</f>
        <v/>
      </c>
      <c r="M91" s="124">
        <f>+'Invullen groen'!BA95</f>
        <v/>
      </c>
      <c r="N91" s="124">
        <f>+'Invullen groen'!BB95</f>
        <v/>
      </c>
      <c r="O91" s="124">
        <f>+'Invullen groen'!BC95</f>
        <v/>
      </c>
      <c r="P91" s="124">
        <f>+'Invullen groen'!BD95</f>
        <v/>
      </c>
    </row>
    <row r="92" ht="15" customHeight="1" s="402">
      <c r="A92" s="80">
        <f>+'Invullen groen'!A96</f>
        <v/>
      </c>
      <c r="B92" s="80">
        <f>+'Invullen groen'!C96</f>
        <v/>
      </c>
      <c r="C92" s="130">
        <f>+'Invullen groen'!G96</f>
        <v/>
      </c>
      <c r="D92" s="80">
        <f>+'Invullen groen'!M96</f>
        <v/>
      </c>
      <c r="E92" s="131">
        <f>+'Invullen groen'!H96</f>
        <v/>
      </c>
      <c r="F92" s="131">
        <f>+'Invullen groen'!I96</f>
        <v/>
      </c>
      <c r="G92" s="131">
        <f>+'Invullen groen'!J96</f>
        <v/>
      </c>
      <c r="H92" s="131">
        <f>+'Invullen groen'!K96</f>
        <v/>
      </c>
      <c r="I92" s="124">
        <f>+'Invullen groen'!AW96</f>
        <v/>
      </c>
      <c r="J92" s="124">
        <f>+'Invullen groen'!AX96</f>
        <v/>
      </c>
      <c r="K92" s="124">
        <f>+'Invullen groen'!AY96</f>
        <v/>
      </c>
      <c r="L92" s="124">
        <f>+'Invullen groen'!AZ96</f>
        <v/>
      </c>
      <c r="M92" s="124">
        <f>+'Invullen groen'!BA96</f>
        <v/>
      </c>
      <c r="N92" s="124">
        <f>+'Invullen groen'!BB96</f>
        <v/>
      </c>
      <c r="O92" s="124">
        <f>+'Invullen groen'!BC96</f>
        <v/>
      </c>
      <c r="P92" s="124">
        <f>+'Invullen groen'!BD96</f>
        <v/>
      </c>
    </row>
    <row r="93" ht="15" customHeight="1" s="402">
      <c r="A93" s="79">
        <f>+'Invullen groen'!A97</f>
        <v/>
      </c>
      <c r="B93" s="79">
        <f>+'Invullen groen'!C97</f>
        <v/>
      </c>
      <c r="C93" s="128">
        <f>+'Invullen groen'!G97</f>
        <v/>
      </c>
      <c r="D93" s="79">
        <f>+'Invullen groen'!M97</f>
        <v/>
      </c>
      <c r="E93" s="129">
        <f>+'Invullen groen'!H97</f>
        <v/>
      </c>
      <c r="F93" s="129">
        <f>+'Invullen groen'!I97</f>
        <v/>
      </c>
      <c r="G93" s="129">
        <f>+'Invullen groen'!J97</f>
        <v/>
      </c>
      <c r="H93" s="129">
        <f>+'Invullen groen'!K97</f>
        <v/>
      </c>
      <c r="I93" s="124">
        <f>+'Invullen groen'!AW97</f>
        <v/>
      </c>
      <c r="J93" s="124">
        <f>+'Invullen groen'!AX97</f>
        <v/>
      </c>
      <c r="K93" s="124">
        <f>+'Invullen groen'!AY97</f>
        <v/>
      </c>
      <c r="L93" s="124">
        <f>+'Invullen groen'!AZ97</f>
        <v/>
      </c>
      <c r="M93" s="124">
        <f>+'Invullen groen'!BA97</f>
        <v/>
      </c>
      <c r="N93" s="124">
        <f>+'Invullen groen'!BB97</f>
        <v/>
      </c>
      <c r="O93" s="124">
        <f>+'Invullen groen'!BC97</f>
        <v/>
      </c>
      <c r="P93" s="124">
        <f>+'Invullen groen'!BD97</f>
        <v/>
      </c>
    </row>
    <row r="94" ht="15" customHeight="1" s="402">
      <c r="A94" s="80">
        <f>+'Invullen groen'!A98</f>
        <v/>
      </c>
      <c r="B94" s="80">
        <f>+'Invullen groen'!C98</f>
        <v/>
      </c>
      <c r="C94" s="130">
        <f>+'Invullen groen'!G98</f>
        <v/>
      </c>
      <c r="D94" s="80">
        <f>+'Invullen groen'!M98</f>
        <v/>
      </c>
      <c r="E94" s="131">
        <f>+'Invullen groen'!H98</f>
        <v/>
      </c>
      <c r="F94" s="131">
        <f>+'Invullen groen'!I98</f>
        <v/>
      </c>
      <c r="G94" s="131">
        <f>+'Invullen groen'!J98</f>
        <v/>
      </c>
      <c r="H94" s="131">
        <f>+'Invullen groen'!K98</f>
        <v/>
      </c>
      <c r="I94" s="124">
        <f>+'Invullen groen'!AW98</f>
        <v/>
      </c>
      <c r="J94" s="124">
        <f>+'Invullen groen'!AX98</f>
        <v/>
      </c>
      <c r="K94" s="124">
        <f>+'Invullen groen'!AY98</f>
        <v/>
      </c>
      <c r="L94" s="124">
        <f>+'Invullen groen'!AZ98</f>
        <v/>
      </c>
      <c r="M94" s="124">
        <f>+'Invullen groen'!BA98</f>
        <v/>
      </c>
      <c r="N94" s="124">
        <f>+'Invullen groen'!BB98</f>
        <v/>
      </c>
      <c r="O94" s="124">
        <f>+'Invullen groen'!BC98</f>
        <v/>
      </c>
      <c r="P94" s="124">
        <f>+'Invullen groen'!BD98</f>
        <v/>
      </c>
    </row>
    <row r="95" ht="15" customHeight="1" s="402">
      <c r="A95" s="79">
        <f>+'Invullen groen'!A99</f>
        <v/>
      </c>
      <c r="B95" s="79">
        <f>+'Invullen groen'!C99</f>
        <v/>
      </c>
      <c r="C95" s="128">
        <f>+'Invullen groen'!G99</f>
        <v/>
      </c>
      <c r="D95" s="79">
        <f>+'Invullen groen'!M99</f>
        <v/>
      </c>
      <c r="E95" s="129">
        <f>+'Invullen groen'!H99</f>
        <v/>
      </c>
      <c r="F95" s="129">
        <f>+'Invullen groen'!I99</f>
        <v/>
      </c>
      <c r="G95" s="129">
        <f>+'Invullen groen'!J99</f>
        <v/>
      </c>
      <c r="H95" s="129">
        <f>+'Invullen groen'!K99</f>
        <v/>
      </c>
      <c r="I95" s="124">
        <f>+'Invullen groen'!AW99</f>
        <v/>
      </c>
      <c r="J95" s="124">
        <f>+'Invullen groen'!AX99</f>
        <v/>
      </c>
      <c r="K95" s="124">
        <f>+'Invullen groen'!AY99</f>
        <v/>
      </c>
      <c r="L95" s="124">
        <f>+'Invullen groen'!AZ99</f>
        <v/>
      </c>
      <c r="M95" s="124">
        <f>+'Invullen groen'!BA99</f>
        <v/>
      </c>
      <c r="N95" s="124">
        <f>+'Invullen groen'!BB99</f>
        <v/>
      </c>
      <c r="O95" s="124">
        <f>+'Invullen groen'!BC99</f>
        <v/>
      </c>
      <c r="P95" s="124">
        <f>+'Invullen groen'!BD99</f>
        <v/>
      </c>
    </row>
    <row r="96" ht="15" customHeight="1" s="402">
      <c r="A96" s="80">
        <f>+'Invullen groen'!A100</f>
        <v/>
      </c>
      <c r="B96" s="80">
        <f>+'Invullen groen'!C100</f>
        <v/>
      </c>
      <c r="C96" s="130">
        <f>+'Invullen groen'!G100</f>
        <v/>
      </c>
      <c r="D96" s="80">
        <f>+'Invullen groen'!M100</f>
        <v/>
      </c>
      <c r="E96" s="131">
        <f>+'Invullen groen'!H100</f>
        <v/>
      </c>
      <c r="F96" s="131">
        <f>+'Invullen groen'!I100</f>
        <v/>
      </c>
      <c r="G96" s="131">
        <f>+'Invullen groen'!J100</f>
        <v/>
      </c>
      <c r="H96" s="131">
        <f>+'Invullen groen'!K100</f>
        <v/>
      </c>
      <c r="I96" s="124">
        <f>+'Invullen groen'!AW100</f>
        <v/>
      </c>
      <c r="J96" s="124">
        <f>+'Invullen groen'!AX100</f>
        <v/>
      </c>
      <c r="K96" s="124">
        <f>+'Invullen groen'!AY100</f>
        <v/>
      </c>
      <c r="L96" s="124">
        <f>+'Invullen groen'!AZ100</f>
        <v/>
      </c>
      <c r="M96" s="124">
        <f>+'Invullen groen'!BA100</f>
        <v/>
      </c>
      <c r="N96" s="124">
        <f>+'Invullen groen'!BB100</f>
        <v/>
      </c>
      <c r="O96" s="124">
        <f>+'Invullen groen'!BC100</f>
        <v/>
      </c>
      <c r="P96" s="124">
        <f>+'Invullen groen'!BD100</f>
        <v/>
      </c>
      <c r="Q96" s="124" t="n"/>
      <c r="R96" s="124" t="n"/>
      <c r="S96" s="124" t="n"/>
      <c r="T96" s="124" t="n"/>
      <c r="U96" s="124" t="n"/>
      <c r="V96" s="124" t="n"/>
      <c r="W96" s="124" t="n"/>
      <c r="X96" s="124" t="n"/>
      <c r="Y96" s="124" t="n"/>
      <c r="Z96" s="124" t="n"/>
      <c r="AA96" s="124" t="n"/>
      <c r="AB96" s="124" t="n"/>
      <c r="AC96" s="124" t="n"/>
      <c r="AD96" s="124" t="n"/>
      <c r="AE96" s="124" t="n"/>
      <c r="AF96" s="124" t="n"/>
      <c r="AG96" s="124" t="n"/>
      <c r="AH96" s="124" t="n"/>
      <c r="AI96" s="124" t="n"/>
      <c r="AJ96" s="124" t="n"/>
      <c r="AK96" s="124" t="n"/>
      <c r="AL96" s="124" t="n"/>
      <c r="AM96" s="124" t="n"/>
      <c r="AN96" s="124" t="n"/>
      <c r="AO96" s="124" t="n"/>
      <c r="AP96" s="124" t="n"/>
      <c r="AQ96" s="124" t="n"/>
      <c r="AR96" s="124" t="n"/>
      <c r="AS96" s="124" t="n"/>
      <c r="AT96" s="124" t="n"/>
      <c r="AU96" s="124" t="n"/>
      <c r="AV96" s="124" t="n"/>
      <c r="AW96" s="124" t="n"/>
      <c r="AX96" s="124" t="n"/>
      <c r="AY96" s="124" t="n"/>
      <c r="AZ96" s="124" t="n"/>
      <c r="BA96" s="124" t="n"/>
      <c r="BB96" s="124" t="n"/>
      <c r="BC96" s="124" t="n"/>
      <c r="BD96" s="124" t="n"/>
      <c r="BE96" s="124" t="n"/>
      <c r="BF96" s="124" t="n"/>
      <c r="BG96" s="124" t="n"/>
      <c r="BH96" s="124" t="n"/>
      <c r="BI96" s="124" t="n"/>
      <c r="BJ96" s="124" t="n"/>
      <c r="BK96" s="124" t="n"/>
      <c r="BL96" s="124" t="n"/>
      <c r="BM96" s="124" t="n"/>
      <c r="BN96" s="124" t="n"/>
      <c r="BO96" s="124" t="n"/>
    </row>
    <row r="97" ht="15" customHeight="1" s="402">
      <c r="A97" s="79">
        <f>+'Invullen groen'!A101</f>
        <v/>
      </c>
      <c r="B97" s="79">
        <f>+'Invullen groen'!C101</f>
        <v/>
      </c>
      <c r="C97" s="128">
        <f>+'Invullen groen'!G101</f>
        <v/>
      </c>
      <c r="D97" s="79">
        <f>+'Invullen groen'!M101</f>
        <v/>
      </c>
      <c r="E97" s="129">
        <f>+'Invullen groen'!H101</f>
        <v/>
      </c>
      <c r="F97" s="129">
        <f>+'Invullen groen'!I101</f>
        <v/>
      </c>
      <c r="G97" s="129">
        <f>+'Invullen groen'!J101</f>
        <v/>
      </c>
      <c r="H97" s="129">
        <f>+'Invullen groen'!K101</f>
        <v/>
      </c>
      <c r="I97" s="124">
        <f>+'Invullen groen'!AW101</f>
        <v/>
      </c>
      <c r="J97" s="124">
        <f>+'Invullen groen'!AX101</f>
        <v/>
      </c>
      <c r="K97" s="124">
        <f>+'Invullen groen'!AY101</f>
        <v/>
      </c>
      <c r="L97" s="124">
        <f>+'Invullen groen'!AZ101</f>
        <v/>
      </c>
      <c r="M97" s="124">
        <f>+'Invullen groen'!BA101</f>
        <v/>
      </c>
      <c r="N97" s="124">
        <f>+'Invullen groen'!BB101</f>
        <v/>
      </c>
      <c r="O97" s="124">
        <f>+'Invullen groen'!BC101</f>
        <v/>
      </c>
      <c r="P97" s="124">
        <f>+'Invullen groen'!BD101</f>
        <v/>
      </c>
      <c r="Q97" s="124" t="n"/>
      <c r="R97" s="124" t="n"/>
      <c r="S97" s="124" t="n"/>
      <c r="T97" s="124" t="n"/>
      <c r="U97" s="124" t="n"/>
      <c r="V97" s="124" t="n"/>
      <c r="W97" s="124" t="n"/>
      <c r="X97" s="124" t="n"/>
      <c r="Y97" s="124" t="n"/>
      <c r="Z97" s="124" t="n"/>
      <c r="AA97" s="124" t="n"/>
      <c r="AB97" s="124" t="n"/>
      <c r="AC97" s="124" t="n"/>
      <c r="AD97" s="124" t="n"/>
      <c r="AE97" s="124" t="n"/>
      <c r="AF97" s="124" t="n"/>
      <c r="AG97" s="124" t="n"/>
      <c r="AH97" s="124" t="n"/>
      <c r="AI97" s="124" t="n"/>
      <c r="AJ97" s="124" t="n"/>
      <c r="AK97" s="124" t="n"/>
      <c r="AL97" s="124" t="n"/>
      <c r="AM97" s="124" t="n"/>
      <c r="AN97" s="124" t="n"/>
      <c r="AO97" s="124" t="n"/>
      <c r="AP97" s="124" t="n"/>
      <c r="AQ97" s="124" t="n"/>
      <c r="AR97" s="124" t="n"/>
      <c r="AS97" s="124" t="n"/>
      <c r="AT97" s="124" t="n"/>
      <c r="AU97" s="124" t="n"/>
      <c r="AV97" s="124" t="n"/>
      <c r="AW97" s="124" t="n"/>
      <c r="AX97" s="124" t="n"/>
      <c r="AY97" s="124" t="n"/>
      <c r="AZ97" s="124" t="n"/>
      <c r="BA97" s="124" t="n"/>
      <c r="BB97" s="124" t="n"/>
      <c r="BC97" s="124" t="n"/>
      <c r="BD97" s="124" t="n"/>
      <c r="BE97" s="124" t="n"/>
      <c r="BF97" s="124" t="n"/>
      <c r="BG97" s="124" t="n"/>
      <c r="BH97" s="124" t="n"/>
      <c r="BI97" s="124" t="n"/>
      <c r="BJ97" s="124" t="n"/>
      <c r="BK97" s="124" t="n"/>
      <c r="BL97" s="124" t="n"/>
      <c r="BM97" s="124" t="n"/>
      <c r="BN97" s="124" t="n"/>
      <c r="BO97" s="124" t="n"/>
    </row>
    <row r="98" ht="15" customHeight="1" s="402">
      <c r="A98" s="80">
        <f>+'Invullen groen'!A102</f>
        <v/>
      </c>
      <c r="B98" s="80">
        <f>+'Invullen groen'!C102</f>
        <v/>
      </c>
      <c r="C98" s="130">
        <f>+'Invullen groen'!G102</f>
        <v/>
      </c>
      <c r="D98" s="80">
        <f>+'Invullen groen'!M102</f>
        <v/>
      </c>
      <c r="E98" s="131">
        <f>+'Invullen groen'!H102</f>
        <v/>
      </c>
      <c r="F98" s="131">
        <f>+'Invullen groen'!I102</f>
        <v/>
      </c>
      <c r="G98" s="131">
        <f>+'Invullen groen'!J102</f>
        <v/>
      </c>
      <c r="H98" s="131">
        <f>+'Invullen groen'!K102</f>
        <v/>
      </c>
      <c r="I98" s="124">
        <f>+'Invullen groen'!AW102</f>
        <v/>
      </c>
      <c r="J98" s="124">
        <f>+'Invullen groen'!AX102</f>
        <v/>
      </c>
      <c r="K98" s="124">
        <f>+'Invullen groen'!AY102</f>
        <v/>
      </c>
      <c r="L98" s="124">
        <f>+'Invullen groen'!AZ102</f>
        <v/>
      </c>
      <c r="M98" s="124">
        <f>+'Invullen groen'!BA102</f>
        <v/>
      </c>
      <c r="N98" s="124">
        <f>+'Invullen groen'!BB102</f>
        <v/>
      </c>
      <c r="O98" s="124">
        <f>+'Invullen groen'!BC102</f>
        <v/>
      </c>
      <c r="P98" s="124">
        <f>+'Invullen groen'!BD102</f>
        <v/>
      </c>
      <c r="Q98" s="124" t="n"/>
      <c r="R98" s="124" t="n"/>
      <c r="S98" s="124" t="n"/>
      <c r="T98" s="124" t="n"/>
      <c r="U98" s="124" t="n"/>
      <c r="V98" s="124" t="n"/>
      <c r="W98" s="124" t="n"/>
      <c r="X98" s="124" t="n"/>
      <c r="Y98" s="124" t="n"/>
      <c r="Z98" s="124" t="n"/>
      <c r="AA98" s="124" t="n"/>
      <c r="AB98" s="124" t="n"/>
      <c r="AC98" s="124" t="n"/>
      <c r="AD98" s="124" t="n"/>
      <c r="AE98" s="124" t="n"/>
      <c r="AF98" s="124" t="n"/>
      <c r="AG98" s="124" t="n"/>
      <c r="AH98" s="124" t="n"/>
      <c r="AI98" s="124" t="n"/>
      <c r="AJ98" s="124" t="n"/>
      <c r="AK98" s="124" t="n"/>
      <c r="AL98" s="124" t="n"/>
      <c r="AM98" s="124" t="n"/>
      <c r="AN98" s="124" t="n"/>
      <c r="AO98" s="124" t="n"/>
      <c r="AP98" s="124" t="n"/>
      <c r="AQ98" s="124" t="n"/>
      <c r="AR98" s="124" t="n"/>
      <c r="AS98" s="124" t="n"/>
      <c r="AT98" s="124" t="n"/>
      <c r="AU98" s="124" t="n"/>
      <c r="AV98" s="124" t="n"/>
      <c r="AW98" s="124" t="n"/>
      <c r="AX98" s="124" t="n"/>
      <c r="AY98" s="124" t="n"/>
      <c r="AZ98" s="124" t="n"/>
      <c r="BA98" s="124" t="n"/>
      <c r="BB98" s="124" t="n"/>
      <c r="BC98" s="124" t="n"/>
      <c r="BD98" s="124" t="n"/>
      <c r="BE98" s="124" t="n"/>
      <c r="BF98" s="124" t="n"/>
      <c r="BG98" s="124" t="n"/>
      <c r="BH98" s="124" t="n"/>
      <c r="BI98" s="124" t="n"/>
      <c r="BJ98" s="124" t="n"/>
      <c r="BK98" s="124" t="n"/>
      <c r="BL98" s="124" t="n"/>
      <c r="BM98" s="124" t="n"/>
      <c r="BN98" s="124" t="n"/>
      <c r="BO98" s="124" t="n"/>
    </row>
    <row r="99" ht="15" customHeight="1" s="402">
      <c r="A99" s="79">
        <f>+'Invullen groen'!A103</f>
        <v/>
      </c>
      <c r="B99" s="79">
        <f>+'Invullen groen'!C103</f>
        <v/>
      </c>
      <c r="C99" s="128">
        <f>+'Invullen groen'!G103</f>
        <v/>
      </c>
      <c r="D99" s="79">
        <f>+'Invullen groen'!M103</f>
        <v/>
      </c>
      <c r="E99" s="129">
        <f>+'Invullen groen'!H103</f>
        <v/>
      </c>
      <c r="F99" s="129">
        <f>+'Invullen groen'!I103</f>
        <v/>
      </c>
      <c r="G99" s="129">
        <f>+'Invullen groen'!J103</f>
        <v/>
      </c>
      <c r="H99" s="129">
        <f>+'Invullen groen'!K103</f>
        <v/>
      </c>
      <c r="I99" s="124">
        <f>+'Invullen groen'!AW103</f>
        <v/>
      </c>
      <c r="J99" s="124">
        <f>+'Invullen groen'!AX103</f>
        <v/>
      </c>
      <c r="K99" s="124">
        <f>+'Invullen groen'!AY103</f>
        <v/>
      </c>
      <c r="L99" s="124">
        <f>+'Invullen groen'!AZ103</f>
        <v/>
      </c>
      <c r="M99" s="124">
        <f>+'Invullen groen'!BA103</f>
        <v/>
      </c>
      <c r="N99" s="124">
        <f>+'Invullen groen'!BB103</f>
        <v/>
      </c>
      <c r="O99" s="124">
        <f>+'Invullen groen'!BC103</f>
        <v/>
      </c>
      <c r="P99" s="124">
        <f>+'Invullen groen'!BD103</f>
        <v/>
      </c>
      <c r="Q99" s="124" t="n"/>
      <c r="R99" s="124" t="n"/>
      <c r="S99" s="124" t="n"/>
      <c r="T99" s="124" t="n"/>
      <c r="U99" s="124" t="n"/>
      <c r="V99" s="124" t="n"/>
      <c r="W99" s="124" t="n"/>
      <c r="X99" s="124" t="n"/>
      <c r="Y99" s="124" t="n"/>
      <c r="Z99" s="124" t="n"/>
      <c r="AA99" s="124" t="n"/>
      <c r="AB99" s="124" t="n"/>
      <c r="AC99" s="124" t="n"/>
      <c r="AD99" s="124" t="n"/>
      <c r="AE99" s="124" t="n"/>
      <c r="AF99" s="124" t="n"/>
      <c r="AG99" s="124" t="n"/>
      <c r="AH99" s="124" t="n"/>
      <c r="AI99" s="124" t="n"/>
      <c r="AJ99" s="124" t="n"/>
      <c r="AK99" s="124" t="n"/>
      <c r="AL99" s="124" t="n"/>
      <c r="AM99" s="124" t="n"/>
      <c r="AN99" s="124" t="n"/>
      <c r="AO99" s="124" t="n"/>
      <c r="AP99" s="124" t="n"/>
      <c r="AQ99" s="124" t="n"/>
      <c r="AR99" s="124" t="n"/>
      <c r="AS99" s="124" t="n"/>
      <c r="AT99" s="124" t="n"/>
      <c r="AU99" s="124" t="n"/>
      <c r="AV99" s="124" t="n"/>
      <c r="AW99" s="124" t="n"/>
      <c r="AX99" s="124" t="n"/>
      <c r="AY99" s="124" t="n"/>
      <c r="AZ99" s="124" t="n"/>
      <c r="BA99" s="124" t="n"/>
      <c r="BB99" s="124" t="n"/>
      <c r="BC99" s="124" t="n"/>
      <c r="BD99" s="124" t="n"/>
      <c r="BE99" s="124" t="n"/>
      <c r="BF99" s="124" t="n"/>
      <c r="BG99" s="124" t="n"/>
      <c r="BH99" s="124" t="n"/>
      <c r="BI99" s="124" t="n"/>
      <c r="BJ99" s="124" t="n"/>
      <c r="BK99" s="124" t="n"/>
      <c r="BL99" s="124" t="n"/>
      <c r="BM99" s="124" t="n"/>
      <c r="BN99" s="124" t="n"/>
      <c r="BO99" s="124" t="n"/>
    </row>
    <row r="100" ht="15" customHeight="1" s="402">
      <c r="A100" s="80">
        <f>+'Invullen groen'!A104</f>
        <v/>
      </c>
      <c r="B100" s="80">
        <f>+'Invullen groen'!C104</f>
        <v/>
      </c>
      <c r="C100" s="130">
        <f>+'Invullen groen'!G104</f>
        <v/>
      </c>
      <c r="D100" s="80">
        <f>+'Invullen groen'!M104</f>
        <v/>
      </c>
      <c r="E100" s="131">
        <f>+'Invullen groen'!H104</f>
        <v/>
      </c>
      <c r="F100" s="131">
        <f>+'Invullen groen'!I104</f>
        <v/>
      </c>
      <c r="G100" s="131">
        <f>+'Invullen groen'!J104</f>
        <v/>
      </c>
      <c r="H100" s="131">
        <f>+'Invullen groen'!K104</f>
        <v/>
      </c>
      <c r="I100" s="124">
        <f>+'Invullen groen'!AW104</f>
        <v/>
      </c>
      <c r="J100" s="124">
        <f>+'Invullen groen'!AX104</f>
        <v/>
      </c>
      <c r="K100" s="124">
        <f>+'Invullen groen'!AY104</f>
        <v/>
      </c>
      <c r="L100" s="124">
        <f>+'Invullen groen'!AZ104</f>
        <v/>
      </c>
      <c r="M100" s="124">
        <f>+'Invullen groen'!BA104</f>
        <v/>
      </c>
      <c r="N100" s="124">
        <f>+'Invullen groen'!BB104</f>
        <v/>
      </c>
      <c r="O100" s="124">
        <f>+'Invullen groen'!BC104</f>
        <v/>
      </c>
      <c r="P100" s="124">
        <f>+'Invullen groen'!BD104</f>
        <v/>
      </c>
      <c r="Q100" s="124" t="n"/>
      <c r="R100" s="124" t="n"/>
      <c r="S100" s="124" t="n"/>
      <c r="T100" s="124" t="n"/>
      <c r="U100" s="124" t="n"/>
      <c r="V100" s="124" t="n"/>
      <c r="W100" s="124" t="n"/>
      <c r="X100" s="124" t="n"/>
      <c r="Y100" s="124" t="n"/>
      <c r="Z100" s="124" t="n"/>
      <c r="AA100" s="124" t="n"/>
      <c r="AB100" s="124" t="n"/>
      <c r="AC100" s="124" t="n"/>
      <c r="AD100" s="124" t="n"/>
      <c r="AE100" s="124" t="n"/>
      <c r="AF100" s="124" t="n"/>
      <c r="AG100" s="124" t="n"/>
      <c r="AH100" s="124" t="n"/>
      <c r="AI100" s="124" t="n"/>
      <c r="AJ100" s="124" t="n"/>
      <c r="AK100" s="124" t="n"/>
      <c r="AL100" s="124" t="n"/>
      <c r="AM100" s="124" t="n"/>
      <c r="AN100" s="124" t="n"/>
      <c r="AO100" s="124" t="n"/>
      <c r="AP100" s="124" t="n"/>
      <c r="AQ100" s="124" t="n"/>
      <c r="AR100" s="124" t="n"/>
      <c r="AS100" s="124" t="n"/>
      <c r="AT100" s="124" t="n"/>
      <c r="AU100" s="124" t="n"/>
      <c r="AV100" s="124" t="n"/>
      <c r="AW100" s="124" t="n"/>
      <c r="AX100" s="124" t="n"/>
      <c r="AY100" s="124" t="n"/>
      <c r="AZ100" s="124" t="n"/>
      <c r="BA100" s="124" t="n"/>
      <c r="BB100" s="124" t="n"/>
      <c r="BC100" s="124" t="n"/>
      <c r="BD100" s="124" t="n"/>
      <c r="BE100" s="124" t="n"/>
      <c r="BF100" s="124" t="n"/>
      <c r="BG100" s="124" t="n"/>
      <c r="BH100" s="124" t="n"/>
      <c r="BI100" s="124" t="n"/>
      <c r="BJ100" s="124" t="n"/>
      <c r="BK100" s="124" t="n"/>
      <c r="BL100" s="124" t="n"/>
      <c r="BM100" s="124" t="n"/>
      <c r="BN100" s="124" t="n"/>
      <c r="BO100" s="124" t="n"/>
    </row>
    <row r="101" ht="15" customHeight="1" s="402">
      <c r="A101" s="79">
        <f>+'Invullen groen'!A105</f>
        <v/>
      </c>
      <c r="B101" s="79">
        <f>+'Invullen groen'!C105</f>
        <v/>
      </c>
      <c r="C101" s="128">
        <f>+'Invullen groen'!G105</f>
        <v/>
      </c>
      <c r="D101" s="79">
        <f>+'Invullen groen'!M105</f>
        <v/>
      </c>
      <c r="E101" s="129">
        <f>+'Invullen groen'!H105</f>
        <v/>
      </c>
      <c r="F101" s="129">
        <f>+'Invullen groen'!I105</f>
        <v/>
      </c>
      <c r="G101" s="129">
        <f>+'Invullen groen'!J105</f>
        <v/>
      </c>
      <c r="H101" s="129">
        <f>+'Invullen groen'!K105</f>
        <v/>
      </c>
      <c r="I101" s="124">
        <f>+'Invullen groen'!AW105</f>
        <v/>
      </c>
      <c r="J101" s="124">
        <f>+'Invullen groen'!AX105</f>
        <v/>
      </c>
      <c r="K101" s="124">
        <f>+'Invullen groen'!AY105</f>
        <v/>
      </c>
      <c r="L101" s="124">
        <f>+'Invullen groen'!AZ105</f>
        <v/>
      </c>
      <c r="M101" s="124">
        <f>+'Invullen groen'!BA105</f>
        <v/>
      </c>
      <c r="N101" s="124">
        <f>+'Invullen groen'!BB105</f>
        <v/>
      </c>
      <c r="O101" s="124">
        <f>+'Invullen groen'!BC105</f>
        <v/>
      </c>
      <c r="P101" s="124">
        <f>+'Invullen groen'!BD105</f>
        <v/>
      </c>
      <c r="Q101" s="124" t="n"/>
      <c r="R101" s="124" t="n"/>
      <c r="S101" s="124" t="n"/>
      <c r="T101" s="124" t="n"/>
      <c r="U101" s="124" t="n"/>
      <c r="V101" s="124" t="n"/>
      <c r="W101" s="124" t="n"/>
      <c r="X101" s="124" t="n"/>
      <c r="Y101" s="124" t="n"/>
      <c r="Z101" s="124" t="n"/>
      <c r="AA101" s="124" t="n"/>
      <c r="AB101" s="124" t="n"/>
      <c r="AC101" s="124" t="n"/>
      <c r="AD101" s="124" t="n"/>
      <c r="AE101" s="124" t="n"/>
      <c r="AF101" s="124" t="n"/>
      <c r="AG101" s="124" t="n"/>
      <c r="AH101" s="124" t="n"/>
      <c r="AI101" s="124" t="n"/>
      <c r="AJ101" s="124" t="n"/>
      <c r="AK101" s="124" t="n"/>
      <c r="AL101" s="124" t="n"/>
      <c r="AM101" s="124" t="n"/>
      <c r="AN101" s="124" t="n"/>
      <c r="AO101" s="124" t="n"/>
      <c r="AP101" s="124" t="n"/>
      <c r="AQ101" s="124" t="n"/>
      <c r="AR101" s="124" t="n"/>
      <c r="AS101" s="124" t="n"/>
      <c r="AT101" s="124" t="n"/>
      <c r="AU101" s="124" t="n"/>
      <c r="AV101" s="124" t="n"/>
      <c r="AW101" s="124" t="n"/>
      <c r="AX101" s="124" t="n"/>
      <c r="AY101" s="124" t="n"/>
      <c r="AZ101" s="124" t="n"/>
      <c r="BA101" s="124" t="n"/>
      <c r="BB101" s="124" t="n"/>
      <c r="BC101" s="124" t="n"/>
      <c r="BD101" s="124" t="n"/>
      <c r="BE101" s="124" t="n"/>
      <c r="BF101" s="124" t="n"/>
      <c r="BG101" s="124" t="n"/>
      <c r="BH101" s="124" t="n"/>
      <c r="BI101" s="124" t="n"/>
      <c r="BJ101" s="124" t="n"/>
      <c r="BK101" s="124" t="n"/>
      <c r="BL101" s="124" t="n"/>
      <c r="BM101" s="124" t="n"/>
      <c r="BN101" s="124" t="n"/>
      <c r="BO101" s="124" t="n"/>
    </row>
    <row r="102" ht="15" customHeight="1" s="402">
      <c r="A102" s="80">
        <f>+'Invullen groen'!A106</f>
        <v/>
      </c>
      <c r="B102" s="80">
        <f>+'Invullen groen'!C106</f>
        <v/>
      </c>
      <c r="C102" s="130">
        <f>+'Invullen groen'!G106</f>
        <v/>
      </c>
      <c r="D102" s="80">
        <f>+'Invullen groen'!M106</f>
        <v/>
      </c>
      <c r="E102" s="131">
        <f>+'Invullen groen'!H106</f>
        <v/>
      </c>
      <c r="F102" s="131">
        <f>+'Invullen groen'!I106</f>
        <v/>
      </c>
      <c r="G102" s="131">
        <f>+'Invullen groen'!J106</f>
        <v/>
      </c>
      <c r="H102" s="131">
        <f>+'Invullen groen'!K106</f>
        <v/>
      </c>
      <c r="I102" s="124">
        <f>+'Invullen groen'!AW106</f>
        <v/>
      </c>
      <c r="J102" s="124">
        <f>+'Invullen groen'!AX106</f>
        <v/>
      </c>
      <c r="K102" s="124">
        <f>+'Invullen groen'!AY106</f>
        <v/>
      </c>
      <c r="L102" s="124">
        <f>+'Invullen groen'!AZ106</f>
        <v/>
      </c>
      <c r="M102" s="124">
        <f>+'Invullen groen'!BA106</f>
        <v/>
      </c>
      <c r="N102" s="124">
        <f>+'Invullen groen'!BB106</f>
        <v/>
      </c>
      <c r="O102" s="124">
        <f>+'Invullen groen'!BC106</f>
        <v/>
      </c>
      <c r="P102" s="124">
        <f>+'Invullen groen'!BD106</f>
        <v/>
      </c>
      <c r="Q102" s="124" t="n"/>
      <c r="R102" s="124" t="n"/>
      <c r="S102" s="124" t="n"/>
      <c r="T102" s="124" t="n"/>
      <c r="U102" s="124" t="n"/>
      <c r="V102" s="124" t="n"/>
      <c r="W102" s="124" t="n"/>
      <c r="X102" s="124" t="n"/>
      <c r="Y102" s="124" t="n"/>
      <c r="Z102" s="124" t="n"/>
      <c r="AA102" s="124" t="n"/>
      <c r="AB102" s="124" t="n"/>
      <c r="AC102" s="124" t="n"/>
      <c r="AD102" s="124" t="n"/>
      <c r="AE102" s="124" t="n"/>
      <c r="AF102" s="124" t="n"/>
      <c r="AG102" s="124" t="n"/>
      <c r="AH102" s="124" t="n"/>
      <c r="AI102" s="124" t="n"/>
      <c r="AJ102" s="124" t="n"/>
      <c r="AK102" s="124" t="n"/>
      <c r="AL102" s="124" t="n"/>
      <c r="AM102" s="124" t="n"/>
      <c r="AN102" s="124" t="n"/>
      <c r="AO102" s="124" t="n"/>
      <c r="AP102" s="124" t="n"/>
      <c r="AQ102" s="124" t="n"/>
      <c r="AR102" s="124" t="n"/>
      <c r="AS102" s="124" t="n"/>
      <c r="AT102" s="124" t="n"/>
      <c r="AU102" s="124" t="n"/>
      <c r="AV102" s="124" t="n"/>
      <c r="AW102" s="124" t="n"/>
      <c r="AX102" s="124" t="n"/>
      <c r="AY102" s="124" t="n"/>
      <c r="AZ102" s="124" t="n"/>
      <c r="BA102" s="124" t="n"/>
      <c r="BB102" s="124" t="n"/>
      <c r="BC102" s="124" t="n"/>
      <c r="BD102" s="124" t="n"/>
      <c r="BE102" s="124" t="n"/>
      <c r="BF102" s="124" t="n"/>
      <c r="BG102" s="124" t="n"/>
      <c r="BH102" s="124" t="n"/>
      <c r="BI102" s="124" t="n"/>
      <c r="BJ102" s="124" t="n"/>
      <c r="BK102" s="124" t="n"/>
      <c r="BL102" s="124" t="n"/>
      <c r="BM102" s="124" t="n"/>
      <c r="BN102" s="124" t="n"/>
      <c r="BO102" s="124" t="n"/>
    </row>
    <row r="103" ht="15" customHeight="1" s="402">
      <c r="A103" s="79">
        <f>+'Invullen groen'!A107</f>
        <v/>
      </c>
      <c r="B103" s="79">
        <f>+'Invullen groen'!C107</f>
        <v/>
      </c>
      <c r="C103" s="128">
        <f>+'Invullen groen'!G107</f>
        <v/>
      </c>
      <c r="D103" s="79">
        <f>+'Invullen groen'!M107</f>
        <v/>
      </c>
      <c r="E103" s="129">
        <f>+'Invullen groen'!H107</f>
        <v/>
      </c>
      <c r="F103" s="129">
        <f>+'Invullen groen'!I107</f>
        <v/>
      </c>
      <c r="G103" s="129">
        <f>+'Invullen groen'!J107</f>
        <v/>
      </c>
      <c r="H103" s="129">
        <f>+'Invullen groen'!K107</f>
        <v/>
      </c>
      <c r="I103" s="124">
        <f>+'Invullen groen'!AW107</f>
        <v/>
      </c>
      <c r="J103" s="124">
        <f>+'Invullen groen'!AX107</f>
        <v/>
      </c>
      <c r="K103" s="124">
        <f>+'Invullen groen'!AY107</f>
        <v/>
      </c>
      <c r="L103" s="124">
        <f>+'Invullen groen'!AZ107</f>
        <v/>
      </c>
      <c r="M103" s="124">
        <f>+'Invullen groen'!BA107</f>
        <v/>
      </c>
      <c r="N103" s="124">
        <f>+'Invullen groen'!BB107</f>
        <v/>
      </c>
      <c r="O103" s="124">
        <f>+'Invullen groen'!BC107</f>
        <v/>
      </c>
      <c r="P103" s="124">
        <f>+'Invullen groen'!BD107</f>
        <v/>
      </c>
      <c r="Q103" s="124" t="n"/>
      <c r="R103" s="124" t="n"/>
      <c r="S103" s="124" t="n"/>
      <c r="T103" s="124" t="n"/>
      <c r="U103" s="124" t="n"/>
      <c r="V103" s="124" t="n"/>
      <c r="W103" s="124" t="n"/>
      <c r="X103" s="124" t="n"/>
      <c r="Y103" s="124" t="n"/>
      <c r="Z103" s="124" t="n"/>
      <c r="AA103" s="124" t="n"/>
      <c r="AB103" s="124" t="n"/>
      <c r="AC103" s="124" t="n"/>
      <c r="AD103" s="124" t="n"/>
      <c r="AE103" s="124" t="n"/>
      <c r="AF103" s="124" t="n"/>
      <c r="AG103" s="124" t="n"/>
      <c r="AH103" s="124" t="n"/>
      <c r="AI103" s="124" t="n"/>
      <c r="AJ103" s="124" t="n"/>
      <c r="AK103" s="124" t="n"/>
      <c r="AL103" s="124" t="n"/>
      <c r="AM103" s="124" t="n"/>
      <c r="AN103" s="124" t="n"/>
      <c r="AO103" s="124" t="n"/>
      <c r="AP103" s="124" t="n"/>
      <c r="AQ103" s="124" t="n"/>
      <c r="AR103" s="124" t="n"/>
      <c r="AS103" s="124" t="n"/>
      <c r="AT103" s="124" t="n"/>
      <c r="AU103" s="124" t="n"/>
      <c r="AV103" s="124" t="n"/>
      <c r="AW103" s="124" t="n"/>
      <c r="AX103" s="124" t="n"/>
      <c r="AY103" s="124" t="n"/>
      <c r="AZ103" s="124" t="n"/>
      <c r="BA103" s="124" t="n"/>
      <c r="BB103" s="124" t="n"/>
      <c r="BC103" s="124" t="n"/>
      <c r="BD103" s="124" t="n"/>
      <c r="BE103" s="124" t="n"/>
      <c r="BF103" s="124" t="n"/>
      <c r="BG103" s="124" t="n"/>
      <c r="BH103" s="124" t="n"/>
      <c r="BI103" s="124" t="n"/>
      <c r="BJ103" s="124" t="n"/>
      <c r="BK103" s="124" t="n"/>
      <c r="BL103" s="124" t="n"/>
      <c r="BM103" s="124" t="n"/>
      <c r="BN103" s="124" t="n"/>
      <c r="BO103" s="124" t="n"/>
    </row>
    <row r="104" ht="15" customHeight="1" s="402">
      <c r="A104" s="80">
        <f>+'Invullen groen'!A108</f>
        <v/>
      </c>
      <c r="B104" s="80">
        <f>+'Invullen groen'!C108</f>
        <v/>
      </c>
      <c r="C104" s="130">
        <f>+'Invullen groen'!G108</f>
        <v/>
      </c>
      <c r="D104" s="80">
        <f>+'Invullen groen'!M108</f>
        <v/>
      </c>
      <c r="E104" s="131">
        <f>+'Invullen groen'!H108</f>
        <v/>
      </c>
      <c r="F104" s="131">
        <f>+'Invullen groen'!I108</f>
        <v/>
      </c>
      <c r="G104" s="131">
        <f>+'Invullen groen'!J108</f>
        <v/>
      </c>
      <c r="H104" s="131">
        <f>+'Invullen groen'!K108</f>
        <v/>
      </c>
      <c r="I104" s="124">
        <f>+'Invullen groen'!AW108</f>
        <v/>
      </c>
      <c r="J104" s="124">
        <f>+'Invullen groen'!AX108</f>
        <v/>
      </c>
      <c r="K104" s="124">
        <f>+'Invullen groen'!AY108</f>
        <v/>
      </c>
      <c r="L104" s="124">
        <f>+'Invullen groen'!AZ108</f>
        <v/>
      </c>
      <c r="M104" s="124">
        <f>+'Invullen groen'!BA108</f>
        <v/>
      </c>
      <c r="N104" s="124">
        <f>+'Invullen groen'!BB108</f>
        <v/>
      </c>
      <c r="O104" s="124">
        <f>+'Invullen groen'!BC108</f>
        <v/>
      </c>
      <c r="P104" s="124">
        <f>+'Invullen groen'!BD108</f>
        <v/>
      </c>
      <c r="Q104" s="124" t="n"/>
      <c r="R104" s="124" t="n"/>
      <c r="S104" s="124" t="n"/>
      <c r="T104" s="124" t="n"/>
      <c r="U104" s="124" t="n"/>
      <c r="V104" s="124" t="n"/>
      <c r="W104" s="124" t="n"/>
      <c r="X104" s="124" t="n"/>
      <c r="Y104" s="124" t="n"/>
      <c r="Z104" s="124" t="n"/>
      <c r="AA104" s="124" t="n"/>
      <c r="AB104" s="124" t="n"/>
      <c r="AC104" s="124" t="n"/>
      <c r="AD104" s="124" t="n"/>
      <c r="AE104" s="124" t="n"/>
      <c r="AF104" s="124" t="n"/>
      <c r="AG104" s="124" t="n"/>
      <c r="AH104" s="124" t="n"/>
      <c r="AI104" s="124" t="n"/>
      <c r="AJ104" s="124" t="n"/>
      <c r="AK104" s="124" t="n"/>
      <c r="AL104" s="124" t="n"/>
      <c r="AM104" s="124" t="n"/>
      <c r="AN104" s="124" t="n"/>
      <c r="AO104" s="124" t="n"/>
      <c r="AP104" s="124" t="n"/>
      <c r="AQ104" s="124" t="n"/>
      <c r="AR104" s="124" t="n"/>
      <c r="AS104" s="124" t="n"/>
      <c r="AT104" s="124" t="n"/>
      <c r="AU104" s="124" t="n"/>
      <c r="AV104" s="124" t="n"/>
      <c r="AW104" s="124" t="n"/>
      <c r="AX104" s="124" t="n"/>
      <c r="AY104" s="124" t="n"/>
      <c r="AZ104" s="124" t="n"/>
      <c r="BA104" s="124" t="n"/>
      <c r="BB104" s="124" t="n"/>
      <c r="BC104" s="124" t="n"/>
      <c r="BD104" s="124" t="n"/>
      <c r="BE104" s="124" t="n"/>
      <c r="BF104" s="124" t="n"/>
      <c r="BG104" s="124" t="n"/>
      <c r="BH104" s="124" t="n"/>
      <c r="BI104" s="124" t="n"/>
      <c r="BJ104" s="124" t="n"/>
      <c r="BK104" s="124" t="n"/>
      <c r="BL104" s="124" t="n"/>
      <c r="BM104" s="124" t="n"/>
      <c r="BN104" s="124" t="n"/>
      <c r="BO104" s="124" t="n"/>
    </row>
    <row r="105" ht="15" customHeight="1" s="402">
      <c r="A105" s="79">
        <f>+'Invullen groen'!A109</f>
        <v/>
      </c>
      <c r="B105" s="79">
        <f>+'Invullen groen'!C109</f>
        <v/>
      </c>
      <c r="C105" s="128">
        <f>+'Invullen groen'!G109</f>
        <v/>
      </c>
      <c r="D105" s="79">
        <f>+'Invullen groen'!M109</f>
        <v/>
      </c>
      <c r="E105" s="135">
        <f>+'Invullen groen'!H109</f>
        <v/>
      </c>
      <c r="F105" s="135">
        <f>+'Invullen groen'!I109</f>
        <v/>
      </c>
      <c r="G105" s="135">
        <f>+'Invullen groen'!J109</f>
        <v/>
      </c>
      <c r="H105" s="135">
        <f>+'Invullen groen'!K109</f>
        <v/>
      </c>
      <c r="I105" s="124">
        <f>+'Invullen groen'!AW109</f>
        <v/>
      </c>
      <c r="J105" s="124">
        <f>+'Invullen groen'!AX109</f>
        <v/>
      </c>
      <c r="K105" s="124">
        <f>+'Invullen groen'!AY109</f>
        <v/>
      </c>
      <c r="L105" s="124">
        <f>+'Invullen groen'!AZ109</f>
        <v/>
      </c>
      <c r="M105" s="124">
        <f>+'Invullen groen'!BA109</f>
        <v/>
      </c>
      <c r="N105" s="124">
        <f>+'Invullen groen'!BB109</f>
        <v/>
      </c>
      <c r="O105" s="124">
        <f>+'Invullen groen'!BC109</f>
        <v/>
      </c>
      <c r="P105" s="124">
        <f>+'Invullen groen'!BD109</f>
        <v/>
      </c>
      <c r="Q105" s="124" t="n"/>
      <c r="R105" s="124" t="n"/>
      <c r="S105" s="124" t="n"/>
      <c r="T105" s="124" t="n"/>
      <c r="U105" s="124" t="n"/>
      <c r="V105" s="124" t="n"/>
      <c r="W105" s="124" t="n"/>
      <c r="X105" s="124" t="n"/>
      <c r="Y105" s="124" t="n"/>
      <c r="Z105" s="124" t="n"/>
      <c r="AA105" s="124" t="n"/>
      <c r="AB105" s="124" t="n"/>
      <c r="AC105" s="124" t="n"/>
      <c r="AD105" s="124" t="n"/>
      <c r="AE105" s="124" t="n"/>
      <c r="AF105" s="124" t="n"/>
      <c r="AG105" s="124" t="n"/>
      <c r="AH105" s="124" t="n"/>
      <c r="AI105" s="124" t="n"/>
      <c r="AJ105" s="124" t="n"/>
      <c r="AK105" s="124" t="n"/>
      <c r="AL105" s="124" t="n"/>
      <c r="AM105" s="124" t="n"/>
      <c r="AN105" s="124" t="n"/>
      <c r="AO105" s="124" t="n"/>
      <c r="AP105" s="124" t="n"/>
      <c r="AQ105" s="124" t="n"/>
      <c r="AR105" s="124" t="n"/>
      <c r="AS105" s="124" t="n"/>
      <c r="AT105" s="124" t="n"/>
      <c r="AU105" s="124" t="n"/>
      <c r="AV105" s="124" t="n"/>
      <c r="AW105" s="124" t="n"/>
      <c r="AX105" s="124" t="n"/>
      <c r="AY105" s="124" t="n"/>
      <c r="AZ105" s="124" t="n"/>
      <c r="BA105" s="124" t="n"/>
      <c r="BB105" s="124" t="n"/>
      <c r="BC105" s="124" t="n"/>
      <c r="BD105" s="124" t="n"/>
      <c r="BE105" s="124" t="n"/>
      <c r="BF105" s="124" t="n"/>
      <c r="BG105" s="124" t="n"/>
      <c r="BH105" s="124" t="n"/>
      <c r="BI105" s="124" t="n"/>
      <c r="BJ105" s="124" t="n"/>
      <c r="BK105" s="124" t="n"/>
      <c r="BL105" s="124" t="n"/>
      <c r="BM105" s="124" t="n"/>
      <c r="BN105" s="124" t="n"/>
      <c r="BO105" s="124" t="n"/>
    </row>
    <row r="106" ht="15" customHeight="1" s="402">
      <c r="A106" s="61">
        <f>+'Invullen groen'!A110</f>
        <v/>
      </c>
      <c r="B106" s="61" t="n"/>
      <c r="C106" s="62">
        <f>+'Invullen groen'!G110</f>
        <v/>
      </c>
      <c r="D106" s="61">
        <f>+'Invullen groen'!M110</f>
        <v/>
      </c>
      <c r="E106" s="63">
        <f>+'Invullen groen'!H110</f>
        <v/>
      </c>
      <c r="F106" s="63">
        <f>+'Invullen groen'!I110</f>
        <v/>
      </c>
      <c r="G106" s="63">
        <f>+'Invullen groen'!J110</f>
        <v/>
      </c>
      <c r="H106" s="63">
        <f>+'Invullen groen'!K110</f>
        <v/>
      </c>
      <c r="I106" s="136">
        <f>+'Invullen groen'!AW110</f>
        <v/>
      </c>
      <c r="J106" s="136">
        <f>+'Invullen groen'!AX110</f>
        <v/>
      </c>
      <c r="K106" s="136">
        <f>+'Invullen groen'!AY110</f>
        <v/>
      </c>
      <c r="L106" s="136">
        <f>+'Invullen groen'!AZ110</f>
        <v/>
      </c>
      <c r="M106" s="136">
        <f>+'Invullen groen'!BA110</f>
        <v/>
      </c>
      <c r="N106" s="136">
        <f>+'Invullen groen'!BB110</f>
        <v/>
      </c>
      <c r="O106" s="136">
        <f>+'Invullen groen'!BC110</f>
        <v/>
      </c>
      <c r="P106" s="136">
        <f>+'Invullen groen'!BD110</f>
        <v/>
      </c>
      <c r="Q106" s="133" t="n"/>
      <c r="R106" s="133" t="n"/>
      <c r="S106" s="133" t="n"/>
      <c r="T106" s="133" t="n"/>
      <c r="U106" s="133" t="n"/>
      <c r="V106" s="133" t="n"/>
      <c r="W106" s="133" t="n"/>
      <c r="X106" s="133" t="n"/>
      <c r="Y106" s="133" t="n"/>
      <c r="Z106" s="133" t="n"/>
      <c r="AA106" s="133" t="n"/>
      <c r="AB106" s="133" t="n"/>
      <c r="AC106" s="133" t="n"/>
      <c r="AD106" s="133" t="n"/>
      <c r="AE106" s="133" t="n"/>
      <c r="AF106" s="133" t="n"/>
      <c r="AG106" s="133" t="n"/>
      <c r="AH106" s="133" t="n"/>
      <c r="AI106" s="133" t="n"/>
      <c r="AJ106" s="133" t="n"/>
      <c r="AK106" s="133" t="n"/>
      <c r="AL106" s="133" t="n"/>
      <c r="AM106" s="133" t="n"/>
      <c r="AN106" s="133" t="n"/>
      <c r="AO106" s="133" t="n"/>
      <c r="AP106" s="133" t="n"/>
      <c r="AQ106" s="133" t="n"/>
      <c r="AR106" s="133" t="n"/>
      <c r="AS106" s="133" t="n"/>
      <c r="AT106" s="133" t="n"/>
      <c r="AU106" s="133" t="n"/>
      <c r="AV106" s="133" t="n"/>
      <c r="AW106" s="133" t="n"/>
      <c r="AX106" s="133" t="n"/>
      <c r="AY106" s="133" t="n"/>
      <c r="AZ106" s="133" t="n"/>
      <c r="BA106" s="133" t="n"/>
      <c r="BB106" s="133" t="n"/>
      <c r="BC106" s="133" t="n"/>
      <c r="BD106" s="133" t="n"/>
      <c r="BE106" s="133" t="n"/>
      <c r="BF106" s="133" t="n"/>
      <c r="BG106" s="133" t="n"/>
      <c r="BH106" s="133" t="n"/>
      <c r="BI106" s="133" t="n"/>
      <c r="BJ106" s="133" t="n"/>
      <c r="BK106" s="133" t="n"/>
      <c r="BL106" s="133" t="n"/>
      <c r="BM106" s="133" t="n"/>
      <c r="BN106" s="133" t="n"/>
      <c r="BO106" s="133" t="n"/>
    </row>
    <row r="107" ht="15" customFormat="1" customHeight="1" s="22">
      <c r="A107" s="137">
        <f>+'Invullen groen'!A112</f>
        <v/>
      </c>
      <c r="B107" s="77">
        <f>+'Invullen groen'!C114</f>
        <v/>
      </c>
      <c r="C107" s="77">
        <f>+'Invullen groen'!G114</f>
        <v/>
      </c>
      <c r="D107" s="77">
        <f>+'Invullen groen'!M114</f>
        <v/>
      </c>
      <c r="E107" s="138">
        <f>+'Invullen groen'!H112</f>
        <v/>
      </c>
      <c r="F107" s="101">
        <f>+'Invullen groen'!I114</f>
        <v/>
      </c>
      <c r="G107" s="101">
        <f>+'Invullen groen'!J114</f>
        <v/>
      </c>
      <c r="H107" s="101">
        <f>+'Invullen groen'!K114</f>
        <v/>
      </c>
      <c r="I107" s="139">
        <f>+'Invullen groen'!AW114</f>
        <v/>
      </c>
      <c r="J107" s="139">
        <f>+'Invullen groen'!AX114</f>
        <v/>
      </c>
      <c r="K107" s="139">
        <f>+'Invullen groen'!AY114</f>
        <v/>
      </c>
      <c r="L107" s="139">
        <f>+'Invullen groen'!AZ114</f>
        <v/>
      </c>
      <c r="M107" s="139">
        <f>+'Invullen groen'!BA114</f>
        <v/>
      </c>
      <c r="N107" s="139">
        <f>+'Invullen groen'!BB114</f>
        <v/>
      </c>
      <c r="O107" s="139">
        <f>+'Invullen groen'!BC114</f>
        <v/>
      </c>
      <c r="P107" s="139">
        <f>+'Invullen groen'!BD114</f>
        <v/>
      </c>
      <c r="Q107" s="86" t="n"/>
      <c r="R107" s="124" t="n"/>
      <c r="S107" s="124" t="n"/>
      <c r="T107" s="124" t="n"/>
      <c r="U107" s="124" t="n"/>
      <c r="V107" s="124" t="n"/>
      <c r="W107" s="124" t="n"/>
      <c r="X107" s="124" t="n"/>
      <c r="Y107" s="124" t="n"/>
      <c r="Z107" s="124" t="n"/>
      <c r="AA107" s="124" t="n"/>
      <c r="AB107" s="124" t="n"/>
      <c r="AC107" s="124" t="n"/>
      <c r="AD107" s="124" t="n"/>
      <c r="AE107" s="124" t="n"/>
      <c r="AF107" s="124" t="n"/>
      <c r="AG107" s="124" t="n"/>
      <c r="AH107" s="124" t="n"/>
      <c r="AI107" s="124" t="n"/>
      <c r="AJ107" s="124" t="n"/>
      <c r="AK107" s="124" t="n"/>
      <c r="AL107" s="124" t="n"/>
      <c r="AM107" s="124" t="n"/>
      <c r="AN107" s="124" t="n"/>
      <c r="AO107" s="124" t="n"/>
      <c r="AP107" s="124" t="n"/>
      <c r="AQ107" s="124" t="n"/>
      <c r="AR107" s="124" t="n"/>
      <c r="AS107" s="124" t="n"/>
      <c r="AT107" s="124" t="n"/>
      <c r="AU107" s="124" t="n"/>
      <c r="AV107" s="124" t="n"/>
      <c r="AW107" s="124" t="n"/>
      <c r="AX107" s="124" t="n"/>
      <c r="AY107" s="124" t="n"/>
      <c r="AZ107" s="124" t="n"/>
      <c r="BA107" s="124" t="n"/>
      <c r="BB107" s="124" t="n"/>
      <c r="BC107" s="124" t="n"/>
      <c r="BD107" s="124" t="n"/>
      <c r="BE107" s="124" t="n"/>
      <c r="BF107" s="124" t="n"/>
      <c r="BG107" s="124" t="n"/>
      <c r="BH107" s="124" t="n"/>
      <c r="BI107" s="124" t="n"/>
      <c r="BJ107" s="124" t="n"/>
      <c r="BK107" s="124" t="n"/>
      <c r="BL107" s="124" t="n"/>
      <c r="BM107" s="124" t="n"/>
      <c r="BN107" s="124" t="n"/>
      <c r="BO107" s="124" t="n"/>
    </row>
    <row r="108" ht="15" customHeight="1" s="402">
      <c r="A108" s="140">
        <f>+'Invullen groen'!A115</f>
        <v/>
      </c>
      <c r="B108" s="141" t="n"/>
      <c r="C108" s="142" t="n"/>
      <c r="D108" s="142">
        <f>+'Invullen groen'!M115</f>
        <v/>
      </c>
      <c r="E108" s="143">
        <f>+'Invullen groen'!H115</f>
        <v/>
      </c>
      <c r="F108" s="143">
        <f>+'Invullen groen'!I115</f>
        <v/>
      </c>
      <c r="G108" s="143">
        <f>+'Invullen groen'!J115</f>
        <v/>
      </c>
      <c r="H108" s="142">
        <f>+'Invullen groen'!K115</f>
        <v/>
      </c>
      <c r="I108" s="124">
        <f>+'Invullen groen'!AW115</f>
        <v/>
      </c>
      <c r="J108" s="124">
        <f>+'Invullen groen'!AX115</f>
        <v/>
      </c>
      <c r="K108" s="124">
        <f>+'Invullen groen'!AY115</f>
        <v/>
      </c>
      <c r="L108" s="124">
        <f>+'Invullen groen'!AZ115</f>
        <v/>
      </c>
      <c r="M108" s="124">
        <f>+'Invullen groen'!BA115</f>
        <v/>
      </c>
      <c r="N108" s="124">
        <f>+'Invullen groen'!BB115</f>
        <v/>
      </c>
      <c r="O108" s="124">
        <f>+'Invullen groen'!BC115</f>
        <v/>
      </c>
      <c r="P108" s="124">
        <f>+'Invullen groen'!BD115</f>
        <v/>
      </c>
      <c r="Q108" s="124" t="n"/>
      <c r="R108" s="124" t="n"/>
      <c r="S108" s="124" t="n"/>
      <c r="T108" s="124" t="n"/>
      <c r="U108" s="124" t="n"/>
      <c r="V108" s="124" t="n"/>
      <c r="W108" s="124" t="n"/>
      <c r="X108" s="124" t="n"/>
      <c r="Y108" s="124" t="n"/>
      <c r="Z108" s="124" t="n"/>
      <c r="AA108" s="124" t="n"/>
      <c r="AB108" s="124" t="n"/>
      <c r="AC108" s="124" t="n"/>
      <c r="AD108" s="124" t="n"/>
      <c r="AE108" s="124" t="n"/>
      <c r="AF108" s="124" t="n"/>
      <c r="AG108" s="124" t="n"/>
      <c r="AH108" s="124" t="n"/>
      <c r="AI108" s="124" t="n"/>
      <c r="AJ108" s="124" t="n"/>
      <c r="AK108" s="124" t="n"/>
      <c r="AL108" s="124" t="n"/>
      <c r="AM108" s="124" t="n"/>
      <c r="AN108" s="124" t="n"/>
      <c r="AO108" s="124" t="n"/>
      <c r="AP108" s="124" t="n"/>
      <c r="AQ108" s="124" t="n"/>
      <c r="AR108" s="124" t="n"/>
      <c r="AS108" s="124" t="n"/>
      <c r="AT108" s="124" t="n"/>
      <c r="AU108" s="124" t="n"/>
      <c r="AV108" s="124" t="n"/>
      <c r="AW108" s="124" t="n"/>
      <c r="AX108" s="124" t="n"/>
      <c r="AY108" s="124" t="n"/>
      <c r="AZ108" s="124" t="n"/>
      <c r="BA108" s="124" t="n"/>
      <c r="BB108" s="124" t="n"/>
      <c r="BC108" s="124" t="n"/>
      <c r="BD108" s="124" t="n"/>
      <c r="BE108" s="124" t="n"/>
      <c r="BF108" s="124" t="n"/>
      <c r="BG108" s="124" t="n"/>
      <c r="BH108" s="124" t="n"/>
      <c r="BI108" s="124" t="n"/>
      <c r="BJ108" s="124" t="n"/>
      <c r="BK108" s="124" t="n"/>
      <c r="BL108" s="124" t="n"/>
      <c r="BM108" s="124" t="n"/>
      <c r="BN108" s="124" t="n"/>
      <c r="BO108" s="124" t="n"/>
    </row>
    <row r="109" ht="15" customHeight="1" s="402">
      <c r="A109" s="144">
        <f>+'Invullen groen'!A116</f>
        <v/>
      </c>
      <c r="B109" s="145">
        <f>+'Invullen groen'!C116</f>
        <v/>
      </c>
      <c r="C109" s="142">
        <f>+'Invullen groen'!G116</f>
        <v/>
      </c>
      <c r="D109" s="146">
        <f>+'Invullen groen'!M116</f>
        <v/>
      </c>
      <c r="E109" s="143">
        <f>+'Invullen groen'!H116</f>
        <v/>
      </c>
      <c r="F109" s="143">
        <f>+'Invullen groen'!I116</f>
        <v/>
      </c>
      <c r="G109" s="143">
        <f>+'Invullen groen'!J116</f>
        <v/>
      </c>
      <c r="H109" s="142">
        <f>+'Invullen groen'!K116</f>
        <v/>
      </c>
      <c r="I109" s="124">
        <f>+'Invullen groen'!AW116</f>
        <v/>
      </c>
      <c r="J109" s="124">
        <f>+'Invullen groen'!AX116</f>
        <v/>
      </c>
      <c r="K109" s="124">
        <f>+'Invullen groen'!AY116</f>
        <v/>
      </c>
      <c r="L109" s="124">
        <f>+'Invullen groen'!AZ116</f>
        <v/>
      </c>
      <c r="M109" s="124">
        <f>+'Invullen groen'!BA116</f>
        <v/>
      </c>
      <c r="N109" s="124">
        <f>+'Invullen groen'!BB116</f>
        <v/>
      </c>
      <c r="O109" s="124">
        <f>+'Invullen groen'!BC116</f>
        <v/>
      </c>
      <c r="P109" s="124">
        <f>+'Invullen groen'!BD116</f>
        <v/>
      </c>
      <c r="Q109" s="124" t="n"/>
      <c r="R109" s="124" t="n"/>
      <c r="S109" s="124" t="n"/>
      <c r="T109" s="124" t="n"/>
      <c r="U109" s="124" t="n"/>
      <c r="V109" s="124" t="n"/>
      <c r="W109" s="124" t="n"/>
      <c r="X109" s="124" t="n"/>
      <c r="Y109" s="124" t="n"/>
      <c r="Z109" s="124" t="n"/>
      <c r="AA109" s="124" t="n"/>
      <c r="AB109" s="124" t="n"/>
      <c r="AC109" s="124" t="n"/>
      <c r="AD109" s="124" t="n"/>
      <c r="AE109" s="124" t="n"/>
      <c r="AF109" s="124" t="n"/>
      <c r="AG109" s="124" t="n"/>
      <c r="AH109" s="124" t="n"/>
      <c r="AI109" s="124" t="n"/>
      <c r="AJ109" s="124" t="n"/>
      <c r="AK109" s="124" t="n"/>
      <c r="AL109" s="124" t="n"/>
      <c r="AM109" s="124" t="n"/>
      <c r="AN109" s="124" t="n"/>
      <c r="AO109" s="124" t="n"/>
      <c r="AP109" s="124" t="n"/>
      <c r="AQ109" s="124" t="n"/>
      <c r="AR109" s="124" t="n"/>
      <c r="AS109" s="124" t="n"/>
      <c r="AT109" s="124" t="n"/>
      <c r="AU109" s="124" t="n"/>
      <c r="AV109" s="124" t="n"/>
      <c r="AW109" s="124" t="n"/>
      <c r="AX109" s="124" t="n"/>
      <c r="AY109" s="124" t="n"/>
      <c r="AZ109" s="124" t="n"/>
      <c r="BA109" s="124" t="n"/>
      <c r="BB109" s="124" t="n"/>
      <c r="BC109" s="124" t="n"/>
      <c r="BD109" s="124" t="n"/>
      <c r="BE109" s="124" t="n"/>
      <c r="BF109" s="124" t="n"/>
      <c r="BG109" s="124" t="n"/>
      <c r="BH109" s="124" t="n"/>
      <c r="BI109" s="124" t="n"/>
      <c r="BJ109" s="124" t="n"/>
      <c r="BK109" s="124" t="n"/>
      <c r="BL109" s="124" t="n"/>
      <c r="BM109" s="124" t="n"/>
      <c r="BN109" s="124" t="n"/>
      <c r="BO109" s="124" t="n"/>
    </row>
    <row r="110" ht="15" customHeight="1" s="402">
      <c r="A110" s="5">
        <f>+'Invullen groen'!A117</f>
        <v/>
      </c>
      <c r="B110" s="23">
        <f>+'Invullen groen'!C117</f>
        <v/>
      </c>
      <c r="C110" s="17" t="n"/>
      <c r="D110" s="6">
        <f>+'Invullen groen'!M117</f>
        <v/>
      </c>
      <c r="E110" s="7">
        <f>+'Invullen groen'!H117</f>
        <v/>
      </c>
      <c r="F110" s="7">
        <f>+'Invullen groen'!I117</f>
        <v/>
      </c>
      <c r="G110" s="7">
        <f>+'Invullen groen'!J117</f>
        <v/>
      </c>
      <c r="H110" s="7">
        <f>+'Invullen groen'!K117</f>
        <v/>
      </c>
      <c r="I110" s="124">
        <f>+'Invullen groen'!AW117</f>
        <v/>
      </c>
      <c r="J110" s="124">
        <f>+'Invullen groen'!AX117</f>
        <v/>
      </c>
      <c r="K110" s="124">
        <f>+'Invullen groen'!AY117</f>
        <v/>
      </c>
      <c r="L110" s="124">
        <f>+'Invullen groen'!AZ117</f>
        <v/>
      </c>
      <c r="M110" s="124">
        <f>+'Invullen groen'!BA117</f>
        <v/>
      </c>
      <c r="N110" s="124">
        <f>+'Invullen groen'!BB117</f>
        <v/>
      </c>
      <c r="O110" s="124">
        <f>+'Invullen groen'!BC117</f>
        <v/>
      </c>
      <c r="P110" s="124">
        <f>+'Invullen groen'!BD117</f>
        <v/>
      </c>
      <c r="Q110" s="124" t="n"/>
      <c r="R110" s="124" t="n"/>
      <c r="S110" s="124" t="n"/>
      <c r="T110" s="124" t="n"/>
      <c r="U110" s="124" t="n"/>
      <c r="V110" s="124" t="n"/>
      <c r="W110" s="124" t="n"/>
      <c r="X110" s="124" t="n"/>
      <c r="Y110" s="124" t="n"/>
      <c r="Z110" s="124" t="n"/>
      <c r="AA110" s="124" t="n"/>
      <c r="AB110" s="124" t="n"/>
      <c r="AC110" s="124" t="n"/>
      <c r="AD110" s="124" t="n"/>
      <c r="AE110" s="124" t="n"/>
      <c r="AF110" s="124" t="n"/>
      <c r="AG110" s="124" t="n"/>
      <c r="AH110" s="124" t="n"/>
      <c r="AI110" s="124" t="n"/>
      <c r="AJ110" s="124" t="n"/>
      <c r="AK110" s="124" t="n"/>
      <c r="AL110" s="124" t="n"/>
      <c r="AM110" s="124" t="n"/>
      <c r="AN110" s="124" t="n"/>
      <c r="AO110" s="124" t="n"/>
      <c r="AP110" s="124" t="n"/>
      <c r="AQ110" s="124" t="n"/>
      <c r="AR110" s="124" t="n"/>
      <c r="AS110" s="124" t="n"/>
      <c r="AT110" s="124" t="n"/>
      <c r="AU110" s="124" t="n"/>
      <c r="AV110" s="124" t="n"/>
      <c r="AW110" s="124" t="n"/>
      <c r="AX110" s="124" t="n"/>
      <c r="AY110" s="124" t="n"/>
      <c r="AZ110" s="124" t="n"/>
      <c r="BA110" s="124" t="n"/>
      <c r="BB110" s="124" t="n"/>
      <c r="BC110" s="124" t="n"/>
      <c r="BD110" s="124" t="n"/>
      <c r="BE110" s="124" t="n"/>
      <c r="BF110" s="124" t="n"/>
      <c r="BG110" s="124" t="n"/>
      <c r="BH110" s="124" t="n"/>
      <c r="BI110" s="124" t="n"/>
      <c r="BJ110" s="124" t="n"/>
      <c r="BK110" s="124" t="n"/>
      <c r="BL110" s="124" t="n"/>
      <c r="BM110" s="124" t="n"/>
      <c r="BN110" s="124" t="n"/>
      <c r="BO110" s="124" t="n"/>
    </row>
    <row r="111">
      <c r="A111" s="5">
        <f>+'Invullen groen'!A118</f>
        <v/>
      </c>
      <c r="B111" s="23">
        <f>+'Invullen groen'!C118</f>
        <v/>
      </c>
      <c r="C111" s="18">
        <f>+'Invullen groen'!G118</f>
        <v/>
      </c>
      <c r="D111" s="6">
        <f>+'Invullen groen'!M118</f>
        <v/>
      </c>
      <c r="E111" s="7">
        <f>+'Invullen groen'!H118</f>
        <v/>
      </c>
      <c r="F111" s="7">
        <f>+'Invullen groen'!I118</f>
        <v/>
      </c>
      <c r="G111" s="7">
        <f>+'Invullen groen'!J118</f>
        <v/>
      </c>
      <c r="H111" s="7">
        <f>+'Invullen groen'!K118</f>
        <v/>
      </c>
      <c r="I111" s="124">
        <f>+'Invullen groen'!AW118</f>
        <v/>
      </c>
      <c r="J111" s="124">
        <f>+'Invullen groen'!AX118</f>
        <v/>
      </c>
      <c r="K111" s="124">
        <f>+'Invullen groen'!AY118</f>
        <v/>
      </c>
      <c r="L111" s="124">
        <f>+'Invullen groen'!AZ118</f>
        <v/>
      </c>
      <c r="M111" s="124">
        <f>+'Invullen groen'!BA118</f>
        <v/>
      </c>
      <c r="N111" s="124">
        <f>+'Invullen groen'!BB118</f>
        <v/>
      </c>
      <c r="O111" s="124">
        <f>+'Invullen groen'!BC118</f>
        <v/>
      </c>
      <c r="P111" s="124">
        <f>+'Invullen groen'!BD118</f>
        <v/>
      </c>
      <c r="Q111" s="124" t="n"/>
      <c r="R111" s="124" t="n"/>
      <c r="S111" s="124" t="n"/>
      <c r="T111" s="124" t="n"/>
      <c r="U111" s="124" t="n"/>
      <c r="V111" s="124" t="n"/>
      <c r="W111" s="124" t="n"/>
      <c r="X111" s="124" t="n"/>
      <c r="Y111" s="124" t="n"/>
      <c r="Z111" s="124" t="n"/>
      <c r="AA111" s="124" t="n"/>
      <c r="AB111" s="124" t="n"/>
      <c r="AC111" s="124" t="n"/>
      <c r="AD111" s="124" t="n"/>
      <c r="AE111" s="124" t="n"/>
      <c r="AF111" s="124" t="n"/>
      <c r="AG111" s="124" t="n"/>
      <c r="AH111" s="124" t="n"/>
      <c r="AI111" s="124" t="n"/>
      <c r="AJ111" s="124" t="n"/>
      <c r="AK111" s="124" t="n"/>
      <c r="AL111" s="124" t="n"/>
      <c r="AM111" s="124" t="n"/>
      <c r="AN111" s="124" t="n"/>
      <c r="AO111" s="124" t="n"/>
      <c r="AP111" s="124" t="n"/>
      <c r="AQ111" s="124" t="n"/>
      <c r="AR111" s="124" t="n"/>
      <c r="AS111" s="124" t="n"/>
      <c r="AT111" s="124" t="n"/>
      <c r="AU111" s="124" t="n"/>
      <c r="AV111" s="124" t="n"/>
      <c r="AW111" s="124" t="n"/>
      <c r="AX111" s="124" t="n"/>
      <c r="AY111" s="124" t="n"/>
      <c r="AZ111" s="124" t="n"/>
      <c r="BA111" s="124" t="n"/>
      <c r="BB111" s="124" t="n"/>
      <c r="BC111" s="124" t="n"/>
      <c r="BD111" s="124" t="n"/>
      <c r="BE111" s="124" t="n"/>
      <c r="BF111" s="124" t="n"/>
      <c r="BG111" s="124" t="n"/>
      <c r="BH111" s="124" t="n"/>
      <c r="BI111" s="124" t="n"/>
      <c r="BJ111" s="124" t="n"/>
      <c r="BK111" s="124" t="n"/>
      <c r="BL111" s="124" t="n"/>
      <c r="BM111" s="124" t="n"/>
      <c r="BN111" s="124" t="n"/>
      <c r="BO111" s="124" t="n"/>
    </row>
    <row r="112" ht="15" customHeight="1" s="402">
      <c r="A112" s="8">
        <f>+'Invullen groen'!A119</f>
        <v/>
      </c>
      <c r="B112" s="9">
        <f>+'Invullen groen'!C119</f>
        <v/>
      </c>
      <c r="C112" s="19">
        <f>+'Invullen groen'!G119</f>
        <v/>
      </c>
      <c r="D112" s="10">
        <f>+'Invullen groen'!M119</f>
        <v/>
      </c>
      <c r="E112" s="11">
        <f>+'Invullen groen'!H119</f>
        <v/>
      </c>
      <c r="F112" s="11">
        <f>+'Invullen groen'!I119</f>
        <v/>
      </c>
      <c r="G112" s="11">
        <f>+'Invullen groen'!J119</f>
        <v/>
      </c>
      <c r="H112" s="11">
        <f>+'Invullen groen'!K119</f>
        <v/>
      </c>
      <c r="I112" s="124">
        <f>+'Invullen groen'!AW119</f>
        <v/>
      </c>
      <c r="J112" s="124">
        <f>+'Invullen groen'!AX119</f>
        <v/>
      </c>
      <c r="K112" s="124">
        <f>+'Invullen groen'!AY119</f>
        <v/>
      </c>
      <c r="L112" s="124">
        <f>+'Invullen groen'!AZ119</f>
        <v/>
      </c>
      <c r="M112" s="124">
        <f>+'Invullen groen'!BA119</f>
        <v/>
      </c>
      <c r="N112" s="124">
        <f>+'Invullen groen'!BB119</f>
        <v/>
      </c>
      <c r="O112" s="124">
        <f>+'Invullen groen'!BC119</f>
        <v/>
      </c>
      <c r="P112" s="124">
        <f>+'Invullen groen'!BD119</f>
        <v/>
      </c>
      <c r="Q112" s="124" t="n"/>
    </row>
    <row r="113" ht="15" customHeight="1" s="402">
      <c r="A113" s="44">
        <f>+'Invullen groen'!A120</f>
        <v/>
      </c>
      <c r="B113" s="45">
        <f>+'Invullen groen'!C120</f>
        <v/>
      </c>
      <c r="C113" s="46">
        <f>+'Invullen groen'!G120</f>
        <v/>
      </c>
      <c r="D113" s="47">
        <f>+'Invullen groen'!M120</f>
        <v/>
      </c>
      <c r="E113" s="48">
        <f>+'Invullen groen'!H120</f>
        <v/>
      </c>
      <c r="F113" s="48">
        <f>+'Invullen groen'!I120</f>
        <v/>
      </c>
      <c r="G113" s="48">
        <f>+'Invullen groen'!J120</f>
        <v/>
      </c>
      <c r="H113" s="48">
        <f>+'Invullen groen'!K120</f>
        <v/>
      </c>
      <c r="I113" s="147">
        <f>+'Invullen groen'!AW120</f>
        <v/>
      </c>
      <c r="J113" s="147">
        <f>+'Invullen groen'!AX120</f>
        <v/>
      </c>
      <c r="K113" s="147">
        <f>+'Invullen groen'!AY120</f>
        <v/>
      </c>
      <c r="L113" s="147">
        <f>+'Invullen groen'!AZ120</f>
        <v/>
      </c>
      <c r="M113" s="147">
        <f>+'Invullen groen'!BA120</f>
        <v/>
      </c>
      <c r="N113" s="147">
        <f>+'Invullen groen'!BB120</f>
        <v/>
      </c>
      <c r="O113" s="147">
        <f>+'Invullen groen'!BC120</f>
        <v/>
      </c>
      <c r="P113" s="147">
        <f>+'Invullen groen'!BD120</f>
        <v/>
      </c>
      <c r="Q113" s="147" t="n"/>
    </row>
    <row r="114" ht="15" customHeight="1" s="402">
      <c r="A114" s="8">
        <f>+'Invullen groen'!A121</f>
        <v/>
      </c>
      <c r="B114" s="9">
        <f>+'Invullen groen'!C121</f>
        <v/>
      </c>
      <c r="C114" s="19">
        <f>+'Invullen groen'!G121</f>
        <v/>
      </c>
      <c r="D114" s="10">
        <f>+'Invullen groen'!M121</f>
        <v/>
      </c>
      <c r="E114" s="11">
        <f>+'Invullen groen'!H121</f>
        <v/>
      </c>
      <c r="F114" s="11">
        <f>+'Invullen groen'!I121</f>
        <v/>
      </c>
      <c r="G114" s="11">
        <f>+'Invullen groen'!J121</f>
        <v/>
      </c>
      <c r="H114" s="11">
        <f>+'Invullen groen'!K121</f>
        <v/>
      </c>
      <c r="I114" s="124">
        <f>+'Invullen groen'!AW121</f>
        <v/>
      </c>
      <c r="J114" s="124">
        <f>+'Invullen groen'!AX121</f>
        <v/>
      </c>
      <c r="K114" s="124">
        <f>+'Invullen groen'!AY121</f>
        <v/>
      </c>
      <c r="L114" s="124">
        <f>+'Invullen groen'!AZ121</f>
        <v/>
      </c>
      <c r="M114" s="124">
        <f>+'Invullen groen'!BA121</f>
        <v/>
      </c>
      <c r="N114" s="124">
        <f>+'Invullen groen'!BB121</f>
        <v/>
      </c>
      <c r="O114" s="124">
        <f>+'Invullen groen'!BC121</f>
        <v/>
      </c>
      <c r="P114" s="124">
        <f>+'Invullen groen'!BD121</f>
        <v/>
      </c>
      <c r="Q114" s="124" t="n"/>
    </row>
    <row r="115" ht="15" customHeight="1" s="402">
      <c r="A115" s="8">
        <f>+'Invullen groen'!A122</f>
        <v/>
      </c>
      <c r="B115" s="9">
        <f>+'Invullen groen'!C122</f>
        <v/>
      </c>
      <c r="C115" s="19">
        <f>+'Invullen groen'!G122</f>
        <v/>
      </c>
      <c r="D115" s="10">
        <f>+'Invullen groen'!M122</f>
        <v/>
      </c>
      <c r="E115" s="11">
        <f>+'Invullen groen'!H122</f>
        <v/>
      </c>
      <c r="F115" s="11">
        <f>+'Invullen groen'!I122</f>
        <v/>
      </c>
      <c r="G115" s="11">
        <f>+'Invullen groen'!J122</f>
        <v/>
      </c>
      <c r="H115" s="11">
        <f>+'Invullen groen'!K122</f>
        <v/>
      </c>
      <c r="I115" s="124">
        <f>+'Invullen groen'!AW122</f>
        <v/>
      </c>
      <c r="J115" s="124">
        <f>+'Invullen groen'!AX122</f>
        <v/>
      </c>
      <c r="K115" s="124">
        <f>+'Invullen groen'!AY122</f>
        <v/>
      </c>
      <c r="L115" s="124">
        <f>+'Invullen groen'!AZ122</f>
        <v/>
      </c>
      <c r="M115" s="124">
        <f>+'Invullen groen'!BA122</f>
        <v/>
      </c>
      <c r="N115" s="124">
        <f>+'Invullen groen'!BB122</f>
        <v/>
      </c>
      <c r="O115" s="124">
        <f>+'Invullen groen'!BC122</f>
        <v/>
      </c>
      <c r="P115" s="124">
        <f>+'Invullen groen'!BD122</f>
        <v/>
      </c>
      <c r="Q115" s="124" t="n"/>
    </row>
    <row r="116" ht="15" customHeight="1" s="402">
      <c r="A116" s="8">
        <f>+'Invullen groen'!A123</f>
        <v/>
      </c>
      <c r="B116" s="9">
        <f>+'Invullen groen'!C123</f>
        <v/>
      </c>
      <c r="C116" s="19">
        <f>+'Invullen groen'!G123</f>
        <v/>
      </c>
      <c r="D116" s="10">
        <f>+'Invullen groen'!M123</f>
        <v/>
      </c>
      <c r="E116" s="11">
        <f>+'Invullen groen'!H123</f>
        <v/>
      </c>
      <c r="F116" s="11">
        <f>+'Invullen groen'!I123</f>
        <v/>
      </c>
      <c r="G116" s="11">
        <f>+'Invullen groen'!J123</f>
        <v/>
      </c>
      <c r="H116" s="11">
        <f>+'Invullen groen'!K123</f>
        <v/>
      </c>
      <c r="I116" s="124">
        <f>+'Invullen groen'!AW123</f>
        <v/>
      </c>
      <c r="J116" s="124">
        <f>+'Invullen groen'!AX123</f>
        <v/>
      </c>
      <c r="K116" s="124">
        <f>+'Invullen groen'!AY123</f>
        <v/>
      </c>
      <c r="L116" s="124">
        <f>+'Invullen groen'!AZ123</f>
        <v/>
      </c>
      <c r="M116" s="124">
        <f>+'Invullen groen'!BA123</f>
        <v/>
      </c>
      <c r="N116" s="124">
        <f>+'Invullen groen'!BB123</f>
        <v/>
      </c>
      <c r="O116" s="124">
        <f>+'Invullen groen'!BC123</f>
        <v/>
      </c>
      <c r="P116" s="124">
        <f>+'Invullen groen'!BD123</f>
        <v/>
      </c>
      <c r="Q116" s="124" t="n"/>
    </row>
    <row r="117" ht="15" customHeight="1" s="402">
      <c r="A117" s="8">
        <f>+'Invullen groen'!A124</f>
        <v/>
      </c>
      <c r="B117" s="9">
        <f>+'Invullen groen'!C124</f>
        <v/>
      </c>
      <c r="C117" s="19">
        <f>+'Invullen groen'!G124</f>
        <v/>
      </c>
      <c r="D117" s="10">
        <f>+'Invullen groen'!M124</f>
        <v/>
      </c>
      <c r="E117" s="11">
        <f>+'Invullen groen'!H124</f>
        <v/>
      </c>
      <c r="F117" s="11">
        <f>+'Invullen groen'!I124</f>
        <v/>
      </c>
      <c r="G117" s="11">
        <f>+'Invullen groen'!J124</f>
        <v/>
      </c>
      <c r="H117" s="11">
        <f>+'Invullen groen'!K124</f>
        <v/>
      </c>
      <c r="I117" s="124">
        <f>+'Invullen groen'!AW124</f>
        <v/>
      </c>
      <c r="J117" s="124">
        <f>+'Invullen groen'!AX124</f>
        <v/>
      </c>
      <c r="K117" s="124">
        <f>+'Invullen groen'!AY124</f>
        <v/>
      </c>
      <c r="L117" s="124">
        <f>+'Invullen groen'!AZ124</f>
        <v/>
      </c>
      <c r="M117" s="124">
        <f>+'Invullen groen'!BA124</f>
        <v/>
      </c>
      <c r="N117" s="124">
        <f>+'Invullen groen'!BB124</f>
        <v/>
      </c>
      <c r="O117" s="124">
        <f>+'Invullen groen'!BC124</f>
        <v/>
      </c>
      <c r="P117" s="124">
        <f>+'Invullen groen'!BD124</f>
        <v/>
      </c>
      <c r="Q117" s="124" t="n"/>
    </row>
    <row r="118" ht="15" customHeight="1" s="402">
      <c r="A118" s="8">
        <f>+'Invullen groen'!A125</f>
        <v/>
      </c>
      <c r="B118" s="9">
        <f>+'Invullen groen'!C125</f>
        <v/>
      </c>
      <c r="C118" s="19">
        <f>+'Invullen groen'!G125</f>
        <v/>
      </c>
      <c r="D118" s="10">
        <f>+'Invullen groen'!M125</f>
        <v/>
      </c>
      <c r="E118" s="11">
        <f>+'Invullen groen'!H125</f>
        <v/>
      </c>
      <c r="F118" s="11">
        <f>+'Invullen groen'!I125</f>
        <v/>
      </c>
      <c r="G118" s="11">
        <f>+'Invullen groen'!J125</f>
        <v/>
      </c>
      <c r="H118" s="11">
        <f>+'Invullen groen'!K125</f>
        <v/>
      </c>
      <c r="I118" s="124">
        <f>+'Invullen groen'!AW125</f>
        <v/>
      </c>
      <c r="J118" s="124">
        <f>+'Invullen groen'!AX125</f>
        <v/>
      </c>
      <c r="K118" s="124">
        <f>+'Invullen groen'!AY125</f>
        <v/>
      </c>
      <c r="L118" s="124">
        <f>+'Invullen groen'!AZ125</f>
        <v/>
      </c>
      <c r="M118" s="124">
        <f>+'Invullen groen'!BA125</f>
        <v/>
      </c>
      <c r="N118" s="124">
        <f>+'Invullen groen'!BB125</f>
        <v/>
      </c>
      <c r="O118" s="124">
        <f>+'Invullen groen'!BC125</f>
        <v/>
      </c>
      <c r="P118" s="124">
        <f>+'Invullen groen'!BD125</f>
        <v/>
      </c>
      <c r="Q118" s="124" t="n"/>
    </row>
    <row r="119" ht="15" customHeight="1" s="402">
      <c r="A119" s="8">
        <f>+'Invullen groen'!A126</f>
        <v/>
      </c>
      <c r="B119" s="9">
        <f>+'Invullen groen'!C126</f>
        <v/>
      </c>
      <c r="C119" s="19">
        <f>+'Invullen groen'!G126</f>
        <v/>
      </c>
      <c r="D119" s="10">
        <f>+'Invullen groen'!M126</f>
        <v/>
      </c>
      <c r="E119" s="11">
        <f>+'Invullen groen'!H126</f>
        <v/>
      </c>
      <c r="F119" s="11">
        <f>+'Invullen groen'!I126</f>
        <v/>
      </c>
      <c r="G119" s="11">
        <f>+'Invullen groen'!J126</f>
        <v/>
      </c>
      <c r="H119" s="11">
        <f>+'Invullen groen'!K126</f>
        <v/>
      </c>
      <c r="I119" s="124">
        <f>+'Invullen groen'!AW126</f>
        <v/>
      </c>
      <c r="J119" s="124">
        <f>+'Invullen groen'!AX126</f>
        <v/>
      </c>
      <c r="K119" s="124">
        <f>+'Invullen groen'!AY126</f>
        <v/>
      </c>
      <c r="L119" s="124">
        <f>+'Invullen groen'!AZ126</f>
        <v/>
      </c>
      <c r="M119" s="124">
        <f>+'Invullen groen'!BA126</f>
        <v/>
      </c>
      <c r="N119" s="124">
        <f>+'Invullen groen'!BB126</f>
        <v/>
      </c>
      <c r="O119" s="124">
        <f>+'Invullen groen'!BC126</f>
        <v/>
      </c>
      <c r="P119" s="124">
        <f>+'Invullen groen'!BD126</f>
        <v/>
      </c>
      <c r="Q119" s="124" t="n"/>
    </row>
    <row r="120" ht="15" customHeight="1" s="402">
      <c r="A120" s="8">
        <f>+'Invullen groen'!A127</f>
        <v/>
      </c>
      <c r="B120" s="9">
        <f>+'Invullen groen'!C127</f>
        <v/>
      </c>
      <c r="C120" s="19">
        <f>+'Invullen groen'!G127</f>
        <v/>
      </c>
      <c r="D120" s="10">
        <f>+'Invullen groen'!M127</f>
        <v/>
      </c>
      <c r="E120" s="11">
        <f>+'Invullen groen'!H127</f>
        <v/>
      </c>
      <c r="F120" s="11">
        <f>+'Invullen groen'!I127</f>
        <v/>
      </c>
      <c r="G120" s="11">
        <f>+'Invullen groen'!J127</f>
        <v/>
      </c>
      <c r="H120" s="11">
        <f>+'Invullen groen'!K127</f>
        <v/>
      </c>
      <c r="I120" s="124">
        <f>+'Invullen groen'!AW127</f>
        <v/>
      </c>
      <c r="J120" s="124">
        <f>+'Invullen groen'!AX127</f>
        <v/>
      </c>
      <c r="K120" s="124">
        <f>+'Invullen groen'!AY127</f>
        <v/>
      </c>
      <c r="L120" s="124">
        <f>+'Invullen groen'!AZ127</f>
        <v/>
      </c>
      <c r="M120" s="124">
        <f>+'Invullen groen'!BA127</f>
        <v/>
      </c>
      <c r="N120" s="124">
        <f>+'Invullen groen'!BB127</f>
        <v/>
      </c>
      <c r="O120" s="124">
        <f>+'Invullen groen'!BC127</f>
        <v/>
      </c>
      <c r="P120" s="124">
        <f>+'Invullen groen'!BD127</f>
        <v/>
      </c>
      <c r="Q120" s="124" t="n"/>
    </row>
    <row r="121" ht="15" customHeight="1" s="402">
      <c r="A121" s="8">
        <f>+'Invullen groen'!A128</f>
        <v/>
      </c>
      <c r="B121" s="9">
        <f>+'Invullen groen'!C128</f>
        <v/>
      </c>
      <c r="C121" s="19">
        <f>+'Invullen groen'!G128</f>
        <v/>
      </c>
      <c r="D121" s="10">
        <f>+'Invullen groen'!M128</f>
        <v/>
      </c>
      <c r="E121" s="11">
        <f>+'Invullen groen'!H128</f>
        <v/>
      </c>
      <c r="F121" s="11">
        <f>+'Invullen groen'!I128</f>
        <v/>
      </c>
      <c r="G121" s="11">
        <f>+'Invullen groen'!J128</f>
        <v/>
      </c>
      <c r="H121" s="11">
        <f>+'Invullen groen'!K128</f>
        <v/>
      </c>
      <c r="I121" s="124">
        <f>+'Invullen groen'!AW128</f>
        <v/>
      </c>
      <c r="J121" s="124">
        <f>+'Invullen groen'!AX128</f>
        <v/>
      </c>
      <c r="K121" s="124">
        <f>+'Invullen groen'!AY128</f>
        <v/>
      </c>
      <c r="L121" s="124">
        <f>+'Invullen groen'!AZ128</f>
        <v/>
      </c>
      <c r="M121" s="124">
        <f>+'Invullen groen'!BA128</f>
        <v/>
      </c>
      <c r="N121" s="124">
        <f>+'Invullen groen'!BB128</f>
        <v/>
      </c>
      <c r="O121" s="124">
        <f>+'Invullen groen'!BC128</f>
        <v/>
      </c>
      <c r="P121" s="124">
        <f>+'Invullen groen'!BD128</f>
        <v/>
      </c>
      <c r="Q121" s="124" t="n"/>
    </row>
    <row r="122" ht="15" customHeight="1" s="402">
      <c r="A122" s="8">
        <f>+'Invullen groen'!A129</f>
        <v/>
      </c>
      <c r="B122" s="9">
        <f>+'Invullen groen'!C129</f>
        <v/>
      </c>
      <c r="C122" s="19">
        <f>+'Invullen groen'!G129</f>
        <v/>
      </c>
      <c r="D122" s="10">
        <f>+'Invullen groen'!M129</f>
        <v/>
      </c>
      <c r="E122" s="11">
        <f>+'Invullen groen'!H129</f>
        <v/>
      </c>
      <c r="F122" s="11">
        <f>+'Invullen groen'!I129</f>
        <v/>
      </c>
      <c r="G122" s="11">
        <f>+'Invullen groen'!J129</f>
        <v/>
      </c>
      <c r="H122" s="11">
        <f>+'Invullen groen'!K129</f>
        <v/>
      </c>
      <c r="I122" s="124">
        <f>+'Invullen groen'!AW129</f>
        <v/>
      </c>
      <c r="J122" s="124">
        <f>+'Invullen groen'!AX129</f>
        <v/>
      </c>
      <c r="K122" s="124">
        <f>+'Invullen groen'!AY129</f>
        <v/>
      </c>
      <c r="L122" s="124">
        <f>+'Invullen groen'!AZ129</f>
        <v/>
      </c>
      <c r="M122" s="124">
        <f>+'Invullen groen'!BA129</f>
        <v/>
      </c>
      <c r="N122" s="124">
        <f>+'Invullen groen'!BB129</f>
        <v/>
      </c>
      <c r="O122" s="124">
        <f>+'Invullen groen'!BC129</f>
        <v/>
      </c>
      <c r="P122" s="124">
        <f>+'Invullen groen'!BD129</f>
        <v/>
      </c>
      <c r="Q122" s="124" t="n"/>
    </row>
    <row r="123" ht="15" customHeight="1" s="402">
      <c r="A123" s="8">
        <f>+'Invullen groen'!A130</f>
        <v/>
      </c>
      <c r="B123" s="9">
        <f>+'Invullen groen'!C130</f>
        <v/>
      </c>
      <c r="C123" s="19">
        <f>+'Invullen groen'!G130</f>
        <v/>
      </c>
      <c r="D123" s="10">
        <f>+'Invullen groen'!M130</f>
        <v/>
      </c>
      <c r="E123" s="11">
        <f>+'Invullen groen'!H130</f>
        <v/>
      </c>
      <c r="F123" s="11">
        <f>+'Invullen groen'!I130</f>
        <v/>
      </c>
      <c r="G123" s="11">
        <f>+'Invullen groen'!J130</f>
        <v/>
      </c>
      <c r="H123" s="11">
        <f>+'Invullen groen'!K130</f>
        <v/>
      </c>
      <c r="I123" s="124">
        <f>+'Invullen groen'!AW130</f>
        <v/>
      </c>
      <c r="J123" s="124">
        <f>+'Invullen groen'!AX130</f>
        <v/>
      </c>
      <c r="K123" s="124">
        <f>+'Invullen groen'!AY130</f>
        <v/>
      </c>
      <c r="L123" s="124">
        <f>+'Invullen groen'!AZ130</f>
        <v/>
      </c>
      <c r="M123" s="124">
        <f>+'Invullen groen'!BA130</f>
        <v/>
      </c>
      <c r="N123" s="124">
        <f>+'Invullen groen'!BB130</f>
        <v/>
      </c>
      <c r="O123" s="124">
        <f>+'Invullen groen'!BC130</f>
        <v/>
      </c>
      <c r="P123" s="124">
        <f>+'Invullen groen'!BD130</f>
        <v/>
      </c>
      <c r="Q123" s="124" t="n"/>
    </row>
    <row r="124" ht="15" customHeight="1" s="402">
      <c r="A124" s="8">
        <f>+'Invullen groen'!A131</f>
        <v/>
      </c>
      <c r="B124" s="9">
        <f>+'Invullen groen'!C131</f>
        <v/>
      </c>
      <c r="C124" s="19">
        <f>+'Invullen groen'!G131</f>
        <v/>
      </c>
      <c r="D124" s="10">
        <f>+'Invullen groen'!M131</f>
        <v/>
      </c>
      <c r="E124" s="11">
        <f>+'Invullen groen'!H131</f>
        <v/>
      </c>
      <c r="F124" s="11">
        <f>+'Invullen groen'!I131</f>
        <v/>
      </c>
      <c r="G124" s="11">
        <f>+'Invullen groen'!J131</f>
        <v/>
      </c>
      <c r="H124" s="11">
        <f>+'Invullen groen'!K131</f>
        <v/>
      </c>
      <c r="I124" s="124">
        <f>+'Invullen groen'!AW131</f>
        <v/>
      </c>
      <c r="J124" s="124">
        <f>+'Invullen groen'!AX131</f>
        <v/>
      </c>
      <c r="K124" s="124">
        <f>+'Invullen groen'!AY131</f>
        <v/>
      </c>
      <c r="L124" s="124">
        <f>+'Invullen groen'!AZ131</f>
        <v/>
      </c>
      <c r="M124" s="124">
        <f>+'Invullen groen'!BA131</f>
        <v/>
      </c>
      <c r="N124" s="124">
        <f>+'Invullen groen'!BB131</f>
        <v/>
      </c>
      <c r="O124" s="124">
        <f>+'Invullen groen'!BC131</f>
        <v/>
      </c>
      <c r="P124" s="124">
        <f>+'Invullen groen'!BD131</f>
        <v/>
      </c>
      <c r="Q124" s="124" t="n"/>
    </row>
    <row r="125" ht="15" customHeight="1" s="402">
      <c r="A125" s="8">
        <f>+'Invullen groen'!A132</f>
        <v/>
      </c>
      <c r="B125" s="9">
        <f>+'Invullen groen'!C132</f>
        <v/>
      </c>
      <c r="C125" s="19">
        <f>+'Invullen groen'!G132</f>
        <v/>
      </c>
      <c r="D125" s="10">
        <f>+'Invullen groen'!M132</f>
        <v/>
      </c>
      <c r="E125" s="11">
        <f>+'Invullen groen'!H132</f>
        <v/>
      </c>
      <c r="F125" s="11">
        <f>+'Invullen groen'!I132</f>
        <v/>
      </c>
      <c r="G125" s="11">
        <f>+'Invullen groen'!J132</f>
        <v/>
      </c>
      <c r="H125" s="11">
        <f>+'Invullen groen'!K132</f>
        <v/>
      </c>
      <c r="I125" s="124">
        <f>+'Invullen groen'!AW132</f>
        <v/>
      </c>
      <c r="J125" s="124">
        <f>+'Invullen groen'!AX132</f>
        <v/>
      </c>
      <c r="K125" s="124">
        <f>+'Invullen groen'!AY132</f>
        <v/>
      </c>
      <c r="L125" s="124">
        <f>+'Invullen groen'!AZ132</f>
        <v/>
      </c>
      <c r="M125" s="124">
        <f>+'Invullen groen'!BA132</f>
        <v/>
      </c>
      <c r="N125" s="124">
        <f>+'Invullen groen'!BB132</f>
        <v/>
      </c>
      <c r="O125" s="124">
        <f>+'Invullen groen'!BC132</f>
        <v/>
      </c>
      <c r="P125" s="124">
        <f>+'Invullen groen'!BD132</f>
        <v/>
      </c>
      <c r="Q125" s="124" t="n"/>
    </row>
    <row r="126" ht="15" customHeight="1" s="402">
      <c r="A126" s="8">
        <f>+'Invullen groen'!A133</f>
        <v/>
      </c>
      <c r="B126" s="9">
        <f>+'Invullen groen'!C133</f>
        <v/>
      </c>
      <c r="C126" s="19">
        <f>+'Invullen groen'!G133</f>
        <v/>
      </c>
      <c r="D126" s="10">
        <f>+'Invullen groen'!M133</f>
        <v/>
      </c>
      <c r="E126" s="11">
        <f>+'Invullen groen'!H133</f>
        <v/>
      </c>
      <c r="F126" s="11">
        <f>+'Invullen groen'!I133</f>
        <v/>
      </c>
      <c r="G126" s="11">
        <f>+'Invullen groen'!J133</f>
        <v/>
      </c>
      <c r="H126" s="11">
        <f>+'Invullen groen'!K133</f>
        <v/>
      </c>
      <c r="I126" s="124">
        <f>+'Invullen groen'!AW133</f>
        <v/>
      </c>
      <c r="J126" s="124">
        <f>+'Invullen groen'!AX133</f>
        <v/>
      </c>
      <c r="K126" s="124">
        <f>+'Invullen groen'!AY133</f>
        <v/>
      </c>
      <c r="L126" s="124">
        <f>+'Invullen groen'!AZ133</f>
        <v/>
      </c>
      <c r="M126" s="124">
        <f>+'Invullen groen'!BA133</f>
        <v/>
      </c>
      <c r="N126" s="124">
        <f>+'Invullen groen'!BB133</f>
        <v/>
      </c>
      <c r="O126" s="124">
        <f>+'Invullen groen'!BC133</f>
        <v/>
      </c>
      <c r="P126" s="124">
        <f>+'Invullen groen'!BD133</f>
        <v/>
      </c>
      <c r="Q126" s="124" t="n"/>
    </row>
    <row r="127" ht="15" customHeight="1" s="402">
      <c r="A127" s="8">
        <f>+'Invullen groen'!A134</f>
        <v/>
      </c>
      <c r="B127" s="9">
        <f>+'Invullen groen'!C134</f>
        <v/>
      </c>
      <c r="C127" s="19">
        <f>+'Invullen groen'!G134</f>
        <v/>
      </c>
      <c r="D127" s="10">
        <f>+'Invullen groen'!M134</f>
        <v/>
      </c>
      <c r="E127" s="11">
        <f>+'Invullen groen'!H134</f>
        <v/>
      </c>
      <c r="F127" s="11">
        <f>+'Invullen groen'!I134</f>
        <v/>
      </c>
      <c r="G127" s="11">
        <f>+'Invullen groen'!J134</f>
        <v/>
      </c>
      <c r="H127" s="11">
        <f>+'Invullen groen'!K134</f>
        <v/>
      </c>
      <c r="I127" s="124">
        <f>+'Invullen groen'!AW134</f>
        <v/>
      </c>
      <c r="J127" s="124">
        <f>+'Invullen groen'!AX134</f>
        <v/>
      </c>
      <c r="K127" s="124">
        <f>+'Invullen groen'!AY134</f>
        <v/>
      </c>
      <c r="L127" s="124">
        <f>+'Invullen groen'!AZ134</f>
        <v/>
      </c>
      <c r="M127" s="124">
        <f>+'Invullen groen'!BA134</f>
        <v/>
      </c>
      <c r="N127" s="124">
        <f>+'Invullen groen'!BB134</f>
        <v/>
      </c>
      <c r="O127" s="124">
        <f>+'Invullen groen'!BC134</f>
        <v/>
      </c>
      <c r="P127" s="124">
        <f>+'Invullen groen'!BD134</f>
        <v/>
      </c>
      <c r="Q127" s="124" t="n"/>
    </row>
    <row r="128" ht="15" customHeight="1" s="402">
      <c r="A128" s="8">
        <f>+'Invullen groen'!A135</f>
        <v/>
      </c>
      <c r="B128" s="9">
        <f>+'Invullen groen'!C135</f>
        <v/>
      </c>
      <c r="C128" s="19">
        <f>+'Invullen groen'!G135</f>
        <v/>
      </c>
      <c r="D128" s="10">
        <f>+'Invullen groen'!M135</f>
        <v/>
      </c>
      <c r="E128" s="11">
        <f>+'Invullen groen'!H135</f>
        <v/>
      </c>
      <c r="F128" s="11">
        <f>+'Invullen groen'!I135</f>
        <v/>
      </c>
      <c r="G128" s="11">
        <f>+'Invullen groen'!J135</f>
        <v/>
      </c>
      <c r="H128" s="11">
        <f>+'Invullen groen'!K135</f>
        <v/>
      </c>
      <c r="I128" s="124">
        <f>+'Invullen groen'!AW135</f>
        <v/>
      </c>
      <c r="J128" s="124">
        <f>+'Invullen groen'!AX135</f>
        <v/>
      </c>
      <c r="K128" s="124">
        <f>+'Invullen groen'!AY135</f>
        <v/>
      </c>
      <c r="L128" s="124">
        <f>+'Invullen groen'!AZ135</f>
        <v/>
      </c>
      <c r="M128" s="124">
        <f>+'Invullen groen'!BA135</f>
        <v/>
      </c>
      <c r="N128" s="124">
        <f>+'Invullen groen'!BB135</f>
        <v/>
      </c>
      <c r="O128" s="124">
        <f>+'Invullen groen'!BC135</f>
        <v/>
      </c>
      <c r="P128" s="124">
        <f>+'Invullen groen'!BD135</f>
        <v/>
      </c>
    </row>
    <row r="129" ht="15" customHeight="1" s="402">
      <c r="A129" s="8">
        <f>+'Invullen groen'!A136</f>
        <v/>
      </c>
      <c r="B129" s="9">
        <f>+'Invullen groen'!C136</f>
        <v/>
      </c>
      <c r="C129" s="19">
        <f>+'Invullen groen'!G136</f>
        <v/>
      </c>
      <c r="D129" s="10">
        <f>+'Invullen groen'!M136</f>
        <v/>
      </c>
      <c r="E129" s="11">
        <f>+'Invullen groen'!H136</f>
        <v/>
      </c>
      <c r="F129" s="11">
        <f>+'Invullen groen'!I136</f>
        <v/>
      </c>
      <c r="G129" s="11">
        <f>+'Invullen groen'!J136</f>
        <v/>
      </c>
      <c r="H129" s="11">
        <f>+'Invullen groen'!K136</f>
        <v/>
      </c>
      <c r="I129" s="124">
        <f>+'Invullen groen'!AW136</f>
        <v/>
      </c>
      <c r="J129" s="124">
        <f>+'Invullen groen'!AX136</f>
        <v/>
      </c>
      <c r="K129" s="124">
        <f>+'Invullen groen'!AY136</f>
        <v/>
      </c>
      <c r="L129" s="124">
        <f>+'Invullen groen'!AZ136</f>
        <v/>
      </c>
      <c r="M129" s="124">
        <f>+'Invullen groen'!BA136</f>
        <v/>
      </c>
      <c r="N129" s="124">
        <f>+'Invullen groen'!BB136</f>
        <v/>
      </c>
      <c r="O129" s="124">
        <f>+'Invullen groen'!BC136</f>
        <v/>
      </c>
      <c r="P129" s="124">
        <f>+'Invullen groen'!BD136</f>
        <v/>
      </c>
    </row>
    <row r="130" ht="15" customHeight="1" s="402">
      <c r="A130" s="8">
        <f>+'Invullen groen'!A137</f>
        <v/>
      </c>
      <c r="B130" s="9">
        <f>+'Invullen groen'!C137</f>
        <v/>
      </c>
      <c r="C130" s="19">
        <f>+'Invullen groen'!G137</f>
        <v/>
      </c>
      <c r="D130" s="10">
        <f>+'Invullen groen'!M137</f>
        <v/>
      </c>
      <c r="E130" s="11">
        <f>+'Invullen groen'!H137</f>
        <v/>
      </c>
      <c r="F130" s="11">
        <f>+'Invullen groen'!I137</f>
        <v/>
      </c>
      <c r="G130" s="11">
        <f>+'Invullen groen'!J137</f>
        <v/>
      </c>
      <c r="H130" s="11">
        <f>+'Invullen groen'!K137</f>
        <v/>
      </c>
      <c r="I130" s="124">
        <f>+'Invullen groen'!AW137</f>
        <v/>
      </c>
      <c r="J130" s="124">
        <f>+'Invullen groen'!AX137</f>
        <v/>
      </c>
      <c r="K130" s="124">
        <f>+'Invullen groen'!AY137</f>
        <v/>
      </c>
      <c r="L130" s="124">
        <f>+'Invullen groen'!AZ137</f>
        <v/>
      </c>
      <c r="M130" s="124">
        <f>+'Invullen groen'!BA137</f>
        <v/>
      </c>
      <c r="N130" s="124">
        <f>+'Invullen groen'!BB137</f>
        <v/>
      </c>
      <c r="O130" s="124">
        <f>+'Invullen groen'!BC137</f>
        <v/>
      </c>
      <c r="P130" s="124">
        <f>+'Invullen groen'!BD137</f>
        <v/>
      </c>
    </row>
    <row r="131" ht="15" customHeight="1" s="402">
      <c r="A131" s="8">
        <f>+'Invullen groen'!A138</f>
        <v/>
      </c>
      <c r="B131" s="9">
        <f>+'Invullen groen'!C138</f>
        <v/>
      </c>
      <c r="C131" s="19">
        <f>+'Invullen groen'!G138</f>
        <v/>
      </c>
      <c r="D131" s="10">
        <f>+'Invullen groen'!M138</f>
        <v/>
      </c>
      <c r="E131" s="11">
        <f>+'Invullen groen'!H138</f>
        <v/>
      </c>
      <c r="F131" s="11">
        <f>+'Invullen groen'!I138</f>
        <v/>
      </c>
      <c r="G131" s="11">
        <f>+'Invullen groen'!J138</f>
        <v/>
      </c>
      <c r="H131" s="11">
        <f>+'Invullen groen'!K138</f>
        <v/>
      </c>
      <c r="I131" s="124">
        <f>+'Invullen groen'!AW138</f>
        <v/>
      </c>
      <c r="J131" s="124">
        <f>+'Invullen groen'!AX138</f>
        <v/>
      </c>
      <c r="K131" s="124">
        <f>+'Invullen groen'!AY138</f>
        <v/>
      </c>
      <c r="L131" s="124">
        <f>+'Invullen groen'!AZ138</f>
        <v/>
      </c>
      <c r="M131" s="124">
        <f>+'Invullen groen'!BA138</f>
        <v/>
      </c>
      <c r="N131" s="124">
        <f>+'Invullen groen'!BB138</f>
        <v/>
      </c>
      <c r="O131" s="124">
        <f>+'Invullen groen'!BC138</f>
        <v/>
      </c>
      <c r="P131" s="124">
        <f>+'Invullen groen'!BD138</f>
        <v/>
      </c>
    </row>
    <row r="132" ht="15" customHeight="1" s="402">
      <c r="A132" s="8">
        <f>+'Invullen groen'!A139</f>
        <v/>
      </c>
      <c r="B132" s="9">
        <f>+'Invullen groen'!C139</f>
        <v/>
      </c>
      <c r="C132" s="19">
        <f>+'Invullen groen'!G139</f>
        <v/>
      </c>
      <c r="D132" s="10">
        <f>+'Invullen groen'!M139</f>
        <v/>
      </c>
      <c r="E132" s="11">
        <f>+'Invullen groen'!H139</f>
        <v/>
      </c>
      <c r="F132" s="11">
        <f>+'Invullen groen'!I139</f>
        <v/>
      </c>
      <c r="G132" s="11">
        <f>+'Invullen groen'!J139</f>
        <v/>
      </c>
      <c r="H132" s="11">
        <f>+'Invullen groen'!K139</f>
        <v/>
      </c>
      <c r="I132" s="124">
        <f>+'Invullen groen'!AW139</f>
        <v/>
      </c>
      <c r="J132" s="124">
        <f>+'Invullen groen'!AX139</f>
        <v/>
      </c>
      <c r="K132" s="124">
        <f>+'Invullen groen'!AY139</f>
        <v/>
      </c>
      <c r="L132" s="124">
        <f>+'Invullen groen'!AZ139</f>
        <v/>
      </c>
      <c r="M132" s="124">
        <f>+'Invullen groen'!BA139</f>
        <v/>
      </c>
      <c r="N132" s="124">
        <f>+'Invullen groen'!BB139</f>
        <v/>
      </c>
      <c r="O132" s="124">
        <f>+'Invullen groen'!BC139</f>
        <v/>
      </c>
      <c r="P132" s="124">
        <f>+'Invullen groen'!BD139</f>
        <v/>
      </c>
    </row>
    <row r="133" ht="15" customHeight="1" s="402">
      <c r="A133" s="8">
        <f>+'Invullen groen'!A140</f>
        <v/>
      </c>
      <c r="B133" s="9">
        <f>+'Invullen groen'!C140</f>
        <v/>
      </c>
      <c r="C133" s="19">
        <f>+'Invullen groen'!G140</f>
        <v/>
      </c>
      <c r="D133" s="10">
        <f>+'Invullen groen'!M140</f>
        <v/>
      </c>
      <c r="E133" s="11">
        <f>+'Invullen groen'!H140</f>
        <v/>
      </c>
      <c r="F133" s="11">
        <f>+'Invullen groen'!I140</f>
        <v/>
      </c>
      <c r="G133" s="11">
        <f>+'Invullen groen'!J140</f>
        <v/>
      </c>
      <c r="H133" s="11">
        <f>+'Invullen groen'!K140</f>
        <v/>
      </c>
      <c r="I133" s="124">
        <f>+'Invullen groen'!AW140</f>
        <v/>
      </c>
      <c r="J133" s="124">
        <f>+'Invullen groen'!AX140</f>
        <v/>
      </c>
      <c r="K133" s="124">
        <f>+'Invullen groen'!AY140</f>
        <v/>
      </c>
      <c r="L133" s="124">
        <f>+'Invullen groen'!AZ140</f>
        <v/>
      </c>
      <c r="M133" s="124">
        <f>+'Invullen groen'!BA140</f>
        <v/>
      </c>
      <c r="N133" s="124">
        <f>+'Invullen groen'!BB140</f>
        <v/>
      </c>
      <c r="O133" s="124">
        <f>+'Invullen groen'!BC140</f>
        <v/>
      </c>
      <c r="P133" s="124">
        <f>+'Invullen groen'!BD140</f>
        <v/>
      </c>
    </row>
    <row r="134" ht="15" customHeight="1" s="402">
      <c r="A134" s="8">
        <f>+'Invullen groen'!A141</f>
        <v/>
      </c>
      <c r="B134" s="9">
        <f>+'Invullen groen'!C141</f>
        <v/>
      </c>
      <c r="C134" s="19">
        <f>+'Invullen groen'!G141</f>
        <v/>
      </c>
      <c r="D134" s="10">
        <f>+'Invullen groen'!M141</f>
        <v/>
      </c>
      <c r="E134" s="11">
        <f>+'Invullen groen'!H141</f>
        <v/>
      </c>
      <c r="F134" s="11">
        <f>+'Invullen groen'!I141</f>
        <v/>
      </c>
      <c r="G134" s="11">
        <f>+'Invullen groen'!J141</f>
        <v/>
      </c>
      <c r="H134" s="11">
        <f>+'Invullen groen'!K141</f>
        <v/>
      </c>
      <c r="I134" s="124">
        <f>+'Invullen groen'!AW141</f>
        <v/>
      </c>
      <c r="J134" s="124">
        <f>+'Invullen groen'!AX141</f>
        <v/>
      </c>
      <c r="K134" s="124">
        <f>+'Invullen groen'!AY141</f>
        <v/>
      </c>
      <c r="L134" s="124">
        <f>+'Invullen groen'!AZ141</f>
        <v/>
      </c>
      <c r="M134" s="124">
        <f>+'Invullen groen'!BA141</f>
        <v/>
      </c>
      <c r="N134" s="124">
        <f>+'Invullen groen'!BB141</f>
        <v/>
      </c>
      <c r="O134" s="124">
        <f>+'Invullen groen'!BC141</f>
        <v/>
      </c>
      <c r="P134" s="124">
        <f>+'Invullen groen'!BD141</f>
        <v/>
      </c>
    </row>
    <row r="135" ht="15" customHeight="1" s="402">
      <c r="A135" s="8">
        <f>+'Invullen groen'!A142</f>
        <v/>
      </c>
      <c r="B135" s="9">
        <f>+'Invullen groen'!C142</f>
        <v/>
      </c>
      <c r="C135" s="19">
        <f>+'Invullen groen'!G142</f>
        <v/>
      </c>
      <c r="D135" s="10">
        <f>+'Invullen groen'!M142</f>
        <v/>
      </c>
      <c r="E135" s="11">
        <f>+'Invullen groen'!H142</f>
        <v/>
      </c>
      <c r="F135" s="11">
        <f>+'Invullen groen'!I142</f>
        <v/>
      </c>
      <c r="G135" s="11">
        <f>+'Invullen groen'!J142</f>
        <v/>
      </c>
      <c r="H135" s="11">
        <f>+'Invullen groen'!K142</f>
        <v/>
      </c>
      <c r="I135" s="124">
        <f>+'Invullen groen'!AW142</f>
        <v/>
      </c>
      <c r="J135" s="124">
        <f>+'Invullen groen'!AX142</f>
        <v/>
      </c>
      <c r="K135" s="124">
        <f>+'Invullen groen'!AY142</f>
        <v/>
      </c>
      <c r="L135" s="124">
        <f>+'Invullen groen'!AZ142</f>
        <v/>
      </c>
      <c r="M135" s="124">
        <f>+'Invullen groen'!BA142</f>
        <v/>
      </c>
      <c r="N135" s="124">
        <f>+'Invullen groen'!BB142</f>
        <v/>
      </c>
      <c r="O135" s="124">
        <f>+'Invullen groen'!BC142</f>
        <v/>
      </c>
      <c r="P135" s="124">
        <f>+'Invullen groen'!BD142</f>
        <v/>
      </c>
    </row>
    <row r="136" ht="15" customHeight="1" s="402">
      <c r="A136" s="8">
        <f>+'Invullen groen'!A143</f>
        <v/>
      </c>
      <c r="B136" s="9">
        <f>+'Invullen groen'!C143</f>
        <v/>
      </c>
      <c r="C136" s="19">
        <f>+'Invullen groen'!G143</f>
        <v/>
      </c>
      <c r="D136" s="10">
        <f>+'Invullen groen'!M143</f>
        <v/>
      </c>
      <c r="E136" s="11">
        <f>+'Invullen groen'!H143</f>
        <v/>
      </c>
      <c r="F136" s="11">
        <f>+'Invullen groen'!I143</f>
        <v/>
      </c>
      <c r="G136" s="11">
        <f>+'Invullen groen'!J143</f>
        <v/>
      </c>
      <c r="H136" s="11">
        <f>+'Invullen groen'!K143</f>
        <v/>
      </c>
      <c r="I136" s="124">
        <f>+'Invullen groen'!AW143</f>
        <v/>
      </c>
      <c r="J136" s="124">
        <f>+'Invullen groen'!AX143</f>
        <v/>
      </c>
      <c r="K136" s="124">
        <f>+'Invullen groen'!AY143</f>
        <v/>
      </c>
      <c r="L136" s="124">
        <f>+'Invullen groen'!AZ143</f>
        <v/>
      </c>
      <c r="M136" s="124">
        <f>+'Invullen groen'!BA143</f>
        <v/>
      </c>
      <c r="N136" s="124">
        <f>+'Invullen groen'!BB143</f>
        <v/>
      </c>
      <c r="O136" s="124">
        <f>+'Invullen groen'!BC143</f>
        <v/>
      </c>
      <c r="P136" s="124">
        <f>+'Invullen groen'!BD143</f>
        <v/>
      </c>
    </row>
    <row r="137" ht="15" customHeight="1" s="402">
      <c r="A137" s="8">
        <f>+'Invullen groen'!A144</f>
        <v/>
      </c>
      <c r="B137" s="9">
        <f>+'Invullen groen'!C144</f>
        <v/>
      </c>
      <c r="C137" s="19">
        <f>+'Invullen groen'!G144</f>
        <v/>
      </c>
      <c r="D137" s="10">
        <f>+'Invullen groen'!M144</f>
        <v/>
      </c>
      <c r="E137" s="11">
        <f>+'Invullen groen'!H144</f>
        <v/>
      </c>
      <c r="F137" s="11">
        <f>+'Invullen groen'!I144</f>
        <v/>
      </c>
      <c r="G137" s="11">
        <f>+'Invullen groen'!J144</f>
        <v/>
      </c>
      <c r="H137" s="11">
        <f>+'Invullen groen'!K144</f>
        <v/>
      </c>
      <c r="I137" s="124">
        <f>+'Invullen groen'!AW144</f>
        <v/>
      </c>
      <c r="J137" s="124">
        <f>+'Invullen groen'!AX144</f>
        <v/>
      </c>
      <c r="K137" s="124">
        <f>+'Invullen groen'!AY144</f>
        <v/>
      </c>
      <c r="L137" s="124">
        <f>+'Invullen groen'!AZ144</f>
        <v/>
      </c>
      <c r="M137" s="124">
        <f>+'Invullen groen'!BA144</f>
        <v/>
      </c>
      <c r="N137" s="124">
        <f>+'Invullen groen'!BB144</f>
        <v/>
      </c>
      <c r="O137" s="124">
        <f>+'Invullen groen'!BC144</f>
        <v/>
      </c>
      <c r="P137" s="124">
        <f>+'Invullen groen'!BD144</f>
        <v/>
      </c>
    </row>
    <row r="138" ht="15" customHeight="1" s="402">
      <c r="A138" s="8">
        <f>+'Invullen groen'!A145</f>
        <v/>
      </c>
      <c r="B138" s="9">
        <f>+'Invullen groen'!C145</f>
        <v/>
      </c>
      <c r="C138" s="19">
        <f>+'Invullen groen'!G145</f>
        <v/>
      </c>
      <c r="D138" s="10">
        <f>+'Invullen groen'!M145</f>
        <v/>
      </c>
      <c r="E138" s="11">
        <f>+'Invullen groen'!H145</f>
        <v/>
      </c>
      <c r="F138" s="11">
        <f>+'Invullen groen'!I145</f>
        <v/>
      </c>
      <c r="G138" s="11">
        <f>+'Invullen groen'!J145</f>
        <v/>
      </c>
      <c r="H138" s="11">
        <f>+'Invullen groen'!K145</f>
        <v/>
      </c>
      <c r="I138" s="124">
        <f>+'Invullen groen'!AW145</f>
        <v/>
      </c>
      <c r="J138" s="124">
        <f>+'Invullen groen'!AX145</f>
        <v/>
      </c>
      <c r="K138" s="124">
        <f>+'Invullen groen'!AY145</f>
        <v/>
      </c>
      <c r="L138" s="124">
        <f>+'Invullen groen'!AZ145</f>
        <v/>
      </c>
      <c r="M138" s="124">
        <f>+'Invullen groen'!BA145</f>
        <v/>
      </c>
      <c r="N138" s="124">
        <f>+'Invullen groen'!BB145</f>
        <v/>
      </c>
      <c r="O138" s="124">
        <f>+'Invullen groen'!BC145</f>
        <v/>
      </c>
      <c r="P138" s="124">
        <f>+'Invullen groen'!BD145</f>
        <v/>
      </c>
    </row>
    <row r="139" ht="15" customHeight="1" s="402">
      <c r="A139" s="8">
        <f>+'Invullen groen'!A146</f>
        <v/>
      </c>
      <c r="B139" s="9">
        <f>+'Invullen groen'!C146</f>
        <v/>
      </c>
      <c r="C139" s="19">
        <f>+'Invullen groen'!G146</f>
        <v/>
      </c>
      <c r="D139" s="10">
        <f>+'Invullen groen'!M146</f>
        <v/>
      </c>
      <c r="E139" s="11">
        <f>+'Invullen groen'!H146</f>
        <v/>
      </c>
      <c r="F139" s="11">
        <f>+'Invullen groen'!I146</f>
        <v/>
      </c>
      <c r="G139" s="11">
        <f>+'Invullen groen'!J146</f>
        <v/>
      </c>
      <c r="H139" s="11">
        <f>+'Invullen groen'!K146</f>
        <v/>
      </c>
      <c r="I139" s="124">
        <f>+'Invullen groen'!AW146</f>
        <v/>
      </c>
      <c r="J139" s="124">
        <f>+'Invullen groen'!AX146</f>
        <v/>
      </c>
      <c r="K139" s="124">
        <f>+'Invullen groen'!AY146</f>
        <v/>
      </c>
      <c r="L139" s="124">
        <f>+'Invullen groen'!AZ146</f>
        <v/>
      </c>
      <c r="M139" s="124">
        <f>+'Invullen groen'!BA146</f>
        <v/>
      </c>
      <c r="N139" s="124">
        <f>+'Invullen groen'!BB146</f>
        <v/>
      </c>
      <c r="O139" s="124">
        <f>+'Invullen groen'!BC146</f>
        <v/>
      </c>
      <c r="P139" s="124">
        <f>+'Invullen groen'!BD146</f>
        <v/>
      </c>
    </row>
    <row r="140" ht="15" customHeight="1" s="402">
      <c r="A140" s="8">
        <f>+'Invullen groen'!A147</f>
        <v/>
      </c>
      <c r="B140" s="9">
        <f>+'Invullen groen'!C147</f>
        <v/>
      </c>
      <c r="C140" s="19">
        <f>+'Invullen groen'!G147</f>
        <v/>
      </c>
      <c r="D140" s="10">
        <f>+'Invullen groen'!M147</f>
        <v/>
      </c>
      <c r="E140" s="11">
        <f>+'Invullen groen'!H147</f>
        <v/>
      </c>
      <c r="F140" s="11">
        <f>+'Invullen groen'!I147</f>
        <v/>
      </c>
      <c r="G140" s="11">
        <f>+'Invullen groen'!J147</f>
        <v/>
      </c>
      <c r="H140" s="11">
        <f>+'Invullen groen'!K147</f>
        <v/>
      </c>
      <c r="I140" s="124">
        <f>+'Invullen groen'!AW147</f>
        <v/>
      </c>
      <c r="J140" s="124">
        <f>+'Invullen groen'!AX147</f>
        <v/>
      </c>
      <c r="K140" s="124">
        <f>+'Invullen groen'!AY147</f>
        <v/>
      </c>
      <c r="L140" s="124">
        <f>+'Invullen groen'!AZ147</f>
        <v/>
      </c>
      <c r="M140" s="124">
        <f>+'Invullen groen'!BA147</f>
        <v/>
      </c>
      <c r="N140" s="124">
        <f>+'Invullen groen'!BB147</f>
        <v/>
      </c>
      <c r="O140" s="124">
        <f>+'Invullen groen'!BC147</f>
        <v/>
      </c>
      <c r="P140" s="124">
        <f>+'Invullen groen'!BD147</f>
        <v/>
      </c>
    </row>
    <row r="141" ht="15" customHeight="1" s="402">
      <c r="A141" s="8">
        <f>+'Invullen groen'!A148</f>
        <v/>
      </c>
      <c r="B141" s="9">
        <f>+'Invullen groen'!C148</f>
        <v/>
      </c>
      <c r="C141" s="19">
        <f>+'Invullen groen'!G148</f>
        <v/>
      </c>
      <c r="D141" s="10">
        <f>+'Invullen groen'!M148</f>
        <v/>
      </c>
      <c r="E141" s="11">
        <f>+'Invullen groen'!H148</f>
        <v/>
      </c>
      <c r="F141" s="11">
        <f>+'Invullen groen'!I148</f>
        <v/>
      </c>
      <c r="G141" s="11">
        <f>+'Invullen groen'!J148</f>
        <v/>
      </c>
      <c r="H141" s="11">
        <f>+'Invullen groen'!K148</f>
        <v/>
      </c>
      <c r="I141" s="124">
        <f>+'Invullen groen'!AW148</f>
        <v/>
      </c>
      <c r="J141" s="124">
        <f>+'Invullen groen'!AX148</f>
        <v/>
      </c>
      <c r="K141" s="124">
        <f>+'Invullen groen'!AY148</f>
        <v/>
      </c>
      <c r="L141" s="124">
        <f>+'Invullen groen'!AZ148</f>
        <v/>
      </c>
      <c r="M141" s="124">
        <f>+'Invullen groen'!BA148</f>
        <v/>
      </c>
      <c r="N141" s="124">
        <f>+'Invullen groen'!BB148</f>
        <v/>
      </c>
      <c r="O141" s="124">
        <f>+'Invullen groen'!BC148</f>
        <v/>
      </c>
      <c r="P141" s="124">
        <f>+'Invullen groen'!BD148</f>
        <v/>
      </c>
    </row>
    <row r="142" ht="15" customHeight="1" s="402">
      <c r="A142" s="8">
        <f>+'Invullen groen'!A149</f>
        <v/>
      </c>
      <c r="B142" s="9">
        <f>+'Invullen groen'!C149</f>
        <v/>
      </c>
      <c r="C142" s="19">
        <f>+'Invullen groen'!G149</f>
        <v/>
      </c>
      <c r="D142" s="10">
        <f>+'Invullen groen'!M149</f>
        <v/>
      </c>
      <c r="E142" s="11">
        <f>+'Invullen groen'!H149</f>
        <v/>
      </c>
      <c r="F142" s="11">
        <f>+'Invullen groen'!I149</f>
        <v/>
      </c>
      <c r="G142" s="11">
        <f>+'Invullen groen'!J149</f>
        <v/>
      </c>
      <c r="H142" s="11">
        <f>+'Invullen groen'!K149</f>
        <v/>
      </c>
      <c r="I142" s="124">
        <f>+'Invullen groen'!AW149</f>
        <v/>
      </c>
      <c r="J142" s="124">
        <f>+'Invullen groen'!AX149</f>
        <v/>
      </c>
      <c r="K142" s="124">
        <f>+'Invullen groen'!AY149</f>
        <v/>
      </c>
      <c r="L142" s="124">
        <f>+'Invullen groen'!AZ149</f>
        <v/>
      </c>
      <c r="M142" s="124">
        <f>+'Invullen groen'!BA149</f>
        <v/>
      </c>
      <c r="N142" s="124">
        <f>+'Invullen groen'!BB149</f>
        <v/>
      </c>
      <c r="O142" s="124">
        <f>+'Invullen groen'!BC149</f>
        <v/>
      </c>
      <c r="P142" s="124">
        <f>+'Invullen groen'!BD149</f>
        <v/>
      </c>
    </row>
    <row r="143" ht="15" customHeight="1" s="402">
      <c r="A143" s="8">
        <f>+'Invullen groen'!A150</f>
        <v/>
      </c>
      <c r="B143" s="9">
        <f>+'Invullen groen'!C150</f>
        <v/>
      </c>
      <c r="C143" s="19">
        <f>+'Invullen groen'!G150</f>
        <v/>
      </c>
      <c r="D143" s="10">
        <f>+'Invullen groen'!M150</f>
        <v/>
      </c>
      <c r="E143" s="11">
        <f>+'Invullen groen'!H150</f>
        <v/>
      </c>
      <c r="F143" s="11">
        <f>+'Invullen groen'!I150</f>
        <v/>
      </c>
      <c r="G143" s="11">
        <f>+'Invullen groen'!J150</f>
        <v/>
      </c>
      <c r="H143" s="11">
        <f>+'Invullen groen'!K150</f>
        <v/>
      </c>
      <c r="I143" s="124">
        <f>+'Invullen groen'!AW150</f>
        <v/>
      </c>
      <c r="J143" s="124">
        <f>+'Invullen groen'!AX150</f>
        <v/>
      </c>
      <c r="K143" s="124">
        <f>+'Invullen groen'!AY150</f>
        <v/>
      </c>
      <c r="L143" s="124">
        <f>+'Invullen groen'!AZ150</f>
        <v/>
      </c>
      <c r="M143" s="124">
        <f>+'Invullen groen'!BA150</f>
        <v/>
      </c>
      <c r="N143" s="124">
        <f>+'Invullen groen'!BB150</f>
        <v/>
      </c>
      <c r="O143" s="124">
        <f>+'Invullen groen'!BC150</f>
        <v/>
      </c>
      <c r="P143" s="124">
        <f>+'Invullen groen'!BD150</f>
        <v/>
      </c>
    </row>
    <row r="144" ht="15" customHeight="1" s="402">
      <c r="A144" s="8">
        <f>+'Invullen groen'!A151</f>
        <v/>
      </c>
      <c r="B144" s="9">
        <f>+'Invullen groen'!C151</f>
        <v/>
      </c>
      <c r="C144" s="19">
        <f>+'Invullen groen'!G151</f>
        <v/>
      </c>
      <c r="D144" s="10">
        <f>+'Invullen groen'!M151</f>
        <v/>
      </c>
      <c r="E144" s="11">
        <f>+'Invullen groen'!H151</f>
        <v/>
      </c>
      <c r="F144" s="11">
        <f>+'Invullen groen'!I151</f>
        <v/>
      </c>
      <c r="G144" s="11">
        <f>+'Invullen groen'!J151</f>
        <v/>
      </c>
      <c r="H144" s="11">
        <f>+'Invullen groen'!K151</f>
        <v/>
      </c>
      <c r="I144" s="124">
        <f>+'Invullen groen'!AW151</f>
        <v/>
      </c>
      <c r="J144" s="124">
        <f>+'Invullen groen'!AX151</f>
        <v/>
      </c>
      <c r="K144" s="124">
        <f>+'Invullen groen'!AY151</f>
        <v/>
      </c>
      <c r="L144" s="124">
        <f>+'Invullen groen'!AZ151</f>
        <v/>
      </c>
      <c r="M144" s="124">
        <f>+'Invullen groen'!BA151</f>
        <v/>
      </c>
      <c r="N144" s="124">
        <f>+'Invullen groen'!BB151</f>
        <v/>
      </c>
      <c r="O144" s="124">
        <f>+'Invullen groen'!BC151</f>
        <v/>
      </c>
      <c r="P144" s="124">
        <f>+'Invullen groen'!BD151</f>
        <v/>
      </c>
    </row>
    <row r="145" ht="15" customHeight="1" s="402">
      <c r="A145" s="8">
        <f>+'Invullen groen'!A152</f>
        <v/>
      </c>
      <c r="B145" s="9">
        <f>+'Invullen groen'!C152</f>
        <v/>
      </c>
      <c r="C145" s="19">
        <f>+'Invullen groen'!G152</f>
        <v/>
      </c>
      <c r="D145" s="10">
        <f>+'Invullen groen'!M152</f>
        <v/>
      </c>
      <c r="E145" s="11">
        <f>+'Invullen groen'!H152</f>
        <v/>
      </c>
      <c r="F145" s="11">
        <f>+'Invullen groen'!I152</f>
        <v/>
      </c>
      <c r="G145" s="11">
        <f>+'Invullen groen'!J152</f>
        <v/>
      </c>
      <c r="H145" s="11">
        <f>+'Invullen groen'!K152</f>
        <v/>
      </c>
      <c r="I145" s="124">
        <f>+'Invullen groen'!AW152</f>
        <v/>
      </c>
      <c r="J145" s="124">
        <f>+'Invullen groen'!AX152</f>
        <v/>
      </c>
      <c r="K145" s="124">
        <f>+'Invullen groen'!AY152</f>
        <v/>
      </c>
      <c r="L145" s="124">
        <f>+'Invullen groen'!AZ152</f>
        <v/>
      </c>
      <c r="M145" s="124">
        <f>+'Invullen groen'!BA152</f>
        <v/>
      </c>
      <c r="N145" s="124">
        <f>+'Invullen groen'!BB152</f>
        <v/>
      </c>
      <c r="O145" s="124">
        <f>+'Invullen groen'!BC152</f>
        <v/>
      </c>
      <c r="P145" s="124">
        <f>+'Invullen groen'!BD152</f>
        <v/>
      </c>
    </row>
    <row r="146" ht="15" customHeight="1" s="402">
      <c r="A146" s="8">
        <f>+'Invullen groen'!A153</f>
        <v/>
      </c>
      <c r="B146" s="9">
        <f>+'Invullen groen'!C153</f>
        <v/>
      </c>
      <c r="C146" s="19">
        <f>+'Invullen groen'!G153</f>
        <v/>
      </c>
      <c r="D146" s="10">
        <f>+'Invullen groen'!M153</f>
        <v/>
      </c>
      <c r="E146" s="11">
        <f>+'Invullen groen'!H153</f>
        <v/>
      </c>
      <c r="F146" s="11">
        <f>+'Invullen groen'!I153</f>
        <v/>
      </c>
      <c r="G146" s="11">
        <f>+'Invullen groen'!J153</f>
        <v/>
      </c>
      <c r="H146" s="11">
        <f>+'Invullen groen'!K153</f>
        <v/>
      </c>
      <c r="I146" s="124">
        <f>+'Invullen groen'!AW153</f>
        <v/>
      </c>
      <c r="J146" s="124">
        <f>+'Invullen groen'!AX153</f>
        <v/>
      </c>
      <c r="K146" s="124">
        <f>+'Invullen groen'!AY153</f>
        <v/>
      </c>
      <c r="L146" s="124">
        <f>+'Invullen groen'!AZ153</f>
        <v/>
      </c>
      <c r="M146" s="124">
        <f>+'Invullen groen'!BA153</f>
        <v/>
      </c>
      <c r="N146" s="124">
        <f>+'Invullen groen'!BB153</f>
        <v/>
      </c>
      <c r="O146" s="124">
        <f>+'Invullen groen'!BC153</f>
        <v/>
      </c>
      <c r="P146" s="124">
        <f>+'Invullen groen'!BD153</f>
        <v/>
      </c>
    </row>
    <row r="147" ht="15" customHeight="1" s="402">
      <c r="A147" s="8">
        <f>+'Invullen groen'!A154</f>
        <v/>
      </c>
      <c r="B147" s="9">
        <f>+'Invullen groen'!C154</f>
        <v/>
      </c>
      <c r="C147" s="19">
        <f>+'Invullen groen'!G154</f>
        <v/>
      </c>
      <c r="D147" s="10">
        <f>+'Invullen groen'!M154</f>
        <v/>
      </c>
      <c r="E147" s="11">
        <f>+'Invullen groen'!H154</f>
        <v/>
      </c>
      <c r="F147" s="11">
        <f>+'Invullen groen'!I154</f>
        <v/>
      </c>
      <c r="G147" s="11">
        <f>+'Invullen groen'!J154</f>
        <v/>
      </c>
      <c r="H147" s="11">
        <f>+'Invullen groen'!K154</f>
        <v/>
      </c>
      <c r="I147" s="124">
        <f>+'Invullen groen'!AW154</f>
        <v/>
      </c>
      <c r="J147" s="124">
        <f>+'Invullen groen'!AX154</f>
        <v/>
      </c>
      <c r="K147" s="124">
        <f>+'Invullen groen'!AY154</f>
        <v/>
      </c>
      <c r="L147" s="124">
        <f>+'Invullen groen'!AZ154</f>
        <v/>
      </c>
      <c r="M147" s="124">
        <f>+'Invullen groen'!BA154</f>
        <v/>
      </c>
      <c r="N147" s="124">
        <f>+'Invullen groen'!BB154</f>
        <v/>
      </c>
      <c r="O147" s="124">
        <f>+'Invullen groen'!BC154</f>
        <v/>
      </c>
      <c r="P147" s="124">
        <f>+'Invullen groen'!BD154</f>
        <v/>
      </c>
    </row>
    <row r="148" ht="15" customHeight="1" s="402">
      <c r="A148" s="8">
        <f>+'Invullen groen'!A155</f>
        <v/>
      </c>
      <c r="B148" s="9">
        <f>+'Invullen groen'!C155</f>
        <v/>
      </c>
      <c r="C148" s="19">
        <f>+'Invullen groen'!G155</f>
        <v/>
      </c>
      <c r="D148" s="10">
        <f>+'Invullen groen'!M155</f>
        <v/>
      </c>
      <c r="E148" s="11">
        <f>+'Invullen groen'!H155</f>
        <v/>
      </c>
      <c r="F148" s="11">
        <f>+'Invullen groen'!I155</f>
        <v/>
      </c>
      <c r="G148" s="11">
        <f>+'Invullen groen'!J155</f>
        <v/>
      </c>
      <c r="H148" s="11">
        <f>+'Invullen groen'!K155</f>
        <v/>
      </c>
      <c r="I148" s="124">
        <f>+'Invullen groen'!AW155</f>
        <v/>
      </c>
      <c r="J148" s="124">
        <f>+'Invullen groen'!AX155</f>
        <v/>
      </c>
      <c r="K148" s="124">
        <f>+'Invullen groen'!AY155</f>
        <v/>
      </c>
      <c r="L148" s="124">
        <f>+'Invullen groen'!AZ155</f>
        <v/>
      </c>
      <c r="M148" s="124">
        <f>+'Invullen groen'!BA155</f>
        <v/>
      </c>
      <c r="N148" s="124">
        <f>+'Invullen groen'!BB155</f>
        <v/>
      </c>
      <c r="O148" s="124">
        <f>+'Invullen groen'!BC155</f>
        <v/>
      </c>
      <c r="P148" s="124">
        <f>+'Invullen groen'!BD155</f>
        <v/>
      </c>
    </row>
    <row r="149" ht="15" customHeight="1" s="402">
      <c r="A149" s="8">
        <f>+'Invullen groen'!A156</f>
        <v/>
      </c>
      <c r="B149" s="9">
        <f>+'Invullen groen'!C156</f>
        <v/>
      </c>
      <c r="C149" s="19">
        <f>+'Invullen groen'!G156</f>
        <v/>
      </c>
      <c r="D149" s="10">
        <f>+'Invullen groen'!M156</f>
        <v/>
      </c>
      <c r="E149" s="11">
        <f>+'Invullen groen'!H156</f>
        <v/>
      </c>
      <c r="F149" s="11">
        <f>+'Invullen groen'!I156</f>
        <v/>
      </c>
      <c r="G149" s="11">
        <f>+'Invullen groen'!J156</f>
        <v/>
      </c>
      <c r="H149" s="11">
        <f>+'Invullen groen'!K156</f>
        <v/>
      </c>
      <c r="I149" s="124">
        <f>+'Invullen groen'!AW156</f>
        <v/>
      </c>
      <c r="J149" s="124">
        <f>+'Invullen groen'!AX156</f>
        <v/>
      </c>
      <c r="K149" s="124">
        <f>+'Invullen groen'!AY156</f>
        <v/>
      </c>
      <c r="L149" s="124">
        <f>+'Invullen groen'!AZ156</f>
        <v/>
      </c>
      <c r="M149" s="124">
        <f>+'Invullen groen'!BA156</f>
        <v/>
      </c>
      <c r="N149" s="124">
        <f>+'Invullen groen'!BB156</f>
        <v/>
      </c>
      <c r="O149" s="124">
        <f>+'Invullen groen'!BC156</f>
        <v/>
      </c>
      <c r="P149" s="124">
        <f>+'Invullen groen'!BD156</f>
        <v/>
      </c>
    </row>
    <row r="150" ht="15" customHeight="1" s="402">
      <c r="A150" s="8">
        <f>+'Invullen groen'!A157</f>
        <v/>
      </c>
      <c r="B150" s="9">
        <f>+'Invullen groen'!C157</f>
        <v/>
      </c>
      <c r="C150" s="19">
        <f>+'Invullen groen'!G157</f>
        <v/>
      </c>
      <c r="D150" s="10">
        <f>+'Invullen groen'!M157</f>
        <v/>
      </c>
      <c r="E150" s="11">
        <f>+'Invullen groen'!H157</f>
        <v/>
      </c>
      <c r="F150" s="11">
        <f>+'Invullen groen'!I157</f>
        <v/>
      </c>
      <c r="G150" s="11">
        <f>+'Invullen groen'!J157</f>
        <v/>
      </c>
      <c r="H150" s="11">
        <f>+'Invullen groen'!K157</f>
        <v/>
      </c>
      <c r="I150" s="124">
        <f>+'Invullen groen'!AW157</f>
        <v/>
      </c>
      <c r="J150" s="124">
        <f>+'Invullen groen'!AX157</f>
        <v/>
      </c>
      <c r="K150" s="124">
        <f>+'Invullen groen'!AY157</f>
        <v/>
      </c>
      <c r="L150" s="124">
        <f>+'Invullen groen'!AZ157</f>
        <v/>
      </c>
      <c r="M150" s="124">
        <f>+'Invullen groen'!BA157</f>
        <v/>
      </c>
      <c r="N150" s="124">
        <f>+'Invullen groen'!BB157</f>
        <v/>
      </c>
      <c r="O150" s="124">
        <f>+'Invullen groen'!BC157</f>
        <v/>
      </c>
      <c r="P150" s="124">
        <f>+'Invullen groen'!BD157</f>
        <v/>
      </c>
    </row>
    <row r="151" ht="15" customHeight="1" s="402">
      <c r="A151" s="8">
        <f>+'Invullen groen'!A158</f>
        <v/>
      </c>
      <c r="B151" s="9">
        <f>+'Invullen groen'!C158</f>
        <v/>
      </c>
      <c r="C151" s="19">
        <f>+'Invullen groen'!G158</f>
        <v/>
      </c>
      <c r="D151" s="10">
        <f>+'Invullen groen'!M158</f>
        <v/>
      </c>
      <c r="E151" s="11">
        <f>+'Invullen groen'!H158</f>
        <v/>
      </c>
      <c r="F151" s="11">
        <f>+'Invullen groen'!I158</f>
        <v/>
      </c>
      <c r="G151" s="11">
        <f>+'Invullen groen'!J158</f>
        <v/>
      </c>
      <c r="H151" s="11">
        <f>+'Invullen groen'!K158</f>
        <v/>
      </c>
      <c r="I151" s="124">
        <f>+'Invullen groen'!AW158</f>
        <v/>
      </c>
      <c r="J151" s="124">
        <f>+'Invullen groen'!AX158</f>
        <v/>
      </c>
      <c r="K151" s="124">
        <f>+'Invullen groen'!AY158</f>
        <v/>
      </c>
      <c r="L151" s="124">
        <f>+'Invullen groen'!AZ158</f>
        <v/>
      </c>
      <c r="M151" s="124">
        <f>+'Invullen groen'!BA158</f>
        <v/>
      </c>
      <c r="N151" s="124">
        <f>+'Invullen groen'!BB158</f>
        <v/>
      </c>
      <c r="O151" s="124">
        <f>+'Invullen groen'!BC158</f>
        <v/>
      </c>
      <c r="P151" s="124">
        <f>+'Invullen groen'!BD158</f>
        <v/>
      </c>
    </row>
    <row r="152" ht="15" customHeight="1" s="402">
      <c r="A152" s="8">
        <f>+'Invullen groen'!A159</f>
        <v/>
      </c>
      <c r="B152" s="9">
        <f>+'Invullen groen'!C159</f>
        <v/>
      </c>
      <c r="C152" s="19">
        <f>+'Invullen groen'!G159</f>
        <v/>
      </c>
      <c r="D152" s="10">
        <f>+'Invullen groen'!M159</f>
        <v/>
      </c>
      <c r="E152" s="11">
        <f>+'Invullen groen'!H159</f>
        <v/>
      </c>
      <c r="F152" s="11">
        <f>+'Invullen groen'!I159</f>
        <v/>
      </c>
      <c r="G152" s="11">
        <f>+'Invullen groen'!J159</f>
        <v/>
      </c>
      <c r="H152" s="11">
        <f>+'Invullen groen'!K159</f>
        <v/>
      </c>
      <c r="I152" s="124">
        <f>+'Invullen groen'!AW159</f>
        <v/>
      </c>
      <c r="J152" s="124">
        <f>+'Invullen groen'!AX159</f>
        <v/>
      </c>
      <c r="K152" s="124">
        <f>+'Invullen groen'!AY159</f>
        <v/>
      </c>
      <c r="L152" s="124">
        <f>+'Invullen groen'!AZ159</f>
        <v/>
      </c>
      <c r="M152" s="124">
        <f>+'Invullen groen'!BA159</f>
        <v/>
      </c>
      <c r="N152" s="124">
        <f>+'Invullen groen'!BB159</f>
        <v/>
      </c>
      <c r="O152" s="124">
        <f>+'Invullen groen'!BC159</f>
        <v/>
      </c>
      <c r="P152" s="124">
        <f>+'Invullen groen'!BD159</f>
        <v/>
      </c>
    </row>
    <row r="153" ht="15" customHeight="1" s="402">
      <c r="A153" s="8">
        <f>+'Invullen groen'!A160</f>
        <v/>
      </c>
      <c r="B153" s="9">
        <f>+'Invullen groen'!C160</f>
        <v/>
      </c>
      <c r="C153" s="19">
        <f>+'Invullen groen'!G160</f>
        <v/>
      </c>
      <c r="D153" s="10">
        <f>+'Invullen groen'!M160</f>
        <v/>
      </c>
      <c r="E153" s="11">
        <f>+'Invullen groen'!H160</f>
        <v/>
      </c>
      <c r="F153" s="11">
        <f>+'Invullen groen'!I160</f>
        <v/>
      </c>
      <c r="G153" s="11">
        <f>+'Invullen groen'!J160</f>
        <v/>
      </c>
      <c r="H153" s="11">
        <f>+'Invullen groen'!K160</f>
        <v/>
      </c>
      <c r="I153" s="124">
        <f>+'Invullen groen'!AW160</f>
        <v/>
      </c>
      <c r="J153" s="124">
        <f>+'Invullen groen'!AX160</f>
        <v/>
      </c>
      <c r="K153" s="124">
        <f>+'Invullen groen'!AY160</f>
        <v/>
      </c>
      <c r="L153" s="124">
        <f>+'Invullen groen'!AZ160</f>
        <v/>
      </c>
      <c r="M153" s="124">
        <f>+'Invullen groen'!BA160</f>
        <v/>
      </c>
      <c r="N153" s="124">
        <f>+'Invullen groen'!BB160</f>
        <v/>
      </c>
      <c r="O153" s="124">
        <f>+'Invullen groen'!BC160</f>
        <v/>
      </c>
      <c r="P153" s="124">
        <f>+'Invullen groen'!BD160</f>
        <v/>
      </c>
    </row>
    <row r="154" ht="15" customHeight="1" s="402">
      <c r="A154" s="8">
        <f>+'Invullen groen'!A161</f>
        <v/>
      </c>
      <c r="B154" s="9">
        <f>+'Invullen groen'!C161</f>
        <v/>
      </c>
      <c r="C154" s="19">
        <f>+'Invullen groen'!G161</f>
        <v/>
      </c>
      <c r="D154" s="10">
        <f>+'Invullen groen'!M161</f>
        <v/>
      </c>
      <c r="E154" s="11">
        <f>+'Invullen groen'!H161</f>
        <v/>
      </c>
      <c r="F154" s="11">
        <f>+'Invullen groen'!I161</f>
        <v/>
      </c>
      <c r="G154" s="11">
        <f>+'Invullen groen'!J161</f>
        <v/>
      </c>
      <c r="H154" s="11">
        <f>+'Invullen groen'!K161</f>
        <v/>
      </c>
      <c r="I154" s="124">
        <f>+'Invullen groen'!AW161</f>
        <v/>
      </c>
      <c r="J154" s="124">
        <f>+'Invullen groen'!AX161</f>
        <v/>
      </c>
      <c r="K154" s="124">
        <f>+'Invullen groen'!AY161</f>
        <v/>
      </c>
      <c r="L154" s="124">
        <f>+'Invullen groen'!AZ161</f>
        <v/>
      </c>
      <c r="M154" s="124">
        <f>+'Invullen groen'!BA161</f>
        <v/>
      </c>
      <c r="N154" s="124">
        <f>+'Invullen groen'!BB161</f>
        <v/>
      </c>
      <c r="O154" s="124">
        <f>+'Invullen groen'!BC161</f>
        <v/>
      </c>
      <c r="P154" s="124">
        <f>+'Invullen groen'!BD161</f>
        <v/>
      </c>
    </row>
    <row r="155" ht="15" customHeight="1" s="402">
      <c r="A155" s="8">
        <f>+'Invullen groen'!A162</f>
        <v/>
      </c>
      <c r="B155" s="9">
        <f>+'Invullen groen'!C162</f>
        <v/>
      </c>
      <c r="C155" s="19">
        <f>+'Invullen groen'!G162</f>
        <v/>
      </c>
      <c r="D155" s="10">
        <f>+'Invullen groen'!M162</f>
        <v/>
      </c>
      <c r="E155" s="11">
        <f>+'Invullen groen'!H162</f>
        <v/>
      </c>
      <c r="F155" s="11">
        <f>+'Invullen groen'!I162</f>
        <v/>
      </c>
      <c r="G155" s="11">
        <f>+'Invullen groen'!J162</f>
        <v/>
      </c>
      <c r="H155" s="11">
        <f>+'Invullen groen'!K162</f>
        <v/>
      </c>
      <c r="I155" s="124">
        <f>+'Invullen groen'!AW162</f>
        <v/>
      </c>
      <c r="J155" s="124">
        <f>+'Invullen groen'!AX162</f>
        <v/>
      </c>
      <c r="K155" s="124">
        <f>+'Invullen groen'!AY162</f>
        <v/>
      </c>
      <c r="L155" s="124">
        <f>+'Invullen groen'!AZ162</f>
        <v/>
      </c>
      <c r="M155" s="124">
        <f>+'Invullen groen'!BA162</f>
        <v/>
      </c>
      <c r="N155" s="124">
        <f>+'Invullen groen'!BB162</f>
        <v/>
      </c>
      <c r="O155" s="124">
        <f>+'Invullen groen'!BC162</f>
        <v/>
      </c>
      <c r="P155" s="124">
        <f>+'Invullen groen'!BD162</f>
        <v/>
      </c>
    </row>
    <row r="156" ht="15" customHeight="1" s="402">
      <c r="A156" s="8">
        <f>+'Invullen groen'!A163</f>
        <v/>
      </c>
      <c r="B156" s="9">
        <f>+'Invullen groen'!C163</f>
        <v/>
      </c>
      <c r="C156" s="19">
        <f>+'Invullen groen'!G163</f>
        <v/>
      </c>
      <c r="D156" s="10">
        <f>+'Invullen groen'!M163</f>
        <v/>
      </c>
      <c r="E156" s="11">
        <f>+'Invullen groen'!H163</f>
        <v/>
      </c>
      <c r="F156" s="11">
        <f>+'Invullen groen'!I163</f>
        <v/>
      </c>
      <c r="G156" s="11">
        <f>+'Invullen groen'!J163</f>
        <v/>
      </c>
      <c r="H156" s="11">
        <f>+'Invullen groen'!K163</f>
        <v/>
      </c>
      <c r="I156" s="124">
        <f>+'Invullen groen'!AW163</f>
        <v/>
      </c>
      <c r="J156" s="124">
        <f>+'Invullen groen'!AX163</f>
        <v/>
      </c>
      <c r="K156" s="124">
        <f>+'Invullen groen'!AY163</f>
        <v/>
      </c>
      <c r="L156" s="124">
        <f>+'Invullen groen'!AZ163</f>
        <v/>
      </c>
      <c r="M156" s="124">
        <f>+'Invullen groen'!BA163</f>
        <v/>
      </c>
      <c r="N156" s="124">
        <f>+'Invullen groen'!BB163</f>
        <v/>
      </c>
      <c r="O156" s="124">
        <f>+'Invullen groen'!BC163</f>
        <v/>
      </c>
      <c r="P156" s="124">
        <f>+'Invullen groen'!BD163</f>
        <v/>
      </c>
    </row>
    <row r="157" ht="15" customHeight="1" s="402">
      <c r="A157" s="8">
        <f>+'Invullen groen'!A164</f>
        <v/>
      </c>
      <c r="B157" s="9">
        <f>+'Invullen groen'!C164</f>
        <v/>
      </c>
      <c r="C157" s="19">
        <f>+'Invullen groen'!G164</f>
        <v/>
      </c>
      <c r="D157" s="10">
        <f>+'Invullen groen'!M164</f>
        <v/>
      </c>
      <c r="E157" s="11">
        <f>+'Invullen groen'!H164</f>
        <v/>
      </c>
      <c r="F157" s="11">
        <f>+'Invullen groen'!I164</f>
        <v/>
      </c>
      <c r="G157" s="11">
        <f>+'Invullen groen'!J164</f>
        <v/>
      </c>
      <c r="H157" s="11">
        <f>+'Invullen groen'!K164</f>
        <v/>
      </c>
      <c r="I157" s="124">
        <f>+'Invullen groen'!AW164</f>
        <v/>
      </c>
      <c r="J157" s="124">
        <f>+'Invullen groen'!AX164</f>
        <v/>
      </c>
      <c r="K157" s="124">
        <f>+'Invullen groen'!AY164</f>
        <v/>
      </c>
      <c r="L157" s="124">
        <f>+'Invullen groen'!AZ164</f>
        <v/>
      </c>
      <c r="M157" s="124">
        <f>+'Invullen groen'!BA164</f>
        <v/>
      </c>
      <c r="N157" s="124">
        <f>+'Invullen groen'!BB164</f>
        <v/>
      </c>
      <c r="O157" s="124">
        <f>+'Invullen groen'!BC164</f>
        <v/>
      </c>
      <c r="P157" s="124">
        <f>+'Invullen groen'!BD164</f>
        <v/>
      </c>
    </row>
    <row r="158" ht="15" customHeight="1" s="402">
      <c r="A158" s="8">
        <f>+'Invullen groen'!A165</f>
        <v/>
      </c>
      <c r="B158" s="9">
        <f>+'Invullen groen'!C165</f>
        <v/>
      </c>
      <c r="C158" s="19">
        <f>+'Invullen groen'!G165</f>
        <v/>
      </c>
      <c r="D158" s="10">
        <f>+'Invullen groen'!M165</f>
        <v/>
      </c>
      <c r="E158" s="11">
        <f>+'Invullen groen'!H165</f>
        <v/>
      </c>
      <c r="F158" s="11">
        <f>+'Invullen groen'!I165</f>
        <v/>
      </c>
      <c r="G158" s="11">
        <f>+'Invullen groen'!J165</f>
        <v/>
      </c>
      <c r="H158" s="11">
        <f>+'Invullen groen'!K165</f>
        <v/>
      </c>
      <c r="I158" s="124">
        <f>+'Invullen groen'!AW165</f>
        <v/>
      </c>
      <c r="J158" s="124">
        <f>+'Invullen groen'!AX165</f>
        <v/>
      </c>
      <c r="K158" s="124">
        <f>+'Invullen groen'!AY165</f>
        <v/>
      </c>
      <c r="L158" s="124">
        <f>+'Invullen groen'!AZ165</f>
        <v/>
      </c>
      <c r="M158" s="124">
        <f>+'Invullen groen'!BA165</f>
        <v/>
      </c>
      <c r="N158" s="124">
        <f>+'Invullen groen'!BB165</f>
        <v/>
      </c>
      <c r="O158" s="124">
        <f>+'Invullen groen'!BC165</f>
        <v/>
      </c>
      <c r="P158" s="124">
        <f>+'Invullen groen'!BD165</f>
        <v/>
      </c>
    </row>
    <row r="159" ht="15" customHeight="1" s="402">
      <c r="A159" s="8">
        <f>+'Invullen groen'!A166</f>
        <v/>
      </c>
      <c r="B159" s="9">
        <f>+'Invullen groen'!C166</f>
        <v/>
      </c>
      <c r="C159" s="19">
        <f>+'Invullen groen'!G166</f>
        <v/>
      </c>
      <c r="D159" s="10">
        <f>+'Invullen groen'!M166</f>
        <v/>
      </c>
      <c r="E159" s="11">
        <f>+'Invullen groen'!H166</f>
        <v/>
      </c>
      <c r="F159" s="11">
        <f>+'Invullen groen'!I166</f>
        <v/>
      </c>
      <c r="G159" s="11">
        <f>+'Invullen groen'!J166</f>
        <v/>
      </c>
      <c r="H159" s="11">
        <f>+'Invullen groen'!K166</f>
        <v/>
      </c>
      <c r="I159" s="124">
        <f>+'Invullen groen'!AW166</f>
        <v/>
      </c>
      <c r="J159" s="124">
        <f>+'Invullen groen'!AX166</f>
        <v/>
      </c>
      <c r="K159" s="124">
        <f>+'Invullen groen'!AY166</f>
        <v/>
      </c>
      <c r="L159" s="124">
        <f>+'Invullen groen'!AZ166</f>
        <v/>
      </c>
      <c r="M159" s="124">
        <f>+'Invullen groen'!BA166</f>
        <v/>
      </c>
      <c r="N159" s="124">
        <f>+'Invullen groen'!BB166</f>
        <v/>
      </c>
      <c r="O159" s="124">
        <f>+'Invullen groen'!BC166</f>
        <v/>
      </c>
      <c r="P159" s="124">
        <f>+'Invullen groen'!BD166</f>
        <v/>
      </c>
    </row>
    <row r="160" ht="15" customHeight="1" s="402">
      <c r="A160" s="8">
        <f>+'Invullen groen'!A167</f>
        <v/>
      </c>
      <c r="B160" s="9">
        <f>+'Invullen groen'!C167</f>
        <v/>
      </c>
      <c r="C160" s="19">
        <f>+'Invullen groen'!G167</f>
        <v/>
      </c>
      <c r="D160" s="10">
        <f>+'Invullen groen'!M167</f>
        <v/>
      </c>
      <c r="E160" s="13">
        <f>+'Invullen groen'!H167</f>
        <v/>
      </c>
      <c r="F160" s="13">
        <f>+'Invullen groen'!I167</f>
        <v/>
      </c>
      <c r="G160" s="13">
        <f>+'Invullen groen'!J167</f>
        <v/>
      </c>
      <c r="H160" s="13">
        <f>+'Invullen groen'!K167</f>
        <v/>
      </c>
      <c r="I160" s="124">
        <f>+'Invullen groen'!AW167</f>
        <v/>
      </c>
      <c r="J160" s="124">
        <f>+'Invullen groen'!AX167</f>
        <v/>
      </c>
      <c r="K160" s="124">
        <f>+'Invullen groen'!AY167</f>
        <v/>
      </c>
      <c r="L160" s="124">
        <f>+'Invullen groen'!AZ167</f>
        <v/>
      </c>
      <c r="M160" s="124">
        <f>+'Invullen groen'!BA167</f>
        <v/>
      </c>
      <c r="N160" s="124">
        <f>+'Invullen groen'!BB167</f>
        <v/>
      </c>
      <c r="O160" s="124">
        <f>+'Invullen groen'!BC167</f>
        <v/>
      </c>
      <c r="P160" s="124">
        <f>+'Invullen groen'!BD167</f>
        <v/>
      </c>
      <c r="Q160" s="124" t="n"/>
      <c r="R160" s="124" t="n"/>
      <c r="S160" s="124" t="n"/>
      <c r="T160" s="124" t="n"/>
      <c r="U160" s="124" t="n"/>
      <c r="V160" s="124" t="n"/>
      <c r="W160" s="124" t="n"/>
      <c r="X160" s="124" t="n"/>
      <c r="Y160" s="124" t="n"/>
      <c r="Z160" s="124" t="n"/>
      <c r="AA160" s="124" t="n"/>
      <c r="AB160" s="124" t="n"/>
      <c r="AC160" s="124" t="n"/>
      <c r="AD160" s="124" t="n"/>
      <c r="AE160" s="124" t="n"/>
      <c r="AF160" s="124" t="n"/>
      <c r="AG160" s="124" t="n"/>
      <c r="AH160" s="124" t="n"/>
      <c r="AI160" s="124" t="n"/>
      <c r="AJ160" s="124" t="n"/>
      <c r="AK160" s="124" t="n"/>
      <c r="AL160" s="124" t="n"/>
      <c r="AM160" s="124" t="n"/>
      <c r="AN160" s="124" t="n"/>
      <c r="AO160" s="124" t="n"/>
      <c r="AP160" s="124" t="n"/>
      <c r="AQ160" s="124" t="n"/>
      <c r="AR160" s="124" t="n"/>
      <c r="AS160" s="124" t="n"/>
      <c r="AT160" s="124" t="n"/>
      <c r="AU160" s="124" t="n"/>
      <c r="AV160" s="124" t="n"/>
      <c r="AW160" s="124" t="n"/>
      <c r="AX160" s="124" t="n"/>
      <c r="AY160" s="124" t="n"/>
      <c r="AZ160" s="124" t="n"/>
      <c r="BA160" s="124" t="n"/>
      <c r="BB160" s="124" t="n"/>
      <c r="BC160" s="124" t="n"/>
      <c r="BD160" s="124" t="n"/>
      <c r="BE160" s="124" t="n"/>
      <c r="BF160" s="124" t="n"/>
      <c r="BG160" s="124" t="n"/>
      <c r="BH160" s="124" t="n"/>
      <c r="BI160" s="124" t="n"/>
      <c r="BJ160" s="124" t="n"/>
      <c r="BK160" s="124" t="n"/>
      <c r="BL160" s="124" t="n"/>
      <c r="BM160" s="124" t="n"/>
      <c r="BN160" s="124" t="n"/>
      <c r="BO160" s="124" t="n"/>
    </row>
    <row r="161" ht="15" customHeight="1" s="402">
      <c r="A161" s="16">
        <f>+'Invullen groen'!A168</f>
        <v/>
      </c>
      <c r="B161" s="21">
        <f>+'Invullen groen'!C168</f>
        <v/>
      </c>
      <c r="C161" s="20">
        <f>+'Invullen groen'!G168</f>
        <v/>
      </c>
      <c r="D161" s="14">
        <f>+'Invullen groen'!M168</f>
        <v/>
      </c>
      <c r="E161" s="15">
        <f>+'Invullen groen'!H168</f>
        <v/>
      </c>
      <c r="F161" s="15">
        <f>+'Invullen groen'!I168</f>
        <v/>
      </c>
      <c r="G161" s="15">
        <f>+'Invullen groen'!J168</f>
        <v/>
      </c>
      <c r="H161" s="15">
        <f>+'Invullen groen'!K168</f>
        <v/>
      </c>
      <c r="I161" s="133">
        <f>+'Invullen groen'!AW168</f>
        <v/>
      </c>
      <c r="J161" s="133">
        <f>+'Invullen groen'!AX168</f>
        <v/>
      </c>
      <c r="K161" s="133">
        <f>+'Invullen groen'!AY168</f>
        <v/>
      </c>
      <c r="L161" s="133">
        <f>+'Invullen groen'!AZ168</f>
        <v/>
      </c>
      <c r="M161" s="133">
        <f>+'Invullen groen'!BA168</f>
        <v/>
      </c>
      <c r="N161" s="133">
        <f>+'Invullen groen'!BB168</f>
        <v/>
      </c>
      <c r="O161" s="133">
        <f>+'Invullen groen'!BC168</f>
        <v/>
      </c>
      <c r="P161" s="133">
        <f>+'Invullen groen'!BD168</f>
        <v/>
      </c>
      <c r="Q161" s="133" t="n"/>
      <c r="R161" s="133" t="n"/>
      <c r="S161" s="133" t="n"/>
      <c r="T161" s="133" t="n"/>
      <c r="U161" s="133" t="n"/>
      <c r="V161" s="133" t="n"/>
      <c r="W161" s="133" t="n"/>
      <c r="X161" s="133" t="n"/>
      <c r="Y161" s="133" t="n"/>
      <c r="Z161" s="133" t="n"/>
      <c r="AA161" s="133" t="n"/>
      <c r="AB161" s="133" t="n"/>
      <c r="AC161" s="133" t="n"/>
      <c r="AD161" s="133" t="n"/>
      <c r="AE161" s="133" t="n"/>
      <c r="AF161" s="133" t="n"/>
      <c r="AG161" s="133" t="n"/>
      <c r="AH161" s="133" t="n"/>
      <c r="AI161" s="133" t="n"/>
      <c r="AJ161" s="133" t="n"/>
      <c r="AK161" s="133" t="n"/>
      <c r="AL161" s="133" t="n"/>
      <c r="AM161" s="133" t="n"/>
      <c r="AN161" s="133" t="n"/>
      <c r="AO161" s="133" t="n"/>
      <c r="AP161" s="133" t="n"/>
      <c r="AQ161" s="133" t="n"/>
      <c r="AR161" s="133" t="n"/>
      <c r="AS161" s="133" t="n"/>
      <c r="AT161" s="133" t="n"/>
      <c r="AU161" s="133" t="n"/>
      <c r="AV161" s="133" t="n"/>
      <c r="AW161" s="133" t="n"/>
      <c r="AX161" s="133" t="n"/>
      <c r="AY161" s="133" t="n"/>
      <c r="AZ161" s="133" t="n"/>
      <c r="BA161" s="133" t="n"/>
      <c r="BB161" s="133" t="n"/>
      <c r="BC161" s="133" t="n"/>
      <c r="BD161" s="133" t="n"/>
      <c r="BE161" s="133" t="n"/>
      <c r="BF161" s="133" t="n"/>
      <c r="BG161" s="133" t="n"/>
      <c r="BH161" s="133" t="n"/>
      <c r="BI161" s="133" t="n"/>
      <c r="BJ161" s="133" t="n"/>
      <c r="BK161" s="133" t="n"/>
      <c r="BL161" s="133" t="n"/>
      <c r="BM161" s="133" t="n"/>
      <c r="BN161" s="133" t="n"/>
      <c r="BO161" s="133" t="n"/>
    </row>
    <row r="162" ht="15" customFormat="1" customHeight="1" s="22">
      <c r="A162" s="8">
        <f>+'Invullen groen'!A169</f>
        <v/>
      </c>
      <c r="B162" s="9">
        <f>+'Invullen groen'!C169</f>
        <v/>
      </c>
      <c r="C162" s="19">
        <f>+'Invullen groen'!G169</f>
        <v/>
      </c>
      <c r="D162" s="10">
        <f>+'Invullen groen'!M169</f>
        <v/>
      </c>
      <c r="E162" s="11">
        <f>+'Invullen groen'!H169</f>
        <v/>
      </c>
      <c r="F162" s="11">
        <f>+'Invullen groen'!I169</f>
        <v/>
      </c>
      <c r="G162" s="11">
        <f>+'Invullen groen'!J169</f>
        <v/>
      </c>
      <c r="H162" s="11">
        <f>+'Invullen groen'!K169</f>
        <v/>
      </c>
      <c r="I162" s="124">
        <f>+'Invullen groen'!AW169</f>
        <v/>
      </c>
      <c r="J162" s="124">
        <f>+'Invullen groen'!AX169</f>
        <v/>
      </c>
      <c r="K162" s="124">
        <f>+'Invullen groen'!AY169</f>
        <v/>
      </c>
      <c r="L162" s="124">
        <f>+'Invullen groen'!AZ169</f>
        <v/>
      </c>
      <c r="M162" s="124">
        <f>+'Invullen groen'!BA169</f>
        <v/>
      </c>
      <c r="N162" s="124">
        <f>+'Invullen groen'!BB169</f>
        <v/>
      </c>
      <c r="O162" s="124">
        <f>+'Invullen groen'!BC169</f>
        <v/>
      </c>
      <c r="P162" s="124">
        <f>+'Invullen groen'!BD169</f>
        <v/>
      </c>
      <c r="Q162" s="124" t="n"/>
      <c r="R162" s="124" t="n"/>
      <c r="S162" s="124" t="n"/>
      <c r="T162" s="124" t="n"/>
      <c r="U162" s="124" t="n"/>
      <c r="V162" s="124" t="n"/>
      <c r="W162" s="124" t="n"/>
      <c r="X162" s="124" t="n"/>
      <c r="Y162" s="124" t="n"/>
      <c r="Z162" s="124" t="n"/>
      <c r="AA162" s="124" t="n"/>
      <c r="AB162" s="124" t="n"/>
      <c r="AC162" s="124" t="n"/>
      <c r="AD162" s="124" t="n"/>
      <c r="AE162" s="124" t="n"/>
      <c r="AF162" s="124" t="n"/>
      <c r="AG162" s="124" t="n"/>
      <c r="AH162" s="124" t="n"/>
      <c r="AI162" s="124" t="n"/>
      <c r="AJ162" s="124" t="n"/>
      <c r="AK162" s="124" t="n"/>
      <c r="AL162" s="124" t="n"/>
      <c r="AM162" s="124" t="n"/>
      <c r="AN162" s="124" t="n"/>
      <c r="AO162" s="124" t="n"/>
      <c r="AP162" s="124" t="n"/>
      <c r="AQ162" s="124" t="n"/>
      <c r="AR162" s="124" t="n"/>
      <c r="AS162" s="124" t="n"/>
      <c r="AT162" s="124" t="n"/>
      <c r="AU162" s="124" t="n"/>
      <c r="AV162" s="124" t="n"/>
      <c r="AW162" s="124" t="n"/>
      <c r="AX162" s="124" t="n"/>
      <c r="AY162" s="124" t="n"/>
      <c r="AZ162" s="124" t="n"/>
      <c r="BA162" s="124" t="n"/>
      <c r="BB162" s="124" t="n"/>
      <c r="BC162" s="124" t="n"/>
      <c r="BD162" s="124" t="n"/>
      <c r="BE162" s="124" t="n"/>
      <c r="BF162" s="124" t="n"/>
      <c r="BG162" s="124" t="n"/>
      <c r="BH162" s="124" t="n"/>
      <c r="BI162" s="124" t="n"/>
      <c r="BJ162" s="124" t="n"/>
      <c r="BK162" s="124" t="n"/>
      <c r="BL162" s="124" t="n"/>
      <c r="BM162" s="124" t="n"/>
      <c r="BN162" s="124" t="n"/>
      <c r="BO162" s="124" t="n"/>
    </row>
    <row r="163" ht="15" customHeight="1" s="402">
      <c r="A163" s="148">
        <f>+'Invullen groen'!A170</f>
        <v/>
      </c>
      <c r="B163" s="149">
        <f>+'Invullen groen'!C170</f>
        <v/>
      </c>
      <c r="C163" s="150">
        <f>+'Invullen groen'!G170</f>
        <v/>
      </c>
      <c r="D163" s="151">
        <f>+'Invullen groen'!M170</f>
        <v/>
      </c>
      <c r="E163" s="152">
        <f>+'Invullen groen'!H170</f>
        <v/>
      </c>
      <c r="F163" s="152">
        <f>+'Invullen groen'!I170</f>
        <v/>
      </c>
      <c r="G163" s="152">
        <f>+'Invullen groen'!J170</f>
        <v/>
      </c>
      <c r="H163" s="152">
        <f>+'Invullen groen'!K170</f>
        <v/>
      </c>
      <c r="I163" s="85">
        <f>+'Invullen groen'!AW170</f>
        <v/>
      </c>
      <c r="J163" s="85">
        <f>+'Invullen groen'!AX170</f>
        <v/>
      </c>
      <c r="K163" s="85">
        <f>+'Invullen groen'!AY170</f>
        <v/>
      </c>
      <c r="L163" s="85">
        <f>+'Invullen groen'!AZ170</f>
        <v/>
      </c>
      <c r="M163" s="85">
        <f>+'Invullen groen'!BA170</f>
        <v/>
      </c>
      <c r="N163" s="85">
        <f>+'Invullen groen'!BB170</f>
        <v/>
      </c>
      <c r="O163" s="85">
        <f>+'Invullen groen'!BC170</f>
        <v/>
      </c>
      <c r="P163" s="85">
        <f>+'Invullen groen'!BD170</f>
        <v/>
      </c>
      <c r="Q163" s="85" t="n"/>
      <c r="R163" s="124" t="n"/>
      <c r="S163" s="124" t="n"/>
      <c r="T163" s="124" t="n"/>
      <c r="U163" s="124" t="n"/>
      <c r="V163" s="124" t="n"/>
      <c r="W163" s="124" t="n"/>
      <c r="X163" s="124" t="n"/>
      <c r="Y163" s="124" t="n"/>
      <c r="Z163" s="124" t="n"/>
      <c r="AA163" s="124" t="n"/>
      <c r="AB163" s="124" t="n"/>
      <c r="AC163" s="124" t="n"/>
      <c r="AD163" s="124" t="n"/>
      <c r="AE163" s="124" t="n"/>
      <c r="AF163" s="124" t="n"/>
      <c r="AG163" s="124" t="n"/>
      <c r="AH163" s="124" t="n"/>
      <c r="AI163" s="124" t="n"/>
      <c r="AJ163" s="124" t="n"/>
      <c r="AK163" s="124" t="n"/>
      <c r="AL163" s="124" t="n"/>
      <c r="AM163" s="124" t="n"/>
      <c r="AN163" s="124" t="n"/>
      <c r="AO163" s="124" t="n"/>
      <c r="AP163" s="124" t="n"/>
      <c r="AQ163" s="124" t="n"/>
      <c r="AR163" s="124" t="n"/>
      <c r="AS163" s="124" t="n"/>
      <c r="AT163" s="124" t="n"/>
      <c r="AU163" s="124" t="n"/>
      <c r="AV163" s="124" t="n"/>
      <c r="AW163" s="124" t="n"/>
      <c r="AX163" s="124" t="n"/>
      <c r="AY163" s="124" t="n"/>
      <c r="AZ163" s="124" t="n"/>
      <c r="BA163" s="124" t="n"/>
      <c r="BB163" s="124" t="n"/>
      <c r="BC163" s="124" t="n"/>
      <c r="BD163" s="124" t="n"/>
      <c r="BE163" s="124" t="n"/>
      <c r="BF163" s="124" t="n"/>
      <c r="BG163" s="124" t="n"/>
      <c r="BH163" s="124" t="n"/>
      <c r="BI163" s="124" t="n"/>
      <c r="BJ163" s="124" t="n"/>
      <c r="BK163" s="124" t="n"/>
      <c r="BL163" s="124" t="n"/>
      <c r="BM163" s="124" t="n"/>
      <c r="BN163" s="124" t="n"/>
      <c r="BO163" s="124" t="n"/>
    </row>
    <row r="164" ht="15" customHeight="1" s="402">
      <c r="A164" s="8">
        <f>+'Invullen groen'!A171</f>
        <v/>
      </c>
      <c r="B164" s="9">
        <f>+'Invullen groen'!C171</f>
        <v/>
      </c>
      <c r="C164" s="19">
        <f>+'Invullen groen'!G171</f>
        <v/>
      </c>
      <c r="D164" s="10">
        <f>+'Invullen groen'!M171</f>
        <v/>
      </c>
      <c r="E164" s="11">
        <f>+'Invullen groen'!H171</f>
        <v/>
      </c>
      <c r="F164" s="11">
        <f>+'Invullen groen'!I171</f>
        <v/>
      </c>
      <c r="G164" s="11">
        <f>+'Invullen groen'!J171</f>
        <v/>
      </c>
      <c r="H164" s="11">
        <f>+'Invullen groen'!K171</f>
        <v/>
      </c>
      <c r="I164" s="124">
        <f>+'Invullen groen'!AW171</f>
        <v/>
      </c>
      <c r="J164" s="124">
        <f>+'Invullen groen'!AX171</f>
        <v/>
      </c>
      <c r="K164" s="124">
        <f>+'Invullen groen'!AY171</f>
        <v/>
      </c>
      <c r="L164" s="124">
        <f>+'Invullen groen'!AZ171</f>
        <v/>
      </c>
      <c r="M164" s="124">
        <f>+'Invullen groen'!BA171</f>
        <v/>
      </c>
      <c r="N164" s="124">
        <f>+'Invullen groen'!BB171</f>
        <v/>
      </c>
      <c r="O164" s="124">
        <f>+'Invullen groen'!BC171</f>
        <v/>
      </c>
      <c r="P164" s="124">
        <f>+'Invullen groen'!BD171</f>
        <v/>
      </c>
      <c r="Q164" s="124" t="n"/>
      <c r="R164" s="124" t="n"/>
      <c r="S164" s="124" t="n"/>
      <c r="T164" s="124" t="n"/>
      <c r="U164" s="124" t="n"/>
      <c r="V164" s="124" t="n"/>
      <c r="W164" s="124" t="n"/>
      <c r="X164" s="124" t="n"/>
      <c r="Y164" s="124" t="n"/>
      <c r="Z164" s="124" t="n"/>
      <c r="AA164" s="124" t="n"/>
      <c r="AB164" s="124" t="n"/>
      <c r="AC164" s="124" t="n"/>
      <c r="AD164" s="124" t="n"/>
      <c r="AE164" s="124" t="n"/>
      <c r="AF164" s="124" t="n"/>
      <c r="AG164" s="124" t="n"/>
      <c r="AH164" s="124" t="n"/>
      <c r="AI164" s="124" t="n"/>
      <c r="AJ164" s="124" t="n"/>
      <c r="AK164" s="124" t="n"/>
      <c r="AL164" s="124" t="n"/>
      <c r="AM164" s="124" t="n"/>
      <c r="AN164" s="124" t="n"/>
      <c r="AO164" s="124" t="n"/>
      <c r="AP164" s="124" t="n"/>
      <c r="AQ164" s="124" t="n"/>
      <c r="AR164" s="124" t="n"/>
      <c r="AS164" s="124" t="n"/>
      <c r="AT164" s="124" t="n"/>
      <c r="AU164" s="124" t="n"/>
      <c r="AV164" s="124" t="n"/>
      <c r="AW164" s="124" t="n"/>
      <c r="AX164" s="124" t="n"/>
      <c r="AY164" s="124" t="n"/>
      <c r="AZ164" s="124" t="n"/>
      <c r="BA164" s="124" t="n"/>
      <c r="BB164" s="124" t="n"/>
      <c r="BC164" s="124" t="n"/>
      <c r="BD164" s="124" t="n"/>
      <c r="BE164" s="124" t="n"/>
      <c r="BF164" s="124" t="n"/>
      <c r="BG164" s="124" t="n"/>
      <c r="BH164" s="124" t="n"/>
      <c r="BI164" s="124" t="n"/>
      <c r="BJ164" s="124" t="n"/>
      <c r="BK164" s="124" t="n"/>
      <c r="BL164" s="124" t="n"/>
      <c r="BM164" s="124" t="n"/>
      <c r="BN164" s="124" t="n"/>
      <c r="BO164" s="124" t="n"/>
    </row>
    <row r="165" ht="12.75" customHeight="1" s="402">
      <c r="A165" s="8">
        <f>+'Invullen groen'!A171</f>
        <v/>
      </c>
      <c r="B165" s="9">
        <f>+'Invullen groen'!C171</f>
        <v/>
      </c>
      <c r="C165" s="19">
        <f>+'Invullen groen'!G171</f>
        <v/>
      </c>
      <c r="D165" s="10">
        <f>+'Invullen groen'!M171</f>
        <v/>
      </c>
      <c r="E165" s="11">
        <f>+'Invullen groen'!H171</f>
        <v/>
      </c>
      <c r="F165" s="11">
        <f>+'Invullen groen'!I171</f>
        <v/>
      </c>
      <c r="G165" s="11">
        <f>+'Invullen groen'!J171</f>
        <v/>
      </c>
      <c r="H165" s="11">
        <f>+'Invullen groen'!K171</f>
        <v/>
      </c>
      <c r="I165" s="124">
        <f>+'Invullen groen'!AW171</f>
        <v/>
      </c>
      <c r="J165" s="124">
        <f>+'Invullen groen'!AX171</f>
        <v/>
      </c>
      <c r="K165" s="124">
        <f>+'Invullen groen'!AY171</f>
        <v/>
      </c>
      <c r="L165" s="124">
        <f>+'Invullen groen'!AZ171</f>
        <v/>
      </c>
      <c r="M165" s="124">
        <f>+'Invullen groen'!BA171</f>
        <v/>
      </c>
      <c r="N165" s="124">
        <f>+'Invullen groen'!BB171</f>
        <v/>
      </c>
      <c r="O165" s="124">
        <f>+'Invullen groen'!BC171</f>
        <v/>
      </c>
      <c r="P165" s="124">
        <f>+'Invullen groen'!BD171</f>
        <v/>
      </c>
      <c r="Q165" s="124" t="n"/>
      <c r="R165" s="124" t="n"/>
      <c r="S165" s="124" t="n"/>
      <c r="T165" s="124" t="n"/>
      <c r="U165" s="124" t="n"/>
      <c r="V165" s="124" t="n"/>
      <c r="W165" s="124" t="n"/>
      <c r="X165" s="124" t="n"/>
      <c r="Y165" s="124" t="n"/>
      <c r="Z165" s="124" t="n"/>
      <c r="AA165" s="124" t="n"/>
      <c r="AB165" s="124" t="n"/>
      <c r="AC165" s="124" t="n"/>
      <c r="AD165" s="124" t="n"/>
      <c r="AE165" s="124" t="n"/>
      <c r="AF165" s="124" t="n"/>
      <c r="AG165" s="124" t="n"/>
      <c r="AH165" s="124" t="n"/>
      <c r="AI165" s="124" t="n"/>
      <c r="AJ165" s="124" t="n"/>
      <c r="AK165" s="124" t="n"/>
      <c r="AL165" s="124" t="n"/>
      <c r="AM165" s="124" t="n"/>
      <c r="AN165" s="124" t="n"/>
      <c r="AO165" s="124" t="n"/>
      <c r="AP165" s="124" t="n"/>
      <c r="AQ165" s="124" t="n"/>
      <c r="AR165" s="124" t="n"/>
      <c r="AS165" s="124" t="n"/>
      <c r="AT165" s="124" t="n"/>
      <c r="AU165" s="124" t="n"/>
      <c r="AV165" s="124" t="n"/>
      <c r="AW165" s="124" t="n"/>
      <c r="AX165" s="124" t="n"/>
      <c r="AY165" s="124" t="n"/>
      <c r="AZ165" s="124" t="n"/>
      <c r="BA165" s="124" t="n"/>
      <c r="BB165" s="124" t="n"/>
      <c r="BC165" s="124" t="n"/>
      <c r="BD165" s="124" t="n"/>
      <c r="BE165" s="124" t="n"/>
      <c r="BF165" s="124" t="n"/>
      <c r="BG165" s="124" t="n"/>
      <c r="BH165" s="124" t="n"/>
      <c r="BI165" s="124" t="n"/>
      <c r="BJ165" s="124" t="n"/>
      <c r="BK165" s="124" t="n"/>
      <c r="BL165" s="124" t="n"/>
      <c r="BM165" s="124" t="n"/>
      <c r="BN165" s="124" t="n"/>
      <c r="BO165" s="124" t="n"/>
    </row>
    <row r="166" ht="15" customHeight="1" s="402">
      <c r="A166" s="8">
        <f>+'Invullen groen'!A172</f>
        <v/>
      </c>
      <c r="B166" s="9">
        <f>+'Invullen groen'!C172</f>
        <v/>
      </c>
      <c r="C166" s="19">
        <f>+'Invullen groen'!G172</f>
        <v/>
      </c>
      <c r="D166" s="10">
        <f>+'Invullen groen'!M172</f>
        <v/>
      </c>
      <c r="E166" s="11">
        <f>+'Invullen groen'!H172</f>
        <v/>
      </c>
      <c r="F166" s="11">
        <f>+'Invullen groen'!I172</f>
        <v/>
      </c>
      <c r="G166" s="11">
        <f>+'Invullen groen'!J172</f>
        <v/>
      </c>
      <c r="H166" s="11">
        <f>+'Invullen groen'!K172</f>
        <v/>
      </c>
      <c r="I166" s="124">
        <f>+'Invullen groen'!AW172</f>
        <v/>
      </c>
      <c r="J166" s="124">
        <f>+'Invullen groen'!AX172</f>
        <v/>
      </c>
      <c r="K166" s="124">
        <f>+'Invullen groen'!AY172</f>
        <v/>
      </c>
      <c r="L166" s="124">
        <f>+'Invullen groen'!AZ172</f>
        <v/>
      </c>
      <c r="M166" s="124">
        <f>+'Invullen groen'!BA172</f>
        <v/>
      </c>
      <c r="N166" s="124">
        <f>+'Invullen groen'!BB172</f>
        <v/>
      </c>
      <c r="O166" s="124">
        <f>+'Invullen groen'!BC172</f>
        <v/>
      </c>
      <c r="P166" s="124">
        <f>+'Invullen groen'!BD172</f>
        <v/>
      </c>
      <c r="Q166" s="124" t="n"/>
      <c r="R166" s="124" t="n"/>
      <c r="S166" s="124" t="n"/>
      <c r="T166" s="124" t="n"/>
      <c r="U166" s="124" t="n"/>
      <c r="V166" s="124" t="n"/>
      <c r="W166" s="124" t="n"/>
      <c r="X166" s="124" t="n"/>
      <c r="Y166" s="124" t="n"/>
      <c r="Z166" s="124" t="n"/>
      <c r="AA166" s="124" t="n"/>
      <c r="AB166" s="124" t="n"/>
      <c r="AC166" s="124" t="n"/>
      <c r="AD166" s="124" t="n"/>
      <c r="AE166" s="124" t="n"/>
      <c r="AF166" s="124" t="n"/>
      <c r="AG166" s="124" t="n"/>
      <c r="AH166" s="124" t="n"/>
      <c r="AI166" s="124" t="n"/>
      <c r="AJ166" s="124" t="n"/>
      <c r="AK166" s="124" t="n"/>
      <c r="AL166" s="124" t="n"/>
      <c r="AM166" s="124" t="n"/>
      <c r="AN166" s="124" t="n"/>
      <c r="AO166" s="124" t="n"/>
      <c r="AP166" s="124" t="n"/>
      <c r="AQ166" s="124" t="n"/>
      <c r="AR166" s="124" t="n"/>
      <c r="AS166" s="124" t="n"/>
      <c r="AT166" s="124" t="n"/>
      <c r="AU166" s="124" t="n"/>
      <c r="AV166" s="124" t="n"/>
      <c r="AW166" s="124" t="n"/>
      <c r="AX166" s="124" t="n"/>
      <c r="AY166" s="124" t="n"/>
      <c r="AZ166" s="124" t="n"/>
      <c r="BA166" s="124" t="n"/>
      <c r="BB166" s="124" t="n"/>
      <c r="BC166" s="124" t="n"/>
      <c r="BD166" s="124" t="n"/>
      <c r="BE166" s="124" t="n"/>
      <c r="BF166" s="124" t="n"/>
      <c r="BG166" s="124" t="n"/>
      <c r="BH166" s="124" t="n"/>
      <c r="BI166" s="124" t="n"/>
      <c r="BJ166" s="124" t="n"/>
      <c r="BK166" s="124" t="n"/>
      <c r="BL166" s="124" t="n"/>
      <c r="BM166" s="124" t="n"/>
      <c r="BN166" s="124" t="n"/>
      <c r="BO166" s="124" t="n"/>
    </row>
    <row r="167" ht="15" customHeight="1" s="402">
      <c r="A167" s="8">
        <f>+'Invullen groen'!A173</f>
        <v/>
      </c>
      <c r="B167" s="9">
        <f>+'Invullen groen'!C173</f>
        <v/>
      </c>
      <c r="C167" s="19">
        <f>+'Invullen groen'!G173</f>
        <v/>
      </c>
      <c r="D167" s="10">
        <f>+'Invullen groen'!M173</f>
        <v/>
      </c>
      <c r="E167" s="11">
        <f>+'Invullen groen'!H173</f>
        <v/>
      </c>
      <c r="F167" s="11">
        <f>+'Invullen groen'!I173</f>
        <v/>
      </c>
      <c r="G167" s="11">
        <f>+'Invullen groen'!J173</f>
        <v/>
      </c>
      <c r="H167" s="11">
        <f>+'Invullen groen'!K173</f>
        <v/>
      </c>
      <c r="I167" s="124">
        <f>+'Invullen groen'!AW173</f>
        <v/>
      </c>
      <c r="J167" s="124">
        <f>+'Invullen groen'!AX173</f>
        <v/>
      </c>
      <c r="K167" s="124">
        <f>+'Invullen groen'!AY173</f>
        <v/>
      </c>
      <c r="L167" s="124">
        <f>+'Invullen groen'!AZ173</f>
        <v/>
      </c>
      <c r="M167" s="124">
        <f>+'Invullen groen'!BA173</f>
        <v/>
      </c>
      <c r="N167" s="124">
        <f>+'Invullen groen'!BB173</f>
        <v/>
      </c>
      <c r="O167" s="124">
        <f>+'Invullen groen'!BC173</f>
        <v/>
      </c>
      <c r="P167" s="124">
        <f>+'Invullen groen'!BD173</f>
        <v/>
      </c>
      <c r="Q167" s="124" t="n"/>
      <c r="R167" s="124" t="n"/>
      <c r="S167" s="124" t="n"/>
      <c r="T167" s="124" t="n"/>
      <c r="U167" s="124" t="n"/>
      <c r="V167" s="124" t="n"/>
      <c r="W167" s="124" t="n"/>
      <c r="X167" s="124" t="n"/>
      <c r="Y167" s="124" t="n"/>
      <c r="Z167" s="124" t="n"/>
      <c r="AA167" s="124" t="n"/>
      <c r="AB167" s="124" t="n"/>
      <c r="AC167" s="124" t="n"/>
      <c r="AD167" s="124" t="n"/>
      <c r="AE167" s="124" t="n"/>
      <c r="AF167" s="124" t="n"/>
      <c r="AG167" s="124" t="n"/>
      <c r="AH167" s="124" t="n"/>
      <c r="AI167" s="124" t="n"/>
      <c r="AJ167" s="124" t="n"/>
      <c r="AK167" s="124" t="n"/>
      <c r="AL167" s="124" t="n"/>
      <c r="AM167" s="124" t="n"/>
      <c r="AN167" s="124" t="n"/>
      <c r="AO167" s="124" t="n"/>
      <c r="AP167" s="124" t="n"/>
      <c r="AQ167" s="124" t="n"/>
      <c r="AR167" s="124" t="n"/>
      <c r="AS167" s="124" t="n"/>
      <c r="AT167" s="124" t="n"/>
      <c r="AU167" s="124" t="n"/>
      <c r="AV167" s="124" t="n"/>
      <c r="AW167" s="124" t="n"/>
      <c r="AX167" s="124" t="n"/>
      <c r="AY167" s="124" t="n"/>
      <c r="AZ167" s="124" t="n"/>
      <c r="BA167" s="124" t="n"/>
      <c r="BB167" s="124" t="n"/>
      <c r="BC167" s="124" t="n"/>
      <c r="BD167" s="124" t="n"/>
      <c r="BE167" s="124" t="n"/>
      <c r="BF167" s="124" t="n"/>
      <c r="BG167" s="124" t="n"/>
      <c r="BH167" s="124" t="n"/>
      <c r="BI167" s="124" t="n"/>
      <c r="BJ167" s="124" t="n"/>
      <c r="BK167" s="124" t="n"/>
      <c r="BL167" s="124" t="n"/>
      <c r="BM167" s="124" t="n"/>
      <c r="BN167" s="124" t="n"/>
      <c r="BO167" s="124" t="n"/>
    </row>
    <row r="168" ht="15" customHeight="1" s="402">
      <c r="A168" s="8">
        <f>+'Invullen groen'!A174</f>
        <v/>
      </c>
      <c r="B168" s="9">
        <f>+'Invullen groen'!C174</f>
        <v/>
      </c>
      <c r="C168" s="19">
        <f>+'Invullen groen'!G174</f>
        <v/>
      </c>
      <c r="D168" s="10">
        <f>+'Invullen groen'!M174</f>
        <v/>
      </c>
      <c r="E168" s="11">
        <f>+'Invullen groen'!H174</f>
        <v/>
      </c>
      <c r="F168" s="11">
        <f>+'Invullen groen'!I174</f>
        <v/>
      </c>
      <c r="G168" s="11">
        <f>+'Invullen groen'!J174</f>
        <v/>
      </c>
      <c r="H168" s="11">
        <f>+'Invullen groen'!K174</f>
        <v/>
      </c>
      <c r="I168" s="124">
        <f>+'Invullen groen'!AW174</f>
        <v/>
      </c>
      <c r="J168" s="124">
        <f>+'Invullen groen'!AX174</f>
        <v/>
      </c>
      <c r="K168" s="124">
        <f>+'Invullen groen'!AY174</f>
        <v/>
      </c>
      <c r="L168" s="124">
        <f>+'Invullen groen'!AZ174</f>
        <v/>
      </c>
      <c r="M168" s="124">
        <f>+'Invullen groen'!BA174</f>
        <v/>
      </c>
      <c r="N168" s="124">
        <f>+'Invullen groen'!BB174</f>
        <v/>
      </c>
      <c r="O168" s="124">
        <f>+'Invullen groen'!BC174</f>
        <v/>
      </c>
      <c r="P168" s="124">
        <f>+'Invullen groen'!BD174</f>
        <v/>
      </c>
      <c r="Q168" s="124" t="n"/>
      <c r="R168" s="124" t="n"/>
      <c r="S168" s="124" t="n"/>
      <c r="T168" s="124" t="n"/>
      <c r="U168" s="124" t="n"/>
      <c r="V168" s="124" t="n"/>
      <c r="W168" s="124" t="n"/>
      <c r="X168" s="124" t="n"/>
      <c r="Y168" s="124" t="n"/>
      <c r="Z168" s="124" t="n"/>
      <c r="AA168" s="124" t="n"/>
      <c r="AB168" s="124" t="n"/>
      <c r="AC168" s="124" t="n"/>
      <c r="AD168" s="124" t="n"/>
      <c r="AE168" s="124" t="n"/>
      <c r="AF168" s="124" t="n"/>
      <c r="AG168" s="124" t="n"/>
      <c r="AH168" s="124" t="n"/>
      <c r="AI168" s="124" t="n"/>
      <c r="AJ168" s="124" t="n"/>
      <c r="AK168" s="124" t="n"/>
      <c r="AL168" s="124" t="n"/>
      <c r="AM168" s="124" t="n"/>
      <c r="AN168" s="124" t="n"/>
      <c r="AO168" s="124" t="n"/>
      <c r="AP168" s="124" t="n"/>
      <c r="AQ168" s="124" t="n"/>
      <c r="AR168" s="124" t="n"/>
      <c r="AS168" s="124" t="n"/>
      <c r="AT168" s="124" t="n"/>
      <c r="AU168" s="124" t="n"/>
      <c r="AV168" s="124" t="n"/>
      <c r="AW168" s="124" t="n"/>
      <c r="AX168" s="124" t="n"/>
      <c r="AY168" s="124" t="n"/>
      <c r="AZ168" s="124" t="n"/>
      <c r="BA168" s="124" t="n"/>
      <c r="BB168" s="124" t="n"/>
      <c r="BC168" s="124" t="n"/>
      <c r="BD168" s="124" t="n"/>
      <c r="BE168" s="124" t="n"/>
      <c r="BF168" s="124" t="n"/>
      <c r="BG168" s="124" t="n"/>
      <c r="BH168" s="124" t="n"/>
      <c r="BI168" s="124" t="n"/>
      <c r="BJ168" s="124" t="n"/>
      <c r="BK168" s="124" t="n"/>
      <c r="BL168" s="124" t="n"/>
      <c r="BM168" s="124" t="n"/>
      <c r="BN168" s="124" t="n"/>
      <c r="BO168" s="124" t="n"/>
    </row>
    <row r="169" ht="15" customHeight="1" s="402">
      <c r="A169" s="8">
        <f>+'Invullen groen'!A175</f>
        <v/>
      </c>
      <c r="B169" s="9">
        <f>+'Invullen groen'!C175</f>
        <v/>
      </c>
      <c r="C169" s="19">
        <f>+'Invullen groen'!G175</f>
        <v/>
      </c>
      <c r="D169" s="10">
        <f>+'Invullen groen'!M175</f>
        <v/>
      </c>
      <c r="E169" s="11">
        <f>+'Invullen groen'!H175</f>
        <v/>
      </c>
      <c r="F169" s="11">
        <f>+'Invullen groen'!I175</f>
        <v/>
      </c>
      <c r="G169" s="11">
        <f>+'Invullen groen'!J175</f>
        <v/>
      </c>
      <c r="H169" s="11">
        <f>+'Invullen groen'!K175</f>
        <v/>
      </c>
      <c r="I169" s="124">
        <f>+'Invullen groen'!AW175</f>
        <v/>
      </c>
      <c r="J169" s="124">
        <f>+'Invullen groen'!AX175</f>
        <v/>
      </c>
      <c r="K169" s="124">
        <f>+'Invullen groen'!AY175</f>
        <v/>
      </c>
      <c r="L169" s="124">
        <f>+'Invullen groen'!AZ175</f>
        <v/>
      </c>
      <c r="M169" s="124">
        <f>+'Invullen groen'!BA175</f>
        <v/>
      </c>
      <c r="N169" s="124">
        <f>+'Invullen groen'!BB175</f>
        <v/>
      </c>
      <c r="O169" s="124">
        <f>+'Invullen groen'!BC175</f>
        <v/>
      </c>
      <c r="P169" s="124">
        <f>+'Invullen groen'!BD175</f>
        <v/>
      </c>
      <c r="Q169" s="124" t="n"/>
      <c r="R169" s="124" t="n"/>
      <c r="S169" s="124" t="n"/>
      <c r="T169" s="124" t="n"/>
      <c r="U169" s="124" t="n"/>
      <c r="V169" s="124" t="n"/>
      <c r="W169" s="124" t="n"/>
      <c r="X169" s="124" t="n"/>
      <c r="Y169" s="124" t="n"/>
      <c r="Z169" s="124" t="n"/>
      <c r="AA169" s="124" t="n"/>
      <c r="AB169" s="124" t="n"/>
      <c r="AC169" s="124" t="n"/>
      <c r="AD169" s="124" t="n"/>
      <c r="AE169" s="124" t="n"/>
      <c r="AF169" s="124" t="n"/>
      <c r="AG169" s="124" t="n"/>
      <c r="AH169" s="124" t="n"/>
      <c r="AI169" s="124" t="n"/>
      <c r="AJ169" s="124" t="n"/>
      <c r="AK169" s="124" t="n"/>
      <c r="AL169" s="124" t="n"/>
      <c r="AM169" s="124" t="n"/>
      <c r="AN169" s="124" t="n"/>
      <c r="AO169" s="124" t="n"/>
      <c r="AP169" s="124" t="n"/>
      <c r="AQ169" s="124" t="n"/>
      <c r="AR169" s="124" t="n"/>
      <c r="AS169" s="124" t="n"/>
      <c r="AT169" s="124" t="n"/>
      <c r="AU169" s="124" t="n"/>
      <c r="AV169" s="124" t="n"/>
      <c r="AW169" s="124" t="n"/>
      <c r="AX169" s="124" t="n"/>
      <c r="AY169" s="124" t="n"/>
      <c r="AZ169" s="124" t="n"/>
      <c r="BA169" s="124" t="n"/>
      <c r="BB169" s="124" t="n"/>
      <c r="BC169" s="124" t="n"/>
      <c r="BD169" s="124" t="n"/>
      <c r="BE169" s="124" t="n"/>
      <c r="BF169" s="124" t="n"/>
      <c r="BG169" s="124" t="n"/>
      <c r="BH169" s="124" t="n"/>
      <c r="BI169" s="124" t="n"/>
      <c r="BJ169" s="124" t="n"/>
      <c r="BK169" s="124" t="n"/>
      <c r="BL169" s="124" t="n"/>
      <c r="BM169" s="124" t="n"/>
      <c r="BN169" s="124" t="n"/>
      <c r="BO169" s="124" t="n"/>
    </row>
    <row r="170" ht="15" customHeight="1" s="402">
      <c r="A170" s="8">
        <f>+'Invullen groen'!A176</f>
        <v/>
      </c>
      <c r="B170" s="9">
        <f>+'Invullen groen'!C176</f>
        <v/>
      </c>
      <c r="C170" s="19">
        <f>+'Invullen groen'!G176</f>
        <v/>
      </c>
      <c r="D170" s="10">
        <f>+'Invullen groen'!M176</f>
        <v/>
      </c>
      <c r="E170" s="11">
        <f>+'Invullen groen'!H176</f>
        <v/>
      </c>
      <c r="F170" s="11">
        <f>+'Invullen groen'!I176</f>
        <v/>
      </c>
      <c r="G170" s="11">
        <f>+'Invullen groen'!J176</f>
        <v/>
      </c>
      <c r="H170" s="11">
        <f>+'Invullen groen'!K176</f>
        <v/>
      </c>
      <c r="I170" s="124">
        <f>+'Invullen groen'!AW176</f>
        <v/>
      </c>
      <c r="J170" s="124">
        <f>+'Invullen groen'!AX176</f>
        <v/>
      </c>
      <c r="K170" s="124">
        <f>+'Invullen groen'!AY176</f>
        <v/>
      </c>
      <c r="L170" s="124">
        <f>+'Invullen groen'!AZ176</f>
        <v/>
      </c>
      <c r="M170" s="124">
        <f>+'Invullen groen'!BA176</f>
        <v/>
      </c>
      <c r="N170" s="124">
        <f>+'Invullen groen'!BB176</f>
        <v/>
      </c>
      <c r="O170" s="124">
        <f>+'Invullen groen'!BC176</f>
        <v/>
      </c>
      <c r="P170" s="124">
        <f>+'Invullen groen'!BD176</f>
        <v/>
      </c>
      <c r="Q170" s="124" t="n"/>
      <c r="R170" s="124" t="n"/>
      <c r="S170" s="124" t="n"/>
      <c r="T170" s="124" t="n"/>
      <c r="U170" s="124" t="n"/>
      <c r="V170" s="124" t="n"/>
      <c r="W170" s="124" t="n"/>
      <c r="X170" s="124" t="n"/>
      <c r="Y170" s="124" t="n"/>
      <c r="Z170" s="124" t="n"/>
      <c r="AA170" s="124" t="n"/>
      <c r="AB170" s="124" t="n"/>
      <c r="AC170" s="124" t="n"/>
      <c r="AD170" s="124" t="n"/>
      <c r="AE170" s="124" t="n"/>
      <c r="AF170" s="124" t="n"/>
      <c r="AG170" s="124" t="n"/>
      <c r="AH170" s="124" t="n"/>
      <c r="AI170" s="124" t="n"/>
      <c r="AJ170" s="124" t="n"/>
      <c r="AK170" s="124" t="n"/>
      <c r="AL170" s="124" t="n"/>
      <c r="AM170" s="124" t="n"/>
      <c r="AN170" s="124" t="n"/>
      <c r="AO170" s="124" t="n"/>
      <c r="AP170" s="124" t="n"/>
      <c r="AQ170" s="124" t="n"/>
      <c r="AR170" s="124" t="n"/>
      <c r="AS170" s="124" t="n"/>
      <c r="AT170" s="124" t="n"/>
      <c r="AU170" s="124" t="n"/>
      <c r="AV170" s="124" t="n"/>
      <c r="AW170" s="124" t="n"/>
      <c r="AX170" s="124" t="n"/>
      <c r="AY170" s="124" t="n"/>
      <c r="AZ170" s="124" t="n"/>
      <c r="BA170" s="124" t="n"/>
      <c r="BB170" s="124" t="n"/>
      <c r="BC170" s="124" t="n"/>
      <c r="BD170" s="124" t="n"/>
      <c r="BE170" s="124" t="n"/>
      <c r="BF170" s="124" t="n"/>
      <c r="BG170" s="124" t="n"/>
      <c r="BH170" s="124" t="n"/>
      <c r="BI170" s="124" t="n"/>
      <c r="BJ170" s="124" t="n"/>
      <c r="BK170" s="124" t="n"/>
      <c r="BL170" s="124" t="n"/>
      <c r="BM170" s="124" t="n"/>
      <c r="BN170" s="124" t="n"/>
      <c r="BO170" s="124" t="n"/>
    </row>
    <row r="171" ht="15" customHeight="1" s="402">
      <c r="A171" s="8">
        <f>+'Invullen groen'!A177</f>
        <v/>
      </c>
      <c r="B171" s="9">
        <f>+'Invullen groen'!C177</f>
        <v/>
      </c>
      <c r="C171" s="19">
        <f>+'Invullen groen'!G177</f>
        <v/>
      </c>
      <c r="D171" s="10">
        <f>+'Invullen groen'!M177</f>
        <v/>
      </c>
      <c r="E171" s="11">
        <f>+'Invullen groen'!H177</f>
        <v/>
      </c>
      <c r="F171" s="11">
        <f>+'Invullen groen'!I177</f>
        <v/>
      </c>
      <c r="G171" s="11">
        <f>+'Invullen groen'!J177</f>
        <v/>
      </c>
      <c r="H171" s="11">
        <f>+'Invullen groen'!K177</f>
        <v/>
      </c>
      <c r="I171" s="124">
        <f>+'Invullen groen'!AW177</f>
        <v/>
      </c>
      <c r="J171" s="124">
        <f>+'Invullen groen'!AX177</f>
        <v/>
      </c>
      <c r="K171" s="124">
        <f>+'Invullen groen'!AY177</f>
        <v/>
      </c>
      <c r="L171" s="124">
        <f>+'Invullen groen'!AZ177</f>
        <v/>
      </c>
      <c r="M171" s="124">
        <f>+'Invullen groen'!BA177</f>
        <v/>
      </c>
      <c r="N171" s="124">
        <f>+'Invullen groen'!BB177</f>
        <v/>
      </c>
      <c r="O171" s="124">
        <f>+'Invullen groen'!BC177</f>
        <v/>
      </c>
      <c r="P171" s="124">
        <f>+'Invullen groen'!BD177</f>
        <v/>
      </c>
      <c r="Q171" s="124" t="n"/>
      <c r="R171" s="124" t="n"/>
      <c r="S171" s="124" t="n"/>
      <c r="T171" s="124" t="n"/>
      <c r="U171" s="124" t="n"/>
      <c r="V171" s="124" t="n"/>
      <c r="W171" s="124" t="n"/>
      <c r="X171" s="124" t="n"/>
      <c r="Y171" s="124" t="n"/>
      <c r="Z171" s="124" t="n"/>
      <c r="AA171" s="124" t="n"/>
      <c r="AB171" s="124" t="n"/>
      <c r="AC171" s="124" t="n"/>
      <c r="AD171" s="124" t="n"/>
      <c r="AE171" s="124" t="n"/>
      <c r="AF171" s="124" t="n"/>
      <c r="AG171" s="124" t="n"/>
      <c r="AH171" s="124" t="n"/>
      <c r="AI171" s="124" t="n"/>
      <c r="AJ171" s="124" t="n"/>
      <c r="AK171" s="124" t="n"/>
      <c r="AL171" s="124" t="n"/>
      <c r="AM171" s="124" t="n"/>
      <c r="AN171" s="124" t="n"/>
      <c r="AO171" s="124" t="n"/>
      <c r="AP171" s="124" t="n"/>
      <c r="AQ171" s="124" t="n"/>
      <c r="AR171" s="124" t="n"/>
      <c r="AS171" s="124" t="n"/>
      <c r="AT171" s="124" t="n"/>
      <c r="AU171" s="124" t="n"/>
      <c r="AV171" s="124" t="n"/>
      <c r="AW171" s="124" t="n"/>
      <c r="AX171" s="124" t="n"/>
      <c r="AY171" s="124" t="n"/>
      <c r="AZ171" s="124" t="n"/>
      <c r="BA171" s="124" t="n"/>
      <c r="BB171" s="124" t="n"/>
      <c r="BC171" s="124" t="n"/>
      <c r="BD171" s="124" t="n"/>
      <c r="BE171" s="124" t="n"/>
      <c r="BF171" s="124" t="n"/>
      <c r="BG171" s="124" t="n"/>
      <c r="BH171" s="124" t="n"/>
      <c r="BI171" s="124" t="n"/>
      <c r="BJ171" s="124" t="n"/>
      <c r="BK171" s="124" t="n"/>
      <c r="BL171" s="124" t="n"/>
      <c r="BM171" s="124" t="n"/>
      <c r="BN171" s="124" t="n"/>
      <c r="BO171" s="124" t="n"/>
    </row>
    <row r="172" ht="15" customHeight="1" s="402">
      <c r="A172" s="8">
        <f>+'Invullen groen'!A178</f>
        <v/>
      </c>
      <c r="B172" s="9">
        <f>+'Invullen groen'!C178</f>
        <v/>
      </c>
      <c r="C172" s="19">
        <f>+'Invullen groen'!G178</f>
        <v/>
      </c>
      <c r="D172" s="10">
        <f>+'Invullen groen'!M178</f>
        <v/>
      </c>
      <c r="E172" s="11">
        <f>+'Invullen groen'!H178</f>
        <v/>
      </c>
      <c r="F172" s="11">
        <f>+'Invullen groen'!I178</f>
        <v/>
      </c>
      <c r="G172" s="11">
        <f>+'Invullen groen'!J178</f>
        <v/>
      </c>
      <c r="H172" s="11">
        <f>+'Invullen groen'!K178</f>
        <v/>
      </c>
      <c r="I172" s="124">
        <f>+'Invullen groen'!AW178</f>
        <v/>
      </c>
      <c r="J172" s="124">
        <f>+'Invullen groen'!AX178</f>
        <v/>
      </c>
      <c r="K172" s="124">
        <f>+'Invullen groen'!AY178</f>
        <v/>
      </c>
      <c r="L172" s="124">
        <f>+'Invullen groen'!AZ178</f>
        <v/>
      </c>
      <c r="M172" s="124">
        <f>+'Invullen groen'!BA178</f>
        <v/>
      </c>
      <c r="N172" s="124">
        <f>+'Invullen groen'!BB178</f>
        <v/>
      </c>
      <c r="O172" s="124">
        <f>+'Invullen groen'!BC178</f>
        <v/>
      </c>
      <c r="P172" s="124">
        <f>+'Invullen groen'!BD178</f>
        <v/>
      </c>
      <c r="Q172" s="124" t="n"/>
      <c r="R172" s="124" t="n"/>
      <c r="S172" s="124" t="n"/>
      <c r="T172" s="124" t="n"/>
      <c r="U172" s="124" t="n"/>
      <c r="V172" s="124" t="n"/>
      <c r="W172" s="124" t="n"/>
      <c r="X172" s="124" t="n"/>
      <c r="Y172" s="124" t="n"/>
      <c r="Z172" s="124" t="n"/>
      <c r="AA172" s="124" t="n"/>
      <c r="AB172" s="124" t="n"/>
      <c r="AC172" s="124" t="n"/>
      <c r="AD172" s="124" t="n"/>
      <c r="AE172" s="124" t="n"/>
      <c r="AF172" s="124" t="n"/>
      <c r="AG172" s="124" t="n"/>
      <c r="AH172" s="124" t="n"/>
      <c r="AI172" s="124" t="n"/>
      <c r="AJ172" s="124" t="n"/>
      <c r="AK172" s="124" t="n"/>
      <c r="AL172" s="124" t="n"/>
      <c r="AM172" s="124" t="n"/>
      <c r="AN172" s="124" t="n"/>
      <c r="AO172" s="124" t="n"/>
      <c r="AP172" s="124" t="n"/>
      <c r="AQ172" s="124" t="n"/>
      <c r="AR172" s="124" t="n"/>
      <c r="AS172" s="124" t="n"/>
      <c r="AT172" s="124" t="n"/>
      <c r="AU172" s="124" t="n"/>
      <c r="AV172" s="124" t="n"/>
      <c r="AW172" s="124" t="n"/>
      <c r="AX172" s="124" t="n"/>
      <c r="AY172" s="124" t="n"/>
      <c r="AZ172" s="124" t="n"/>
      <c r="BA172" s="124" t="n"/>
      <c r="BB172" s="124" t="n"/>
      <c r="BC172" s="124" t="n"/>
      <c r="BD172" s="124" t="n"/>
      <c r="BE172" s="124" t="n"/>
      <c r="BF172" s="124" t="n"/>
      <c r="BG172" s="124" t="n"/>
      <c r="BH172" s="124" t="n"/>
      <c r="BI172" s="124" t="n"/>
      <c r="BJ172" s="124" t="n"/>
      <c r="BK172" s="124" t="n"/>
      <c r="BL172" s="124" t="n"/>
      <c r="BM172" s="124" t="n"/>
      <c r="BN172" s="124" t="n"/>
      <c r="BO172" s="124" t="n"/>
    </row>
    <row r="173" ht="15" customHeight="1" s="402">
      <c r="A173" s="8">
        <f>+'Invullen groen'!A179</f>
        <v/>
      </c>
      <c r="B173" s="9">
        <f>+'Invullen groen'!C179</f>
        <v/>
      </c>
      <c r="C173" s="19">
        <f>+'Invullen groen'!G179</f>
        <v/>
      </c>
      <c r="D173" s="10">
        <f>+'Invullen groen'!M179</f>
        <v/>
      </c>
      <c r="E173" s="11">
        <f>+'Invullen groen'!H179</f>
        <v/>
      </c>
      <c r="F173" s="11">
        <f>+'Invullen groen'!I179</f>
        <v/>
      </c>
      <c r="G173" s="11">
        <f>+'Invullen groen'!J179</f>
        <v/>
      </c>
      <c r="H173" s="11">
        <f>+'Invullen groen'!K179</f>
        <v/>
      </c>
      <c r="I173" s="124">
        <f>+'Invullen groen'!AW179</f>
        <v/>
      </c>
      <c r="J173" s="124">
        <f>+'Invullen groen'!AX179</f>
        <v/>
      </c>
      <c r="K173" s="124">
        <f>+'Invullen groen'!AY179</f>
        <v/>
      </c>
      <c r="L173" s="124">
        <f>+'Invullen groen'!AZ179</f>
        <v/>
      </c>
      <c r="M173" s="124">
        <f>+'Invullen groen'!BA179</f>
        <v/>
      </c>
      <c r="N173" s="124">
        <f>+'Invullen groen'!BB179</f>
        <v/>
      </c>
      <c r="O173" s="124">
        <f>+'Invullen groen'!BC179</f>
        <v/>
      </c>
      <c r="P173" s="124">
        <f>+'Invullen groen'!BD179</f>
        <v/>
      </c>
      <c r="Q173" s="124" t="n"/>
      <c r="R173" s="124" t="n"/>
      <c r="S173" s="124" t="n"/>
      <c r="T173" s="124" t="n"/>
      <c r="U173" s="124" t="n"/>
      <c r="V173" s="124" t="n"/>
      <c r="W173" s="124" t="n"/>
      <c r="X173" s="124" t="n"/>
      <c r="Y173" s="124" t="n"/>
      <c r="Z173" s="124" t="n"/>
      <c r="AA173" s="124" t="n"/>
      <c r="AB173" s="124" t="n"/>
      <c r="AC173" s="124" t="n"/>
      <c r="AD173" s="124" t="n"/>
      <c r="AE173" s="124" t="n"/>
      <c r="AF173" s="124" t="n"/>
      <c r="AG173" s="124" t="n"/>
      <c r="AH173" s="124" t="n"/>
      <c r="AI173" s="124" t="n"/>
      <c r="AJ173" s="124" t="n"/>
      <c r="AK173" s="124" t="n"/>
      <c r="AL173" s="124" t="n"/>
      <c r="AM173" s="124" t="n"/>
      <c r="AN173" s="124" t="n"/>
      <c r="AO173" s="124" t="n"/>
      <c r="AP173" s="124" t="n"/>
      <c r="AQ173" s="124" t="n"/>
      <c r="AR173" s="124" t="n"/>
      <c r="AS173" s="124" t="n"/>
      <c r="AT173" s="124" t="n"/>
      <c r="AU173" s="124" t="n"/>
      <c r="AV173" s="124" t="n"/>
      <c r="AW173" s="124" t="n"/>
      <c r="AX173" s="124" t="n"/>
      <c r="AY173" s="124" t="n"/>
      <c r="AZ173" s="124" t="n"/>
      <c r="BA173" s="124" t="n"/>
      <c r="BB173" s="124" t="n"/>
      <c r="BC173" s="124" t="n"/>
      <c r="BD173" s="124" t="n"/>
      <c r="BE173" s="124" t="n"/>
      <c r="BF173" s="124" t="n"/>
      <c r="BG173" s="124" t="n"/>
      <c r="BH173" s="124" t="n"/>
      <c r="BI173" s="124" t="n"/>
      <c r="BJ173" s="124" t="n"/>
      <c r="BK173" s="124" t="n"/>
      <c r="BL173" s="124" t="n"/>
      <c r="BM173" s="124" t="n"/>
      <c r="BN173" s="124" t="n"/>
      <c r="BO173" s="124" t="n"/>
    </row>
    <row r="174" ht="15" customHeight="1" s="402">
      <c r="A174" s="8">
        <f>+'Invullen groen'!A180</f>
        <v/>
      </c>
      <c r="B174" s="9">
        <f>+'Invullen groen'!C180</f>
        <v/>
      </c>
      <c r="C174" s="19">
        <f>+'Invullen groen'!G180</f>
        <v/>
      </c>
      <c r="D174" s="10">
        <f>+'Invullen groen'!M180</f>
        <v/>
      </c>
      <c r="E174" s="11">
        <f>+'Invullen groen'!H180</f>
        <v/>
      </c>
      <c r="F174" s="11">
        <f>+'Invullen groen'!I180</f>
        <v/>
      </c>
      <c r="G174" s="11">
        <f>+'Invullen groen'!J180</f>
        <v/>
      </c>
      <c r="H174" s="11">
        <f>+'Invullen groen'!K180</f>
        <v/>
      </c>
      <c r="I174" s="124">
        <f>+'Invullen groen'!AW180</f>
        <v/>
      </c>
      <c r="J174" s="124">
        <f>+'Invullen groen'!AX180</f>
        <v/>
      </c>
      <c r="K174" s="124">
        <f>+'Invullen groen'!AY180</f>
        <v/>
      </c>
      <c r="L174" s="124">
        <f>+'Invullen groen'!AZ180</f>
        <v/>
      </c>
      <c r="M174" s="124">
        <f>+'Invullen groen'!BA180</f>
        <v/>
      </c>
      <c r="N174" s="124">
        <f>+'Invullen groen'!BB180</f>
        <v/>
      </c>
      <c r="O174" s="124">
        <f>+'Invullen groen'!BC180</f>
        <v/>
      </c>
      <c r="P174" s="124">
        <f>+'Invullen groen'!BD180</f>
        <v/>
      </c>
      <c r="Q174" s="124" t="n"/>
      <c r="R174" s="124" t="n"/>
      <c r="S174" s="124" t="n"/>
      <c r="T174" s="124" t="n"/>
      <c r="U174" s="124" t="n"/>
      <c r="V174" s="124" t="n"/>
      <c r="W174" s="124" t="n"/>
      <c r="X174" s="124" t="n"/>
      <c r="Y174" s="124" t="n"/>
      <c r="Z174" s="124" t="n"/>
      <c r="AA174" s="124" t="n"/>
      <c r="AB174" s="124" t="n"/>
      <c r="AC174" s="124" t="n"/>
      <c r="AD174" s="124" t="n"/>
      <c r="AE174" s="124" t="n"/>
      <c r="AF174" s="124" t="n"/>
      <c r="AG174" s="124" t="n"/>
      <c r="AH174" s="124" t="n"/>
      <c r="AI174" s="124" t="n"/>
      <c r="AJ174" s="124" t="n"/>
      <c r="AK174" s="124" t="n"/>
      <c r="AL174" s="124" t="n"/>
      <c r="AM174" s="124" t="n"/>
      <c r="AN174" s="124" t="n"/>
      <c r="AO174" s="124" t="n"/>
      <c r="AP174" s="124" t="n"/>
      <c r="AQ174" s="124" t="n"/>
      <c r="AR174" s="124" t="n"/>
      <c r="AS174" s="124" t="n"/>
      <c r="AT174" s="124" t="n"/>
      <c r="AU174" s="124" t="n"/>
      <c r="AV174" s="124" t="n"/>
      <c r="AW174" s="124" t="n"/>
      <c r="AX174" s="124" t="n"/>
      <c r="AY174" s="124" t="n"/>
      <c r="AZ174" s="124" t="n"/>
      <c r="BA174" s="124" t="n"/>
      <c r="BB174" s="124" t="n"/>
      <c r="BC174" s="124" t="n"/>
      <c r="BD174" s="124" t="n"/>
      <c r="BE174" s="124" t="n"/>
      <c r="BF174" s="124" t="n"/>
      <c r="BG174" s="124" t="n"/>
      <c r="BH174" s="124" t="n"/>
      <c r="BI174" s="124" t="n"/>
      <c r="BJ174" s="124" t="n"/>
      <c r="BK174" s="124" t="n"/>
      <c r="BL174" s="124" t="n"/>
      <c r="BM174" s="124" t="n"/>
      <c r="BN174" s="124" t="n"/>
      <c r="BO174" s="124" t="n"/>
    </row>
    <row r="175" ht="15" customHeight="1" s="402">
      <c r="A175" s="8">
        <f>+'Invullen groen'!A181</f>
        <v/>
      </c>
      <c r="B175" s="9">
        <f>+'Invullen groen'!C181</f>
        <v/>
      </c>
      <c r="C175" s="19">
        <f>+'Invullen groen'!G181</f>
        <v/>
      </c>
      <c r="D175" s="10">
        <f>+'Invullen groen'!M181</f>
        <v/>
      </c>
      <c r="E175" s="11">
        <f>+'Invullen groen'!H181</f>
        <v/>
      </c>
      <c r="F175" s="11">
        <f>+'Invullen groen'!I181</f>
        <v/>
      </c>
      <c r="G175" s="11">
        <f>+'Invullen groen'!J181</f>
        <v/>
      </c>
      <c r="H175" s="11">
        <f>+'Invullen groen'!K181</f>
        <v/>
      </c>
      <c r="I175" s="124">
        <f>+'Invullen groen'!AW181</f>
        <v/>
      </c>
      <c r="J175" s="124">
        <f>+'Invullen groen'!AX181</f>
        <v/>
      </c>
      <c r="K175" s="124">
        <f>+'Invullen groen'!AY181</f>
        <v/>
      </c>
      <c r="L175" s="124">
        <f>+'Invullen groen'!AZ181</f>
        <v/>
      </c>
      <c r="M175" s="124">
        <f>+'Invullen groen'!BA181</f>
        <v/>
      </c>
      <c r="N175" s="124">
        <f>+'Invullen groen'!BB181</f>
        <v/>
      </c>
      <c r="O175" s="124">
        <f>+'Invullen groen'!BC181</f>
        <v/>
      </c>
      <c r="P175" s="124">
        <f>+'Invullen groen'!BD181</f>
        <v/>
      </c>
      <c r="Q175" s="124" t="n"/>
      <c r="R175" s="124" t="n"/>
      <c r="S175" s="124" t="n"/>
      <c r="T175" s="124" t="n"/>
      <c r="U175" s="124" t="n"/>
      <c r="V175" s="124" t="n"/>
      <c r="W175" s="124" t="n"/>
      <c r="X175" s="124" t="n"/>
      <c r="Y175" s="124" t="n"/>
      <c r="Z175" s="124" t="n"/>
      <c r="AA175" s="124" t="n"/>
      <c r="AB175" s="124" t="n"/>
      <c r="AC175" s="124" t="n"/>
      <c r="AD175" s="124" t="n"/>
      <c r="AE175" s="124" t="n"/>
      <c r="AF175" s="124" t="n"/>
      <c r="AG175" s="124" t="n"/>
      <c r="AH175" s="124" t="n"/>
      <c r="AI175" s="124" t="n"/>
      <c r="AJ175" s="124" t="n"/>
      <c r="AK175" s="124" t="n"/>
      <c r="AL175" s="124" t="n"/>
      <c r="AM175" s="124" t="n"/>
      <c r="AN175" s="124" t="n"/>
      <c r="AO175" s="124" t="n"/>
      <c r="AP175" s="124" t="n"/>
      <c r="AQ175" s="124" t="n"/>
      <c r="AR175" s="124" t="n"/>
      <c r="AS175" s="124" t="n"/>
      <c r="AT175" s="124" t="n"/>
      <c r="AU175" s="124" t="n"/>
      <c r="AV175" s="124" t="n"/>
      <c r="AW175" s="124" t="n"/>
      <c r="AX175" s="124" t="n"/>
      <c r="AY175" s="124" t="n"/>
      <c r="AZ175" s="124" t="n"/>
      <c r="BA175" s="124" t="n"/>
      <c r="BB175" s="124" t="n"/>
      <c r="BC175" s="124" t="n"/>
      <c r="BD175" s="124" t="n"/>
      <c r="BE175" s="124" t="n"/>
      <c r="BF175" s="124" t="n"/>
      <c r="BG175" s="124" t="n"/>
      <c r="BH175" s="124" t="n"/>
      <c r="BI175" s="124" t="n"/>
      <c r="BJ175" s="124" t="n"/>
      <c r="BK175" s="124" t="n"/>
      <c r="BL175" s="124" t="n"/>
      <c r="BM175" s="124" t="n"/>
      <c r="BN175" s="124" t="n"/>
      <c r="BO175" s="124" t="n"/>
    </row>
    <row r="176" ht="15" customHeight="1" s="402">
      <c r="A176" s="8">
        <f>+'Invullen groen'!A182</f>
        <v/>
      </c>
      <c r="B176" s="9">
        <f>+'Invullen groen'!C182</f>
        <v/>
      </c>
      <c r="C176" s="19">
        <f>+'Invullen groen'!G182</f>
        <v/>
      </c>
      <c r="D176" s="10">
        <f>+'Invullen groen'!M182</f>
        <v/>
      </c>
      <c r="E176" s="11">
        <f>+'Invullen groen'!H182</f>
        <v/>
      </c>
      <c r="F176" s="11">
        <f>+'Invullen groen'!I182</f>
        <v/>
      </c>
      <c r="G176" s="11">
        <f>+'Invullen groen'!J182</f>
        <v/>
      </c>
      <c r="H176" s="11">
        <f>+'Invullen groen'!K182</f>
        <v/>
      </c>
      <c r="I176" s="124">
        <f>+'Invullen groen'!AW182</f>
        <v/>
      </c>
      <c r="J176" s="124">
        <f>+'Invullen groen'!AX182</f>
        <v/>
      </c>
      <c r="K176" s="124">
        <f>+'Invullen groen'!AY182</f>
        <v/>
      </c>
      <c r="L176" s="124">
        <f>+'Invullen groen'!AZ182</f>
        <v/>
      </c>
      <c r="M176" s="124">
        <f>+'Invullen groen'!BA182</f>
        <v/>
      </c>
      <c r="N176" s="124">
        <f>+'Invullen groen'!BB182</f>
        <v/>
      </c>
      <c r="O176" s="124">
        <f>+'Invullen groen'!BC182</f>
        <v/>
      </c>
      <c r="P176" s="124">
        <f>+'Invullen groen'!BD182</f>
        <v/>
      </c>
    </row>
    <row r="177" ht="15" customHeight="1" s="402">
      <c r="A177" s="8">
        <f>+'Invullen groen'!A183</f>
        <v/>
      </c>
      <c r="B177" s="9">
        <f>+'Invullen groen'!C183</f>
        <v/>
      </c>
      <c r="C177" s="19">
        <f>+'Invullen groen'!G183</f>
        <v/>
      </c>
      <c r="D177" s="10">
        <f>+'Invullen groen'!M183</f>
        <v/>
      </c>
      <c r="E177" s="11">
        <f>+'Invullen groen'!H183</f>
        <v/>
      </c>
      <c r="F177" s="11">
        <f>+'Invullen groen'!I183</f>
        <v/>
      </c>
      <c r="G177" s="11">
        <f>+'Invullen groen'!J183</f>
        <v/>
      </c>
      <c r="H177" s="11">
        <f>+'Invullen groen'!K183</f>
        <v/>
      </c>
      <c r="I177" s="124">
        <f>+'Invullen groen'!AW183</f>
        <v/>
      </c>
      <c r="J177" s="124">
        <f>+'Invullen groen'!AX183</f>
        <v/>
      </c>
      <c r="K177" s="124">
        <f>+'Invullen groen'!AY183</f>
        <v/>
      </c>
      <c r="L177" s="124">
        <f>+'Invullen groen'!AZ183</f>
        <v/>
      </c>
      <c r="M177" s="124">
        <f>+'Invullen groen'!BA183</f>
        <v/>
      </c>
      <c r="N177" s="124">
        <f>+'Invullen groen'!BB183</f>
        <v/>
      </c>
      <c r="O177" s="124">
        <f>+'Invullen groen'!BC183</f>
        <v/>
      </c>
      <c r="P177" s="124">
        <f>+'Invullen groen'!BD183</f>
        <v/>
      </c>
    </row>
    <row r="178" ht="15" customHeight="1" s="402">
      <c r="A178" s="8">
        <f>+'Invullen groen'!A184</f>
        <v/>
      </c>
      <c r="B178" s="9">
        <f>+'Invullen groen'!C184</f>
        <v/>
      </c>
      <c r="C178" s="19">
        <f>+'Invullen groen'!G184</f>
        <v/>
      </c>
      <c r="D178" s="10">
        <f>+'Invullen groen'!M184</f>
        <v/>
      </c>
      <c r="E178" s="11">
        <f>+'Invullen groen'!H184</f>
        <v/>
      </c>
      <c r="F178" s="11">
        <f>+'Invullen groen'!I184</f>
        <v/>
      </c>
      <c r="G178" s="11">
        <f>+'Invullen groen'!J184</f>
        <v/>
      </c>
      <c r="H178" s="11">
        <f>+'Invullen groen'!K184</f>
        <v/>
      </c>
      <c r="I178" s="124">
        <f>+'Invullen groen'!AW184</f>
        <v/>
      </c>
      <c r="J178" s="124">
        <f>+'Invullen groen'!AX184</f>
        <v/>
      </c>
      <c r="K178" s="124">
        <f>+'Invullen groen'!AY184</f>
        <v/>
      </c>
      <c r="L178" s="124">
        <f>+'Invullen groen'!AZ184</f>
        <v/>
      </c>
      <c r="M178" s="124">
        <f>+'Invullen groen'!BA184</f>
        <v/>
      </c>
      <c r="N178" s="124">
        <f>+'Invullen groen'!BB184</f>
        <v/>
      </c>
      <c r="O178" s="124">
        <f>+'Invullen groen'!BC184</f>
        <v/>
      </c>
      <c r="P178" s="124">
        <f>+'Invullen groen'!BD184</f>
        <v/>
      </c>
    </row>
    <row r="179" ht="15" customHeight="1" s="402">
      <c r="A179" s="8">
        <f>+'Invullen groen'!A185</f>
        <v/>
      </c>
      <c r="B179" s="9">
        <f>+'Invullen groen'!C185</f>
        <v/>
      </c>
      <c r="C179" s="19">
        <f>+'Invullen groen'!G185</f>
        <v/>
      </c>
      <c r="D179" s="10">
        <f>+'Invullen groen'!M185</f>
        <v/>
      </c>
      <c r="E179" s="11">
        <f>+'Invullen groen'!H185</f>
        <v/>
      </c>
      <c r="F179" s="11">
        <f>+'Invullen groen'!I185</f>
        <v/>
      </c>
      <c r="G179" s="11">
        <f>+'Invullen groen'!J185</f>
        <v/>
      </c>
      <c r="H179" s="11">
        <f>+'Invullen groen'!K185</f>
        <v/>
      </c>
      <c r="I179" s="124">
        <f>+'Invullen groen'!AW185</f>
        <v/>
      </c>
      <c r="J179" s="124">
        <f>+'Invullen groen'!AX185</f>
        <v/>
      </c>
      <c r="K179" s="124">
        <f>+'Invullen groen'!AY185</f>
        <v/>
      </c>
      <c r="L179" s="124">
        <f>+'Invullen groen'!AZ185</f>
        <v/>
      </c>
      <c r="M179" s="124">
        <f>+'Invullen groen'!BA185</f>
        <v/>
      </c>
      <c r="N179" s="124">
        <f>+'Invullen groen'!BB185</f>
        <v/>
      </c>
      <c r="O179" s="124">
        <f>+'Invullen groen'!BC185</f>
        <v/>
      </c>
      <c r="P179" s="124">
        <f>+'Invullen groen'!BD185</f>
        <v/>
      </c>
    </row>
    <row r="180" ht="15" customHeight="1" s="402">
      <c r="A180" s="8">
        <f>+'Invullen groen'!A186</f>
        <v/>
      </c>
      <c r="B180" s="9">
        <f>+'Invullen groen'!C186</f>
        <v/>
      </c>
      <c r="C180" s="19">
        <f>+'Invullen groen'!G186</f>
        <v/>
      </c>
      <c r="D180" s="10">
        <f>+'Invullen groen'!M186</f>
        <v/>
      </c>
      <c r="E180" s="11">
        <f>+'Invullen groen'!H186</f>
        <v/>
      </c>
      <c r="F180" s="11">
        <f>+'Invullen groen'!I186</f>
        <v/>
      </c>
      <c r="G180" s="11">
        <f>+'Invullen groen'!J186</f>
        <v/>
      </c>
      <c r="H180" s="11">
        <f>+'Invullen groen'!K186</f>
        <v/>
      </c>
      <c r="I180" s="124">
        <f>+'Invullen groen'!AW186</f>
        <v/>
      </c>
      <c r="J180" s="124">
        <f>+'Invullen groen'!AX186</f>
        <v/>
      </c>
      <c r="K180" s="124">
        <f>+'Invullen groen'!AY186</f>
        <v/>
      </c>
      <c r="L180" s="124">
        <f>+'Invullen groen'!AZ186</f>
        <v/>
      </c>
      <c r="M180" s="124">
        <f>+'Invullen groen'!BA186</f>
        <v/>
      </c>
      <c r="N180" s="124">
        <f>+'Invullen groen'!BB186</f>
        <v/>
      </c>
      <c r="O180" s="124">
        <f>+'Invullen groen'!BC186</f>
        <v/>
      </c>
      <c r="P180" s="124">
        <f>+'Invullen groen'!BD186</f>
        <v/>
      </c>
    </row>
    <row r="181" ht="15" customHeight="1" s="402">
      <c r="A181" s="8">
        <f>+'Invullen groen'!A187</f>
        <v/>
      </c>
      <c r="B181" s="9">
        <f>+'Invullen groen'!C187</f>
        <v/>
      </c>
      <c r="C181" s="19">
        <f>+'Invullen groen'!G187</f>
        <v/>
      </c>
      <c r="D181" s="10">
        <f>+'Invullen groen'!M187</f>
        <v/>
      </c>
      <c r="E181" s="11">
        <f>+'Invullen groen'!H187</f>
        <v/>
      </c>
      <c r="F181" s="11">
        <f>+'Invullen groen'!I187</f>
        <v/>
      </c>
      <c r="G181" s="11">
        <f>+'Invullen groen'!J187</f>
        <v/>
      </c>
      <c r="H181" s="11">
        <f>+'Invullen groen'!K187</f>
        <v/>
      </c>
      <c r="I181" s="124">
        <f>+'Invullen groen'!AW187</f>
        <v/>
      </c>
      <c r="J181" s="124">
        <f>+'Invullen groen'!AX187</f>
        <v/>
      </c>
      <c r="K181" s="124">
        <f>+'Invullen groen'!AY187</f>
        <v/>
      </c>
      <c r="L181" s="124">
        <f>+'Invullen groen'!AZ187</f>
        <v/>
      </c>
      <c r="M181" s="124">
        <f>+'Invullen groen'!BA187</f>
        <v/>
      </c>
      <c r="N181" s="124">
        <f>+'Invullen groen'!BB187</f>
        <v/>
      </c>
      <c r="O181" s="124">
        <f>+'Invullen groen'!BC187</f>
        <v/>
      </c>
      <c r="P181" s="124">
        <f>+'Invullen groen'!BD187</f>
        <v/>
      </c>
    </row>
    <row r="182" ht="15" customHeight="1" s="402">
      <c r="A182" s="8">
        <f>+'Invullen groen'!A188</f>
        <v/>
      </c>
      <c r="B182" s="9">
        <f>+'Invullen groen'!C188</f>
        <v/>
      </c>
      <c r="C182" s="19">
        <f>+'Invullen groen'!G188</f>
        <v/>
      </c>
      <c r="D182" s="10">
        <f>+'Invullen groen'!M188</f>
        <v/>
      </c>
      <c r="E182" s="11">
        <f>+'Invullen groen'!H188</f>
        <v/>
      </c>
      <c r="F182" s="11">
        <f>+'Invullen groen'!I188</f>
        <v/>
      </c>
      <c r="G182" s="11">
        <f>+'Invullen groen'!J188</f>
        <v/>
      </c>
      <c r="H182" s="11">
        <f>+'Invullen groen'!K188</f>
        <v/>
      </c>
      <c r="I182" s="124">
        <f>+'Invullen groen'!AW188</f>
        <v/>
      </c>
      <c r="J182" s="124">
        <f>+'Invullen groen'!AX188</f>
        <v/>
      </c>
      <c r="K182" s="124">
        <f>+'Invullen groen'!AY188</f>
        <v/>
      </c>
      <c r="L182" s="124">
        <f>+'Invullen groen'!AZ188</f>
        <v/>
      </c>
      <c r="M182" s="124">
        <f>+'Invullen groen'!BA188</f>
        <v/>
      </c>
      <c r="N182" s="124">
        <f>+'Invullen groen'!BB188</f>
        <v/>
      </c>
      <c r="O182" s="124">
        <f>+'Invullen groen'!BC188</f>
        <v/>
      </c>
      <c r="P182" s="124">
        <f>+'Invullen groen'!BD188</f>
        <v/>
      </c>
    </row>
    <row r="183" ht="15" customHeight="1" s="402">
      <c r="A183" s="8">
        <f>+'Invullen groen'!A189</f>
        <v/>
      </c>
      <c r="B183" s="9">
        <f>+'Invullen groen'!C189</f>
        <v/>
      </c>
      <c r="C183" s="19">
        <f>+'Invullen groen'!G189</f>
        <v/>
      </c>
      <c r="D183" s="10">
        <f>+'Invullen groen'!M189</f>
        <v/>
      </c>
      <c r="E183" s="11">
        <f>+'Invullen groen'!H189</f>
        <v/>
      </c>
      <c r="F183" s="11">
        <f>+'Invullen groen'!I189</f>
        <v/>
      </c>
      <c r="G183" s="11">
        <f>+'Invullen groen'!J189</f>
        <v/>
      </c>
      <c r="H183" s="11">
        <f>+'Invullen groen'!K189</f>
        <v/>
      </c>
      <c r="I183" s="124">
        <f>+'Invullen groen'!AW189</f>
        <v/>
      </c>
      <c r="J183" s="124">
        <f>+'Invullen groen'!AX189</f>
        <v/>
      </c>
      <c r="K183" s="124">
        <f>+'Invullen groen'!AY189</f>
        <v/>
      </c>
      <c r="L183" s="124">
        <f>+'Invullen groen'!AZ189</f>
        <v/>
      </c>
      <c r="M183" s="124">
        <f>+'Invullen groen'!BA189</f>
        <v/>
      </c>
      <c r="N183" s="124">
        <f>+'Invullen groen'!BB189</f>
        <v/>
      </c>
      <c r="O183" s="124">
        <f>+'Invullen groen'!BC189</f>
        <v/>
      </c>
      <c r="P183" s="124">
        <f>+'Invullen groen'!BD189</f>
        <v/>
      </c>
    </row>
    <row r="184" ht="15" customHeight="1" s="402">
      <c r="A184" s="8">
        <f>+'Invullen groen'!A190</f>
        <v/>
      </c>
      <c r="B184" s="9">
        <f>+'Invullen groen'!C190</f>
        <v/>
      </c>
      <c r="C184" s="19">
        <f>+'Invullen groen'!G190</f>
        <v/>
      </c>
      <c r="D184" s="10">
        <f>+'Invullen groen'!M190</f>
        <v/>
      </c>
      <c r="E184" s="11">
        <f>+'Invullen groen'!H190</f>
        <v/>
      </c>
      <c r="F184" s="11">
        <f>+'Invullen groen'!I190</f>
        <v/>
      </c>
      <c r="G184" s="11">
        <f>+'Invullen groen'!J190</f>
        <v/>
      </c>
      <c r="H184" s="11">
        <f>+'Invullen groen'!K190</f>
        <v/>
      </c>
      <c r="I184" s="124">
        <f>+'Invullen groen'!AW190</f>
        <v/>
      </c>
      <c r="J184" s="124">
        <f>+'Invullen groen'!AX190</f>
        <v/>
      </c>
      <c r="K184" s="124">
        <f>+'Invullen groen'!AY190</f>
        <v/>
      </c>
      <c r="L184" s="124">
        <f>+'Invullen groen'!AZ190</f>
        <v/>
      </c>
      <c r="M184" s="124">
        <f>+'Invullen groen'!BA190</f>
        <v/>
      </c>
      <c r="N184" s="124">
        <f>+'Invullen groen'!BB190</f>
        <v/>
      </c>
      <c r="O184" s="124">
        <f>+'Invullen groen'!BC190</f>
        <v/>
      </c>
      <c r="P184" s="124">
        <f>+'Invullen groen'!BD190</f>
        <v/>
      </c>
    </row>
    <row r="185" ht="15" customHeight="1" s="402">
      <c r="A185" s="8">
        <f>+'Invullen groen'!A191</f>
        <v/>
      </c>
      <c r="B185" s="9">
        <f>+'Invullen groen'!C191</f>
        <v/>
      </c>
      <c r="C185" s="19">
        <f>+'Invullen groen'!G191</f>
        <v/>
      </c>
      <c r="D185" s="10">
        <f>+'Invullen groen'!M191</f>
        <v/>
      </c>
      <c r="E185" s="11">
        <f>+'Invullen groen'!H191</f>
        <v/>
      </c>
      <c r="F185" s="11">
        <f>+'Invullen groen'!I191</f>
        <v/>
      </c>
      <c r="G185" s="11">
        <f>+'Invullen groen'!J191</f>
        <v/>
      </c>
      <c r="H185" s="11">
        <f>+'Invullen groen'!K191</f>
        <v/>
      </c>
      <c r="I185" s="124">
        <f>+'Invullen groen'!AW191</f>
        <v/>
      </c>
      <c r="J185" s="124">
        <f>+'Invullen groen'!AX191</f>
        <v/>
      </c>
      <c r="K185" s="124">
        <f>+'Invullen groen'!AY191</f>
        <v/>
      </c>
      <c r="L185" s="124">
        <f>+'Invullen groen'!AZ191</f>
        <v/>
      </c>
      <c r="M185" s="124">
        <f>+'Invullen groen'!BA191</f>
        <v/>
      </c>
      <c r="N185" s="124">
        <f>+'Invullen groen'!BB191</f>
        <v/>
      </c>
      <c r="O185" s="124">
        <f>+'Invullen groen'!BC191</f>
        <v/>
      </c>
      <c r="P185" s="124">
        <f>+'Invullen groen'!BD191</f>
        <v/>
      </c>
    </row>
    <row r="186" ht="15" customHeight="1" s="402">
      <c r="A186" s="8">
        <f>+'Invullen groen'!A192</f>
        <v/>
      </c>
      <c r="B186" s="9">
        <f>+'Invullen groen'!C192</f>
        <v/>
      </c>
      <c r="C186" s="19">
        <f>+'Invullen groen'!G192</f>
        <v/>
      </c>
      <c r="D186" s="10">
        <f>+'Invullen groen'!M192</f>
        <v/>
      </c>
      <c r="E186" s="11">
        <f>+'Invullen groen'!H192</f>
        <v/>
      </c>
      <c r="F186" s="11">
        <f>+'Invullen groen'!I192</f>
        <v/>
      </c>
      <c r="G186" s="11">
        <f>+'Invullen groen'!J192</f>
        <v/>
      </c>
      <c r="H186" s="11">
        <f>+'Invullen groen'!K192</f>
        <v/>
      </c>
      <c r="I186" s="124">
        <f>+'Invullen groen'!AW192</f>
        <v/>
      </c>
      <c r="J186" s="124">
        <f>+'Invullen groen'!AX192</f>
        <v/>
      </c>
      <c r="K186" s="124">
        <f>+'Invullen groen'!AY192</f>
        <v/>
      </c>
      <c r="L186" s="124">
        <f>+'Invullen groen'!AZ192</f>
        <v/>
      </c>
      <c r="M186" s="124">
        <f>+'Invullen groen'!BA192</f>
        <v/>
      </c>
      <c r="N186" s="124">
        <f>+'Invullen groen'!BB192</f>
        <v/>
      </c>
      <c r="O186" s="124">
        <f>+'Invullen groen'!BC192</f>
        <v/>
      </c>
      <c r="P186" s="124">
        <f>+'Invullen groen'!BD192</f>
        <v/>
      </c>
    </row>
    <row r="187" ht="15" customHeight="1" s="402">
      <c r="A187" s="8">
        <f>+'Invullen groen'!A193</f>
        <v/>
      </c>
      <c r="B187" s="9">
        <f>+'Invullen groen'!C193</f>
        <v/>
      </c>
      <c r="C187" s="19">
        <f>+'Invullen groen'!G193</f>
        <v/>
      </c>
      <c r="D187" s="10">
        <f>+'Invullen groen'!M193</f>
        <v/>
      </c>
      <c r="E187" s="11">
        <f>+'Invullen groen'!H193</f>
        <v/>
      </c>
      <c r="F187" s="11">
        <f>+'Invullen groen'!I193</f>
        <v/>
      </c>
      <c r="G187" s="11">
        <f>+'Invullen groen'!J193</f>
        <v/>
      </c>
      <c r="H187" s="11">
        <f>+'Invullen groen'!K193</f>
        <v/>
      </c>
      <c r="I187" s="124">
        <f>+'Invullen groen'!AW193</f>
        <v/>
      </c>
      <c r="J187" s="124">
        <f>+'Invullen groen'!AX193</f>
        <v/>
      </c>
      <c r="K187" s="124">
        <f>+'Invullen groen'!AY193</f>
        <v/>
      </c>
      <c r="L187" s="124">
        <f>+'Invullen groen'!AZ193</f>
        <v/>
      </c>
      <c r="M187" s="124">
        <f>+'Invullen groen'!BA193</f>
        <v/>
      </c>
      <c r="N187" s="124">
        <f>+'Invullen groen'!BB193</f>
        <v/>
      </c>
      <c r="O187" s="124">
        <f>+'Invullen groen'!BC193</f>
        <v/>
      </c>
      <c r="P187" s="124">
        <f>+'Invullen groen'!BD193</f>
        <v/>
      </c>
    </row>
    <row r="188" ht="15" customHeight="1" s="402">
      <c r="A188" s="8">
        <f>+'Invullen groen'!A194</f>
        <v/>
      </c>
      <c r="B188" s="9">
        <f>+'Invullen groen'!C194</f>
        <v/>
      </c>
      <c r="C188" s="19">
        <f>+'Invullen groen'!G194</f>
        <v/>
      </c>
      <c r="D188" s="10">
        <f>+'Invullen groen'!M194</f>
        <v/>
      </c>
      <c r="E188" s="11">
        <f>+'Invullen groen'!H194</f>
        <v/>
      </c>
      <c r="F188" s="11">
        <f>+'Invullen groen'!I194</f>
        <v/>
      </c>
      <c r="G188" s="11">
        <f>+'Invullen groen'!J194</f>
        <v/>
      </c>
      <c r="H188" s="11">
        <f>+'Invullen groen'!K194</f>
        <v/>
      </c>
      <c r="I188" s="124">
        <f>+'Invullen groen'!AW194</f>
        <v/>
      </c>
      <c r="J188" s="124">
        <f>+'Invullen groen'!AX194</f>
        <v/>
      </c>
      <c r="K188" s="124">
        <f>+'Invullen groen'!AY194</f>
        <v/>
      </c>
      <c r="L188" s="124">
        <f>+'Invullen groen'!AZ194</f>
        <v/>
      </c>
      <c r="M188" s="124">
        <f>+'Invullen groen'!BA194</f>
        <v/>
      </c>
      <c r="N188" s="124">
        <f>+'Invullen groen'!BB194</f>
        <v/>
      </c>
      <c r="O188" s="124">
        <f>+'Invullen groen'!BC194</f>
        <v/>
      </c>
      <c r="P188" s="124">
        <f>+'Invullen groen'!BD194</f>
        <v/>
      </c>
    </row>
    <row r="189" ht="15" customHeight="1" s="402">
      <c r="A189" s="8">
        <f>+'Invullen groen'!A195</f>
        <v/>
      </c>
      <c r="B189" s="9">
        <f>+'Invullen groen'!C195</f>
        <v/>
      </c>
      <c r="C189" s="19">
        <f>+'Invullen groen'!G195</f>
        <v/>
      </c>
      <c r="D189" s="10">
        <f>+'Invullen groen'!M195</f>
        <v/>
      </c>
      <c r="E189" s="11">
        <f>+'Invullen groen'!H195</f>
        <v/>
      </c>
      <c r="F189" s="11">
        <f>+'Invullen groen'!I195</f>
        <v/>
      </c>
      <c r="G189" s="11">
        <f>+'Invullen groen'!J195</f>
        <v/>
      </c>
      <c r="H189" s="11">
        <f>+'Invullen groen'!K195</f>
        <v/>
      </c>
      <c r="I189" s="124">
        <f>+'Invullen groen'!AW195</f>
        <v/>
      </c>
      <c r="J189" s="124">
        <f>+'Invullen groen'!AX195</f>
        <v/>
      </c>
      <c r="K189" s="124">
        <f>+'Invullen groen'!AY195</f>
        <v/>
      </c>
      <c r="L189" s="124">
        <f>+'Invullen groen'!AZ195</f>
        <v/>
      </c>
      <c r="M189" s="124">
        <f>+'Invullen groen'!BA195</f>
        <v/>
      </c>
      <c r="N189" s="124">
        <f>+'Invullen groen'!BB195</f>
        <v/>
      </c>
      <c r="O189" s="124">
        <f>+'Invullen groen'!BC195</f>
        <v/>
      </c>
      <c r="P189" s="124">
        <f>+'Invullen groen'!BD195</f>
        <v/>
      </c>
    </row>
    <row r="190" ht="15" customHeight="1" s="402">
      <c r="A190" s="8">
        <f>+'Invullen groen'!A196</f>
        <v/>
      </c>
      <c r="B190" s="9">
        <f>+'Invullen groen'!C196</f>
        <v/>
      </c>
      <c r="C190" s="19">
        <f>+'Invullen groen'!G196</f>
        <v/>
      </c>
      <c r="D190" s="10">
        <f>+'Invullen groen'!M196</f>
        <v/>
      </c>
      <c r="E190" s="11">
        <f>+'Invullen groen'!H196</f>
        <v/>
      </c>
      <c r="F190" s="11">
        <f>+'Invullen groen'!I196</f>
        <v/>
      </c>
      <c r="G190" s="11">
        <f>+'Invullen groen'!J196</f>
        <v/>
      </c>
      <c r="H190" s="11">
        <f>+'Invullen groen'!K196</f>
        <v/>
      </c>
      <c r="I190" s="124">
        <f>+'Invullen groen'!AW196</f>
        <v/>
      </c>
      <c r="J190" s="124">
        <f>+'Invullen groen'!AX196</f>
        <v/>
      </c>
      <c r="K190" s="124">
        <f>+'Invullen groen'!AY196</f>
        <v/>
      </c>
      <c r="L190" s="124">
        <f>+'Invullen groen'!AZ196</f>
        <v/>
      </c>
      <c r="M190" s="124">
        <f>+'Invullen groen'!BA196</f>
        <v/>
      </c>
      <c r="N190" s="124">
        <f>+'Invullen groen'!BB196</f>
        <v/>
      </c>
      <c r="O190" s="124">
        <f>+'Invullen groen'!BC196</f>
        <v/>
      </c>
      <c r="P190" s="124">
        <f>+'Invullen groen'!BD196</f>
        <v/>
      </c>
    </row>
    <row r="191" ht="15" customHeight="1" s="402">
      <c r="A191" s="8">
        <f>+'Invullen groen'!A197</f>
        <v/>
      </c>
      <c r="B191" s="9">
        <f>+'Invullen groen'!C197</f>
        <v/>
      </c>
      <c r="C191" s="19">
        <f>+'Invullen groen'!G197</f>
        <v/>
      </c>
      <c r="D191" s="10">
        <f>+'Invullen groen'!M197</f>
        <v/>
      </c>
      <c r="E191" s="11">
        <f>+'Invullen groen'!H197</f>
        <v/>
      </c>
      <c r="F191" s="11">
        <f>+'Invullen groen'!I197</f>
        <v/>
      </c>
      <c r="G191" s="11">
        <f>+'Invullen groen'!J197</f>
        <v/>
      </c>
      <c r="H191" s="11">
        <f>+'Invullen groen'!K197</f>
        <v/>
      </c>
      <c r="I191" s="124">
        <f>+'Invullen groen'!AW197</f>
        <v/>
      </c>
      <c r="J191" s="124">
        <f>+'Invullen groen'!AX197</f>
        <v/>
      </c>
      <c r="K191" s="124">
        <f>+'Invullen groen'!AY197</f>
        <v/>
      </c>
      <c r="L191" s="124">
        <f>+'Invullen groen'!AZ197</f>
        <v/>
      </c>
      <c r="M191" s="124">
        <f>+'Invullen groen'!BA197</f>
        <v/>
      </c>
      <c r="N191" s="124">
        <f>+'Invullen groen'!BB197</f>
        <v/>
      </c>
      <c r="O191" s="124">
        <f>+'Invullen groen'!BC197</f>
        <v/>
      </c>
      <c r="P191" s="124">
        <f>+'Invullen groen'!BD197</f>
        <v/>
      </c>
    </row>
    <row r="192" ht="15" customHeight="1" s="402">
      <c r="A192" s="8">
        <f>+'Invullen groen'!A198</f>
        <v/>
      </c>
      <c r="B192" s="9">
        <f>+'Invullen groen'!C198</f>
        <v/>
      </c>
      <c r="C192" s="19">
        <f>+'Invullen groen'!G198</f>
        <v/>
      </c>
      <c r="D192" s="10">
        <f>+'Invullen groen'!M198</f>
        <v/>
      </c>
      <c r="E192" s="11">
        <f>+'Invullen groen'!H198</f>
        <v/>
      </c>
      <c r="F192" s="11">
        <f>+'Invullen groen'!I198</f>
        <v/>
      </c>
      <c r="G192" s="11">
        <f>+'Invullen groen'!J198</f>
        <v/>
      </c>
      <c r="H192" s="11">
        <f>+'Invullen groen'!K198</f>
        <v/>
      </c>
      <c r="I192" s="124">
        <f>+'Invullen groen'!AW198</f>
        <v/>
      </c>
      <c r="J192" s="124">
        <f>+'Invullen groen'!AX198</f>
        <v/>
      </c>
      <c r="K192" s="124">
        <f>+'Invullen groen'!AY198</f>
        <v/>
      </c>
      <c r="L192" s="124">
        <f>+'Invullen groen'!AZ198</f>
        <v/>
      </c>
      <c r="M192" s="124">
        <f>+'Invullen groen'!BA198</f>
        <v/>
      </c>
      <c r="N192" s="124">
        <f>+'Invullen groen'!BB198</f>
        <v/>
      </c>
      <c r="O192" s="124">
        <f>+'Invullen groen'!BC198</f>
        <v/>
      </c>
      <c r="P192" s="124">
        <f>+'Invullen groen'!BD198</f>
        <v/>
      </c>
    </row>
    <row r="193" ht="15" customHeight="1" s="402">
      <c r="A193" s="8">
        <f>+'Invullen groen'!A199</f>
        <v/>
      </c>
      <c r="B193" s="9">
        <f>+'Invullen groen'!C199</f>
        <v/>
      </c>
      <c r="C193" s="19">
        <f>+'Invullen groen'!G199</f>
        <v/>
      </c>
      <c r="D193" s="10">
        <f>+'Invullen groen'!M199</f>
        <v/>
      </c>
      <c r="E193" s="11">
        <f>+'Invullen groen'!H199</f>
        <v/>
      </c>
      <c r="F193" s="11">
        <f>+'Invullen groen'!I199</f>
        <v/>
      </c>
      <c r="G193" s="11">
        <f>+'Invullen groen'!J199</f>
        <v/>
      </c>
      <c r="H193" s="11">
        <f>+'Invullen groen'!K199</f>
        <v/>
      </c>
      <c r="I193" s="124">
        <f>+'Invullen groen'!AW199</f>
        <v/>
      </c>
      <c r="J193" s="124">
        <f>+'Invullen groen'!AX199</f>
        <v/>
      </c>
      <c r="K193" s="124">
        <f>+'Invullen groen'!AY199</f>
        <v/>
      </c>
      <c r="L193" s="124">
        <f>+'Invullen groen'!AZ199</f>
        <v/>
      </c>
      <c r="M193" s="124">
        <f>+'Invullen groen'!BA199</f>
        <v/>
      </c>
      <c r="N193" s="124">
        <f>+'Invullen groen'!BB199</f>
        <v/>
      </c>
      <c r="O193" s="124">
        <f>+'Invullen groen'!BC199</f>
        <v/>
      </c>
      <c r="P193" s="124">
        <f>+'Invullen groen'!BD199</f>
        <v/>
      </c>
    </row>
    <row r="194" ht="15" customHeight="1" s="402">
      <c r="A194" s="8">
        <f>+'Invullen groen'!A200</f>
        <v/>
      </c>
      <c r="B194" s="9">
        <f>+'Invullen groen'!C200</f>
        <v/>
      </c>
      <c r="C194" s="19">
        <f>+'Invullen groen'!G200</f>
        <v/>
      </c>
      <c r="D194" s="10">
        <f>+'Invullen groen'!M200</f>
        <v/>
      </c>
      <c r="E194" s="11">
        <f>+'Invullen groen'!H200</f>
        <v/>
      </c>
      <c r="F194" s="11">
        <f>+'Invullen groen'!I200</f>
        <v/>
      </c>
      <c r="G194" s="11">
        <f>+'Invullen groen'!J200</f>
        <v/>
      </c>
      <c r="H194" s="11">
        <f>+'Invullen groen'!K200</f>
        <v/>
      </c>
      <c r="I194" s="124">
        <f>+'Invullen groen'!AW200</f>
        <v/>
      </c>
      <c r="J194" s="124">
        <f>+'Invullen groen'!AX200</f>
        <v/>
      </c>
      <c r="K194" s="124">
        <f>+'Invullen groen'!AY200</f>
        <v/>
      </c>
      <c r="L194" s="124">
        <f>+'Invullen groen'!AZ200</f>
        <v/>
      </c>
      <c r="M194" s="124">
        <f>+'Invullen groen'!BA200</f>
        <v/>
      </c>
      <c r="N194" s="124">
        <f>+'Invullen groen'!BB200</f>
        <v/>
      </c>
      <c r="O194" s="124">
        <f>+'Invullen groen'!BC200</f>
        <v/>
      </c>
      <c r="P194" s="124">
        <f>+'Invullen groen'!BD200</f>
        <v/>
      </c>
    </row>
    <row r="195" ht="15" customHeight="1" s="402">
      <c r="A195" s="8">
        <f>+'Invullen groen'!A201</f>
        <v/>
      </c>
      <c r="B195" s="9">
        <f>+'Invullen groen'!C201</f>
        <v/>
      </c>
      <c r="C195" s="19">
        <f>+'Invullen groen'!G201</f>
        <v/>
      </c>
      <c r="D195" s="10">
        <f>+'Invullen groen'!M201</f>
        <v/>
      </c>
      <c r="E195" s="11">
        <f>+'Invullen groen'!H201</f>
        <v/>
      </c>
      <c r="F195" s="11">
        <f>+'Invullen groen'!I201</f>
        <v/>
      </c>
      <c r="G195" s="11">
        <f>+'Invullen groen'!J201</f>
        <v/>
      </c>
      <c r="H195" s="11">
        <f>+'Invullen groen'!K201</f>
        <v/>
      </c>
      <c r="I195" s="124">
        <f>+'Invullen groen'!AW201</f>
        <v/>
      </c>
      <c r="J195" s="124">
        <f>+'Invullen groen'!AX201</f>
        <v/>
      </c>
      <c r="K195" s="124">
        <f>+'Invullen groen'!AY201</f>
        <v/>
      </c>
      <c r="L195" s="124">
        <f>+'Invullen groen'!AZ201</f>
        <v/>
      </c>
      <c r="M195" s="124">
        <f>+'Invullen groen'!BA201</f>
        <v/>
      </c>
      <c r="N195" s="124">
        <f>+'Invullen groen'!BB201</f>
        <v/>
      </c>
      <c r="O195" s="124">
        <f>+'Invullen groen'!BC201</f>
        <v/>
      </c>
      <c r="P195" s="124">
        <f>+'Invullen groen'!BD201</f>
        <v/>
      </c>
    </row>
    <row r="196" ht="15" customHeight="1" s="402">
      <c r="A196" s="8">
        <f>+'Invullen groen'!A202</f>
        <v/>
      </c>
      <c r="B196" s="9">
        <f>+'Invullen groen'!C202</f>
        <v/>
      </c>
      <c r="C196" s="19">
        <f>+'Invullen groen'!G202</f>
        <v/>
      </c>
      <c r="D196" s="10">
        <f>+'Invullen groen'!M202</f>
        <v/>
      </c>
      <c r="E196" s="11">
        <f>+'Invullen groen'!H202</f>
        <v/>
      </c>
      <c r="F196" s="11">
        <f>+'Invullen groen'!I202</f>
        <v/>
      </c>
      <c r="G196" s="11">
        <f>+'Invullen groen'!J202</f>
        <v/>
      </c>
      <c r="H196" s="11">
        <f>+'Invullen groen'!K202</f>
        <v/>
      </c>
      <c r="I196" s="124">
        <f>+'Invullen groen'!AW202</f>
        <v/>
      </c>
      <c r="J196" s="124">
        <f>+'Invullen groen'!AX202</f>
        <v/>
      </c>
      <c r="K196" s="124">
        <f>+'Invullen groen'!AY202</f>
        <v/>
      </c>
      <c r="L196" s="124">
        <f>+'Invullen groen'!AZ202</f>
        <v/>
      </c>
      <c r="M196" s="124">
        <f>+'Invullen groen'!BA202</f>
        <v/>
      </c>
      <c r="N196" s="124">
        <f>+'Invullen groen'!BB202</f>
        <v/>
      </c>
      <c r="O196" s="124">
        <f>+'Invullen groen'!BC202</f>
        <v/>
      </c>
      <c r="P196" s="124">
        <f>+'Invullen groen'!BD202</f>
        <v/>
      </c>
    </row>
    <row r="197" ht="15" customHeight="1" s="402">
      <c r="A197" s="8">
        <f>+'Invullen groen'!A203</f>
        <v/>
      </c>
      <c r="B197" s="9">
        <f>+'Invullen groen'!C203</f>
        <v/>
      </c>
      <c r="C197" s="19">
        <f>+'Invullen groen'!G203</f>
        <v/>
      </c>
      <c r="D197" s="10">
        <f>+'Invullen groen'!M203</f>
        <v/>
      </c>
      <c r="E197" s="11">
        <f>+'Invullen groen'!H203</f>
        <v/>
      </c>
      <c r="F197" s="11">
        <f>+'Invullen groen'!I203</f>
        <v/>
      </c>
      <c r="G197" s="11">
        <f>+'Invullen groen'!J203</f>
        <v/>
      </c>
      <c r="H197" s="11">
        <f>+'Invullen groen'!K203</f>
        <v/>
      </c>
      <c r="I197" s="124">
        <f>+'Invullen groen'!AW203</f>
        <v/>
      </c>
      <c r="J197" s="124">
        <f>+'Invullen groen'!AX203</f>
        <v/>
      </c>
      <c r="K197" s="124">
        <f>+'Invullen groen'!AY203</f>
        <v/>
      </c>
      <c r="L197" s="124">
        <f>+'Invullen groen'!AZ203</f>
        <v/>
      </c>
      <c r="M197" s="124">
        <f>+'Invullen groen'!BA203</f>
        <v/>
      </c>
      <c r="N197" s="124">
        <f>+'Invullen groen'!BB203</f>
        <v/>
      </c>
      <c r="O197" s="124">
        <f>+'Invullen groen'!BC203</f>
        <v/>
      </c>
      <c r="P197" s="124">
        <f>+'Invullen groen'!BD203</f>
        <v/>
      </c>
    </row>
    <row r="198" ht="15" customHeight="1" s="402">
      <c r="A198" s="8">
        <f>+'Invullen groen'!A204</f>
        <v/>
      </c>
      <c r="B198" s="9">
        <f>+'Invullen groen'!C204</f>
        <v/>
      </c>
      <c r="C198" s="19">
        <f>+'Invullen groen'!G204</f>
        <v/>
      </c>
      <c r="D198" s="10">
        <f>+'Invullen groen'!M204</f>
        <v/>
      </c>
      <c r="E198" s="11">
        <f>+'Invullen groen'!H204</f>
        <v/>
      </c>
      <c r="F198" s="11">
        <f>+'Invullen groen'!I204</f>
        <v/>
      </c>
      <c r="G198" s="11">
        <f>+'Invullen groen'!J204</f>
        <v/>
      </c>
      <c r="H198" s="11">
        <f>+'Invullen groen'!K204</f>
        <v/>
      </c>
      <c r="I198" s="124">
        <f>+'Invullen groen'!AW204</f>
        <v/>
      </c>
      <c r="J198" s="124">
        <f>+'Invullen groen'!AX204</f>
        <v/>
      </c>
      <c r="K198" s="124">
        <f>+'Invullen groen'!AY204</f>
        <v/>
      </c>
      <c r="L198" s="124">
        <f>+'Invullen groen'!AZ204</f>
        <v/>
      </c>
      <c r="M198" s="124">
        <f>+'Invullen groen'!BA204</f>
        <v/>
      </c>
      <c r="N198" s="124">
        <f>+'Invullen groen'!BB204</f>
        <v/>
      </c>
      <c r="O198" s="124">
        <f>+'Invullen groen'!BC204</f>
        <v/>
      </c>
      <c r="P198" s="124">
        <f>+'Invullen groen'!BD204</f>
        <v/>
      </c>
    </row>
    <row r="199" ht="15" customHeight="1" s="402">
      <c r="A199" s="8">
        <f>+'Invullen groen'!A205</f>
        <v/>
      </c>
      <c r="B199" s="9">
        <f>+'Invullen groen'!C205</f>
        <v/>
      </c>
      <c r="C199" s="19">
        <f>+'Invullen groen'!G205</f>
        <v/>
      </c>
      <c r="D199" s="10">
        <f>+'Invullen groen'!M205</f>
        <v/>
      </c>
      <c r="E199" s="11">
        <f>+'Invullen groen'!H205</f>
        <v/>
      </c>
      <c r="F199" s="11">
        <f>+'Invullen groen'!I205</f>
        <v/>
      </c>
      <c r="G199" s="11">
        <f>+'Invullen groen'!J205</f>
        <v/>
      </c>
      <c r="H199" s="11">
        <f>+'Invullen groen'!K205</f>
        <v/>
      </c>
      <c r="I199" s="124">
        <f>+'Invullen groen'!AW205</f>
        <v/>
      </c>
      <c r="J199" s="124">
        <f>+'Invullen groen'!AX205</f>
        <v/>
      </c>
      <c r="K199" s="124">
        <f>+'Invullen groen'!AY205</f>
        <v/>
      </c>
      <c r="L199" s="124">
        <f>+'Invullen groen'!AZ205</f>
        <v/>
      </c>
      <c r="M199" s="124">
        <f>+'Invullen groen'!BA205</f>
        <v/>
      </c>
      <c r="N199" s="124">
        <f>+'Invullen groen'!BB205</f>
        <v/>
      </c>
      <c r="O199" s="124">
        <f>+'Invullen groen'!BC205</f>
        <v/>
      </c>
      <c r="P199" s="124">
        <f>+'Invullen groen'!BD205</f>
        <v/>
      </c>
    </row>
    <row r="200" ht="15" customHeight="1" s="402">
      <c r="A200" s="8">
        <f>+'Invullen groen'!A206</f>
        <v/>
      </c>
      <c r="B200" s="9">
        <f>+'Invullen groen'!C206</f>
        <v/>
      </c>
      <c r="C200" s="19">
        <f>+'Invullen groen'!G206</f>
        <v/>
      </c>
      <c r="D200" s="10">
        <f>+'Invullen groen'!M206</f>
        <v/>
      </c>
      <c r="E200" s="11">
        <f>+'Invullen groen'!H206</f>
        <v/>
      </c>
      <c r="F200" s="11">
        <f>+'Invullen groen'!I206</f>
        <v/>
      </c>
      <c r="G200" s="11">
        <f>+'Invullen groen'!J206</f>
        <v/>
      </c>
      <c r="H200" s="11">
        <f>+'Invullen groen'!K206</f>
        <v/>
      </c>
      <c r="I200" s="124">
        <f>+'Invullen groen'!AW206</f>
        <v/>
      </c>
      <c r="J200" s="124">
        <f>+'Invullen groen'!AX206</f>
        <v/>
      </c>
      <c r="K200" s="124">
        <f>+'Invullen groen'!AY206</f>
        <v/>
      </c>
      <c r="L200" s="124">
        <f>+'Invullen groen'!AZ206</f>
        <v/>
      </c>
      <c r="M200" s="124">
        <f>+'Invullen groen'!BA206</f>
        <v/>
      </c>
      <c r="N200" s="124">
        <f>+'Invullen groen'!BB206</f>
        <v/>
      </c>
      <c r="O200" s="124">
        <f>+'Invullen groen'!BC206</f>
        <v/>
      </c>
      <c r="P200" s="124">
        <f>+'Invullen groen'!BD206</f>
        <v/>
      </c>
    </row>
    <row r="201" ht="15" customHeight="1" s="402">
      <c r="A201" s="8">
        <f>+'Invullen groen'!A207</f>
        <v/>
      </c>
      <c r="B201" s="9">
        <f>+'Invullen groen'!C207</f>
        <v/>
      </c>
      <c r="C201" s="19">
        <f>+'Invullen groen'!G207</f>
        <v/>
      </c>
      <c r="D201" s="10">
        <f>+'Invullen groen'!M207</f>
        <v/>
      </c>
      <c r="E201" s="11">
        <f>+'Invullen groen'!H207</f>
        <v/>
      </c>
      <c r="F201" s="11">
        <f>+'Invullen groen'!I207</f>
        <v/>
      </c>
      <c r="G201" s="11">
        <f>+'Invullen groen'!J207</f>
        <v/>
      </c>
      <c r="H201" s="11">
        <f>+'Invullen groen'!K207</f>
        <v/>
      </c>
      <c r="I201" s="124">
        <f>+'Invullen groen'!AW207</f>
        <v/>
      </c>
      <c r="J201" s="124">
        <f>+'Invullen groen'!AX207</f>
        <v/>
      </c>
      <c r="K201" s="124">
        <f>+'Invullen groen'!AY207</f>
        <v/>
      </c>
      <c r="L201" s="124">
        <f>+'Invullen groen'!AZ207</f>
        <v/>
      </c>
      <c r="M201" s="124">
        <f>+'Invullen groen'!BA207</f>
        <v/>
      </c>
      <c r="N201" s="124">
        <f>+'Invullen groen'!BB207</f>
        <v/>
      </c>
      <c r="O201" s="124">
        <f>+'Invullen groen'!BC207</f>
        <v/>
      </c>
      <c r="P201" s="124">
        <f>+'Invullen groen'!BD207</f>
        <v/>
      </c>
    </row>
    <row r="202" ht="15" customHeight="1" s="402">
      <c r="A202" s="8">
        <f>+'Invullen groen'!A208</f>
        <v/>
      </c>
      <c r="B202" s="9">
        <f>+'Invullen groen'!C208</f>
        <v/>
      </c>
      <c r="C202" s="19">
        <f>+'Invullen groen'!G208</f>
        <v/>
      </c>
      <c r="D202" s="10">
        <f>+'Invullen groen'!M208</f>
        <v/>
      </c>
      <c r="E202" s="11">
        <f>+'Invullen groen'!H208</f>
        <v/>
      </c>
      <c r="F202" s="11">
        <f>+'Invullen groen'!I208</f>
        <v/>
      </c>
      <c r="G202" s="11">
        <f>+'Invullen groen'!J208</f>
        <v/>
      </c>
      <c r="H202" s="11">
        <f>+'Invullen groen'!K208</f>
        <v/>
      </c>
      <c r="I202" s="124">
        <f>+'Invullen groen'!AW208</f>
        <v/>
      </c>
      <c r="J202" s="124">
        <f>+'Invullen groen'!AX208</f>
        <v/>
      </c>
      <c r="K202" s="124">
        <f>+'Invullen groen'!AY208</f>
        <v/>
      </c>
      <c r="L202" s="124">
        <f>+'Invullen groen'!AZ208</f>
        <v/>
      </c>
      <c r="M202" s="124">
        <f>+'Invullen groen'!BA208</f>
        <v/>
      </c>
      <c r="N202" s="124">
        <f>+'Invullen groen'!BB208</f>
        <v/>
      </c>
      <c r="O202" s="124">
        <f>+'Invullen groen'!BC208</f>
        <v/>
      </c>
      <c r="P202" s="124">
        <f>+'Invullen groen'!BD208</f>
        <v/>
      </c>
    </row>
    <row r="203" ht="15" customHeight="1" s="402">
      <c r="A203" s="8">
        <f>+'Invullen groen'!A209</f>
        <v/>
      </c>
      <c r="B203" s="9">
        <f>+'Invullen groen'!C209</f>
        <v/>
      </c>
      <c r="C203" s="19">
        <f>+'Invullen groen'!G209</f>
        <v/>
      </c>
      <c r="D203" s="10">
        <f>+'Invullen groen'!M209</f>
        <v/>
      </c>
      <c r="E203" s="11">
        <f>+'Invullen groen'!H209</f>
        <v/>
      </c>
      <c r="F203" s="11">
        <f>+'Invullen groen'!I209</f>
        <v/>
      </c>
      <c r="G203" s="11">
        <f>+'Invullen groen'!J209</f>
        <v/>
      </c>
      <c r="H203" s="11">
        <f>+'Invullen groen'!K209</f>
        <v/>
      </c>
      <c r="I203" s="124">
        <f>+'Invullen groen'!AW209</f>
        <v/>
      </c>
      <c r="J203" s="124">
        <f>+'Invullen groen'!AX209</f>
        <v/>
      </c>
      <c r="K203" s="124">
        <f>+'Invullen groen'!AY209</f>
        <v/>
      </c>
      <c r="L203" s="124">
        <f>+'Invullen groen'!AZ209</f>
        <v/>
      </c>
      <c r="M203" s="124">
        <f>+'Invullen groen'!BA209</f>
        <v/>
      </c>
      <c r="N203" s="124">
        <f>+'Invullen groen'!BB209</f>
        <v/>
      </c>
      <c r="O203" s="124">
        <f>+'Invullen groen'!BC209</f>
        <v/>
      </c>
      <c r="P203" s="124">
        <f>+'Invullen groen'!BD209</f>
        <v/>
      </c>
    </row>
    <row r="204" ht="15" customHeight="1" s="402">
      <c r="A204" s="8">
        <f>+'Invullen groen'!A210</f>
        <v/>
      </c>
      <c r="B204" s="9">
        <f>+'Invullen groen'!C210</f>
        <v/>
      </c>
      <c r="C204" s="19">
        <f>+'Invullen groen'!G210</f>
        <v/>
      </c>
      <c r="D204" s="10">
        <f>+'Invullen groen'!M210</f>
        <v/>
      </c>
      <c r="E204" s="11">
        <f>+'Invullen groen'!H210</f>
        <v/>
      </c>
      <c r="F204" s="11">
        <f>+'Invullen groen'!I210</f>
        <v/>
      </c>
      <c r="G204" s="11">
        <f>+'Invullen groen'!J210</f>
        <v/>
      </c>
      <c r="H204" s="11">
        <f>+'Invullen groen'!K210</f>
        <v/>
      </c>
      <c r="I204" s="124">
        <f>+'Invullen groen'!AW210</f>
        <v/>
      </c>
      <c r="J204" s="124">
        <f>+'Invullen groen'!AX210</f>
        <v/>
      </c>
      <c r="K204" s="124">
        <f>+'Invullen groen'!AY210</f>
        <v/>
      </c>
      <c r="L204" s="124">
        <f>+'Invullen groen'!AZ210</f>
        <v/>
      </c>
      <c r="M204" s="124">
        <f>+'Invullen groen'!BA210</f>
        <v/>
      </c>
      <c r="N204" s="124">
        <f>+'Invullen groen'!BB210</f>
        <v/>
      </c>
      <c r="O204" s="124">
        <f>+'Invullen groen'!BC210</f>
        <v/>
      </c>
      <c r="P204" s="124">
        <f>+'Invullen groen'!BD210</f>
        <v/>
      </c>
    </row>
    <row r="205" ht="15" customHeight="1" s="402">
      <c r="A205" s="8">
        <f>+'Invullen groen'!A211</f>
        <v/>
      </c>
      <c r="B205" s="9">
        <f>+'Invullen groen'!C211</f>
        <v/>
      </c>
      <c r="C205" s="19">
        <f>+'Invullen groen'!G211</f>
        <v/>
      </c>
      <c r="D205" s="10">
        <f>+'Invullen groen'!M211</f>
        <v/>
      </c>
      <c r="E205" s="11">
        <f>+'Invullen groen'!H211</f>
        <v/>
      </c>
      <c r="F205" s="11">
        <f>+'Invullen groen'!I211</f>
        <v/>
      </c>
      <c r="G205" s="11">
        <f>+'Invullen groen'!J211</f>
        <v/>
      </c>
      <c r="H205" s="11">
        <f>+'Invullen groen'!K211</f>
        <v/>
      </c>
      <c r="I205" s="124">
        <f>+'Invullen groen'!AW211</f>
        <v/>
      </c>
      <c r="J205" s="124">
        <f>+'Invullen groen'!AX211</f>
        <v/>
      </c>
      <c r="K205" s="124">
        <f>+'Invullen groen'!AY211</f>
        <v/>
      </c>
      <c r="L205" s="124">
        <f>+'Invullen groen'!AZ211</f>
        <v/>
      </c>
      <c r="M205" s="124">
        <f>+'Invullen groen'!BA211</f>
        <v/>
      </c>
      <c r="N205" s="124">
        <f>+'Invullen groen'!BB211</f>
        <v/>
      </c>
      <c r="O205" s="124">
        <f>+'Invullen groen'!BC211</f>
        <v/>
      </c>
      <c r="P205" s="124">
        <f>+'Invullen groen'!BD211</f>
        <v/>
      </c>
    </row>
    <row r="206" ht="15" customHeight="1" s="402">
      <c r="A206" s="8">
        <f>+'Invullen groen'!A212</f>
        <v/>
      </c>
      <c r="B206" s="9">
        <f>+'Invullen groen'!C212</f>
        <v/>
      </c>
      <c r="C206" s="19">
        <f>+'Invullen groen'!G212</f>
        <v/>
      </c>
      <c r="D206" s="10">
        <f>+'Invullen groen'!M212</f>
        <v/>
      </c>
      <c r="E206" s="11">
        <f>+'Invullen groen'!H212</f>
        <v/>
      </c>
      <c r="F206" s="11">
        <f>+'Invullen groen'!I212</f>
        <v/>
      </c>
      <c r="G206" s="11">
        <f>+'Invullen groen'!J212</f>
        <v/>
      </c>
      <c r="H206" s="11">
        <f>+'Invullen groen'!K212</f>
        <v/>
      </c>
      <c r="I206" s="124">
        <f>+'Invullen groen'!AW212</f>
        <v/>
      </c>
      <c r="J206" s="124">
        <f>+'Invullen groen'!AX212</f>
        <v/>
      </c>
      <c r="K206" s="124">
        <f>+'Invullen groen'!AY212</f>
        <v/>
      </c>
      <c r="L206" s="124">
        <f>+'Invullen groen'!AZ212</f>
        <v/>
      </c>
      <c r="M206" s="124">
        <f>+'Invullen groen'!BA212</f>
        <v/>
      </c>
      <c r="N206" s="124">
        <f>+'Invullen groen'!BB212</f>
        <v/>
      </c>
      <c r="O206" s="124">
        <f>+'Invullen groen'!BC212</f>
        <v/>
      </c>
      <c r="P206" s="124">
        <f>+'Invullen groen'!BD212</f>
        <v/>
      </c>
    </row>
    <row r="207" ht="15" customHeight="1" s="402">
      <c r="A207" s="8">
        <f>+'Invullen groen'!A213</f>
        <v/>
      </c>
      <c r="B207" s="9">
        <f>+'Invullen groen'!C213</f>
        <v/>
      </c>
      <c r="C207" s="19">
        <f>+'Invullen groen'!G213</f>
        <v/>
      </c>
      <c r="D207" s="10">
        <f>+'Invullen groen'!M213</f>
        <v/>
      </c>
      <c r="E207" s="11">
        <f>+'Invullen groen'!H213</f>
        <v/>
      </c>
      <c r="F207" s="11">
        <f>+'Invullen groen'!I213</f>
        <v/>
      </c>
      <c r="G207" s="11">
        <f>+'Invullen groen'!J213</f>
        <v/>
      </c>
      <c r="H207" s="11">
        <f>+'Invullen groen'!K213</f>
        <v/>
      </c>
      <c r="I207" s="124">
        <f>+'Invullen groen'!AW213</f>
        <v/>
      </c>
      <c r="J207" s="124">
        <f>+'Invullen groen'!AX213</f>
        <v/>
      </c>
      <c r="K207" s="124">
        <f>+'Invullen groen'!AY213</f>
        <v/>
      </c>
      <c r="L207" s="124">
        <f>+'Invullen groen'!AZ213</f>
        <v/>
      </c>
      <c r="M207" s="124">
        <f>+'Invullen groen'!BA213</f>
        <v/>
      </c>
      <c r="N207" s="124">
        <f>+'Invullen groen'!BB213</f>
        <v/>
      </c>
      <c r="O207" s="124">
        <f>+'Invullen groen'!BC213</f>
        <v/>
      </c>
      <c r="P207" s="124">
        <f>+'Invullen groen'!BD213</f>
        <v/>
      </c>
    </row>
    <row r="208" ht="15" customHeight="1" s="402">
      <c r="A208" s="8">
        <f>+'Invullen groen'!A214</f>
        <v/>
      </c>
      <c r="B208" s="9">
        <f>+'Invullen groen'!C214</f>
        <v/>
      </c>
      <c r="C208" s="19">
        <f>+'Invullen groen'!G214</f>
        <v/>
      </c>
      <c r="D208" s="10">
        <f>+'Invullen groen'!M214</f>
        <v/>
      </c>
      <c r="E208" s="11">
        <f>+'Invullen groen'!H214</f>
        <v/>
      </c>
      <c r="F208" s="11">
        <f>+'Invullen groen'!I214</f>
        <v/>
      </c>
      <c r="G208" s="11">
        <f>+'Invullen groen'!J214</f>
        <v/>
      </c>
      <c r="H208" s="11">
        <f>+'Invullen groen'!K214</f>
        <v/>
      </c>
      <c r="I208" s="124">
        <f>+'Invullen groen'!AW214</f>
        <v/>
      </c>
      <c r="J208" s="124">
        <f>+'Invullen groen'!AX214</f>
        <v/>
      </c>
      <c r="K208" s="124">
        <f>+'Invullen groen'!AY214</f>
        <v/>
      </c>
      <c r="L208" s="124">
        <f>+'Invullen groen'!AZ214</f>
        <v/>
      </c>
      <c r="M208" s="124">
        <f>+'Invullen groen'!BA214</f>
        <v/>
      </c>
      <c r="N208" s="124">
        <f>+'Invullen groen'!BB214</f>
        <v/>
      </c>
      <c r="O208" s="124">
        <f>+'Invullen groen'!BC214</f>
        <v/>
      </c>
      <c r="P208" s="124">
        <f>+'Invullen groen'!BD214</f>
        <v/>
      </c>
      <c r="Q208" s="124" t="n"/>
      <c r="R208" s="124" t="n"/>
      <c r="S208" s="124" t="n"/>
      <c r="T208" s="124" t="n"/>
      <c r="U208" s="124" t="n"/>
      <c r="V208" s="124" t="n"/>
      <c r="W208" s="124" t="n"/>
      <c r="X208" s="124" t="n"/>
      <c r="Y208" s="124" t="n"/>
      <c r="Z208" s="124" t="n"/>
      <c r="AA208" s="124" t="n"/>
      <c r="AB208" s="124" t="n"/>
      <c r="AC208" s="124" t="n"/>
      <c r="AD208" s="124" t="n"/>
      <c r="AE208" s="124" t="n"/>
      <c r="AF208" s="124" t="n"/>
      <c r="AG208" s="124" t="n"/>
      <c r="AH208" s="124" t="n"/>
      <c r="AI208" s="124" t="n"/>
      <c r="AJ208" s="124" t="n"/>
      <c r="AK208" s="124" t="n"/>
      <c r="AL208" s="124" t="n"/>
      <c r="AM208" s="124" t="n"/>
      <c r="AN208" s="124" t="n"/>
      <c r="AO208" s="124" t="n"/>
      <c r="AP208" s="124" t="n"/>
      <c r="AQ208" s="124" t="n"/>
      <c r="AR208" s="124" t="n"/>
      <c r="AS208" s="124" t="n"/>
      <c r="AT208" s="124" t="n"/>
      <c r="AU208" s="124" t="n"/>
      <c r="AV208" s="124" t="n"/>
      <c r="AW208" s="124" t="n"/>
      <c r="AX208" s="124" t="n"/>
      <c r="AY208" s="124" t="n"/>
      <c r="AZ208" s="124" t="n"/>
      <c r="BA208" s="124" t="n"/>
      <c r="BB208" s="124" t="n"/>
      <c r="BC208" s="124" t="n"/>
      <c r="BD208" s="124" t="n"/>
      <c r="BE208" s="124" t="n"/>
      <c r="BF208" s="124" t="n"/>
      <c r="BG208" s="124" t="n"/>
      <c r="BH208" s="124" t="n"/>
      <c r="BI208" s="124" t="n"/>
      <c r="BJ208" s="124" t="n"/>
      <c r="BK208" s="124" t="n"/>
      <c r="BL208" s="124" t="n"/>
      <c r="BM208" s="124" t="n"/>
      <c r="BN208" s="124" t="n"/>
      <c r="BO208" s="124" t="n"/>
    </row>
    <row r="209" ht="15" customHeight="1" s="402">
      <c r="A209" s="8">
        <f>+'Invullen groen'!A215</f>
        <v/>
      </c>
      <c r="B209" s="9">
        <f>+'Invullen groen'!C215</f>
        <v/>
      </c>
      <c r="C209" s="19">
        <f>+'Invullen groen'!G215</f>
        <v/>
      </c>
      <c r="D209" s="10">
        <f>+'Invullen groen'!M215</f>
        <v/>
      </c>
      <c r="E209" s="13">
        <f>+'Invullen groen'!H215</f>
        <v/>
      </c>
      <c r="F209" s="13">
        <f>+'Invullen groen'!I215</f>
        <v/>
      </c>
      <c r="G209" s="13">
        <f>+'Invullen groen'!J215</f>
        <v/>
      </c>
      <c r="H209" s="13">
        <f>+'Invullen groen'!K215</f>
        <v/>
      </c>
      <c r="I209" s="124">
        <f>+'Invullen groen'!AW215</f>
        <v/>
      </c>
      <c r="J209" s="124">
        <f>+'Invullen groen'!AX215</f>
        <v/>
      </c>
      <c r="K209" s="124">
        <f>+'Invullen groen'!AY215</f>
        <v/>
      </c>
      <c r="L209" s="124">
        <f>+'Invullen groen'!AZ215</f>
        <v/>
      </c>
      <c r="M209" s="124">
        <f>+'Invullen groen'!BA215</f>
        <v/>
      </c>
      <c r="N209" s="124">
        <f>+'Invullen groen'!BB215</f>
        <v/>
      </c>
      <c r="O209" s="124">
        <f>+'Invullen groen'!BC215</f>
        <v/>
      </c>
      <c r="P209" s="124">
        <f>+'Invullen groen'!BD215</f>
        <v/>
      </c>
      <c r="Q209" s="124" t="n"/>
      <c r="R209" s="124" t="n"/>
      <c r="S209" s="124" t="n"/>
      <c r="T209" s="124" t="n"/>
      <c r="U209" s="124" t="n"/>
      <c r="V209" s="124" t="n"/>
      <c r="W209" s="124" t="n"/>
      <c r="X209" s="124" t="n"/>
      <c r="Y209" s="124" t="n"/>
      <c r="Z209" s="124" t="n"/>
      <c r="AA209" s="124" t="n"/>
      <c r="AB209" s="124" t="n"/>
      <c r="AC209" s="124" t="n"/>
      <c r="AD209" s="124" t="n"/>
      <c r="AE209" s="124" t="n"/>
      <c r="AF209" s="124" t="n"/>
      <c r="AG209" s="124" t="n"/>
      <c r="AH209" s="124" t="n"/>
      <c r="AI209" s="124" t="n"/>
      <c r="AJ209" s="124" t="n"/>
      <c r="AK209" s="124" t="n"/>
      <c r="AL209" s="124" t="n"/>
      <c r="AM209" s="124" t="n"/>
      <c r="AN209" s="124" t="n"/>
      <c r="AO209" s="124" t="n"/>
      <c r="AP209" s="124" t="n"/>
      <c r="AQ209" s="124" t="n"/>
      <c r="AR209" s="124" t="n"/>
      <c r="AS209" s="124" t="n"/>
      <c r="AT209" s="124" t="n"/>
      <c r="AU209" s="124" t="n"/>
      <c r="AV209" s="124" t="n"/>
      <c r="AW209" s="124" t="n"/>
      <c r="AX209" s="124" t="n"/>
      <c r="AY209" s="124" t="n"/>
      <c r="AZ209" s="124" t="n"/>
      <c r="BA209" s="124" t="n"/>
      <c r="BB209" s="124" t="n"/>
      <c r="BC209" s="124" t="n"/>
      <c r="BD209" s="124" t="n"/>
      <c r="BE209" s="124" t="n"/>
      <c r="BF209" s="124" t="n"/>
      <c r="BG209" s="124" t="n"/>
      <c r="BH209" s="124" t="n"/>
      <c r="BI209" s="124" t="n"/>
      <c r="BJ209" s="124" t="n"/>
      <c r="BK209" s="124" t="n"/>
      <c r="BL209" s="124" t="n"/>
      <c r="BM209" s="124" t="n"/>
      <c r="BN209" s="124" t="n"/>
      <c r="BO209" s="124" t="n"/>
    </row>
    <row r="210" ht="15" customHeight="1" s="402">
      <c r="A210" s="16">
        <f>+'Invullen groen'!A216</f>
        <v/>
      </c>
      <c r="B210" s="21">
        <f>+'Invullen groen'!C216</f>
        <v/>
      </c>
      <c r="C210" s="20">
        <f>+'Invullen groen'!G216</f>
        <v/>
      </c>
      <c r="D210" s="14">
        <f>+'Invullen groen'!M216</f>
        <v/>
      </c>
      <c r="E210" s="15">
        <f>+'Invullen groen'!H216</f>
        <v/>
      </c>
      <c r="F210" s="15">
        <f>+'Invullen groen'!I216</f>
        <v/>
      </c>
      <c r="G210" s="15">
        <f>+'Invullen groen'!J216</f>
        <v/>
      </c>
      <c r="H210" s="15">
        <f>+'Invullen groen'!K216</f>
        <v/>
      </c>
      <c r="I210" s="133">
        <f>+'Invullen groen'!AW216</f>
        <v/>
      </c>
      <c r="J210" s="133">
        <f>+'Invullen groen'!AX216</f>
        <v/>
      </c>
      <c r="K210" s="133">
        <f>+'Invullen groen'!AY216</f>
        <v/>
      </c>
      <c r="L210" s="133">
        <f>+'Invullen groen'!AZ216</f>
        <v/>
      </c>
      <c r="M210" s="133">
        <f>+'Invullen groen'!BA216</f>
        <v/>
      </c>
      <c r="N210" s="133">
        <f>+'Invullen groen'!BB216</f>
        <v/>
      </c>
      <c r="O210" s="133">
        <f>+'Invullen groen'!BC216</f>
        <v/>
      </c>
      <c r="P210" s="133">
        <f>+'Invullen groen'!BD216</f>
        <v/>
      </c>
      <c r="Q210" s="133" t="n"/>
      <c r="R210" s="133" t="n"/>
      <c r="S210" s="133" t="n"/>
      <c r="T210" s="133" t="n"/>
      <c r="U210" s="133" t="n"/>
      <c r="V210" s="133" t="n"/>
      <c r="W210" s="133" t="n"/>
      <c r="X210" s="133" t="n"/>
      <c r="Y210" s="133" t="n"/>
      <c r="Z210" s="133" t="n"/>
      <c r="AA210" s="133" t="n"/>
      <c r="AB210" s="133" t="n"/>
      <c r="AC210" s="133" t="n"/>
      <c r="AD210" s="133" t="n"/>
      <c r="AE210" s="133" t="n"/>
      <c r="AF210" s="133" t="n"/>
      <c r="AG210" s="133" t="n"/>
      <c r="AH210" s="133" t="n"/>
      <c r="AI210" s="133" t="n"/>
      <c r="AJ210" s="133" t="n"/>
      <c r="AK210" s="133" t="n"/>
      <c r="AL210" s="133" t="n"/>
      <c r="AM210" s="133" t="n"/>
      <c r="AN210" s="133" t="n"/>
      <c r="AO210" s="133" t="n"/>
      <c r="AP210" s="133" t="n"/>
      <c r="AQ210" s="133" t="n"/>
      <c r="AR210" s="133" t="n"/>
      <c r="AS210" s="133" t="n"/>
      <c r="AT210" s="133" t="n"/>
      <c r="AU210" s="133" t="n"/>
      <c r="AV210" s="133" t="n"/>
      <c r="AW210" s="133" t="n"/>
      <c r="AX210" s="133" t="n"/>
      <c r="AY210" s="133" t="n"/>
      <c r="AZ210" s="133" t="n"/>
      <c r="BA210" s="133" t="n"/>
      <c r="BB210" s="133" t="n"/>
      <c r="BC210" s="133" t="n"/>
      <c r="BD210" s="133" t="n"/>
      <c r="BE210" s="133" t="n"/>
      <c r="BF210" s="133" t="n"/>
      <c r="BG210" s="133" t="n"/>
      <c r="BH210" s="133" t="n"/>
      <c r="BI210" s="133" t="n"/>
      <c r="BJ210" s="133" t="n"/>
      <c r="BK210" s="133" t="n"/>
      <c r="BL210" s="133" t="n"/>
      <c r="BM210" s="133" t="n"/>
      <c r="BN210" s="133" t="n"/>
      <c r="BO210" s="133" t="n"/>
    </row>
    <row r="211" ht="15" customFormat="1" customHeight="1" s="22">
      <c r="A211" s="8">
        <f>+'Invullen groen'!A217</f>
        <v/>
      </c>
      <c r="B211" s="9">
        <f>+'Invullen groen'!C217</f>
        <v/>
      </c>
      <c r="C211" s="19">
        <f>+'Invullen groen'!G217</f>
        <v/>
      </c>
      <c r="D211" s="10">
        <f>+'Invullen groen'!M217</f>
        <v/>
      </c>
      <c r="E211" s="11">
        <f>+'Invullen groen'!H217</f>
        <v/>
      </c>
      <c r="F211" s="11">
        <f>+'Invullen groen'!I217</f>
        <v/>
      </c>
      <c r="G211" s="11">
        <f>+'Invullen groen'!J217</f>
        <v/>
      </c>
      <c r="H211" s="11">
        <f>+'Invullen groen'!K217</f>
        <v/>
      </c>
      <c r="I211" s="124">
        <f>+'Invullen groen'!AW217</f>
        <v/>
      </c>
      <c r="J211" s="124">
        <f>+'Invullen groen'!AX217</f>
        <v/>
      </c>
      <c r="K211" s="124">
        <f>+'Invullen groen'!AY217</f>
        <v/>
      </c>
      <c r="L211" s="124">
        <f>+'Invullen groen'!AZ217</f>
        <v/>
      </c>
      <c r="M211" s="124">
        <f>+'Invullen groen'!BA217</f>
        <v/>
      </c>
      <c r="N211" s="124">
        <f>+'Invullen groen'!BB217</f>
        <v/>
      </c>
      <c r="O211" s="124">
        <f>+'Invullen groen'!BC217</f>
        <v/>
      </c>
      <c r="P211" s="124">
        <f>+'Invullen groen'!BD217</f>
        <v/>
      </c>
      <c r="Q211" s="124" t="n"/>
      <c r="R211" s="124" t="n"/>
      <c r="S211" s="124" t="n"/>
      <c r="T211" s="124" t="n"/>
      <c r="U211" s="124" t="n"/>
      <c r="V211" s="124" t="n"/>
      <c r="W211" s="124" t="n"/>
      <c r="X211" s="124" t="n"/>
      <c r="Y211" s="124" t="n"/>
      <c r="Z211" s="124" t="n"/>
      <c r="AA211" s="124" t="n"/>
      <c r="AB211" s="124" t="n"/>
      <c r="AC211" s="124" t="n"/>
      <c r="AD211" s="124" t="n"/>
      <c r="AE211" s="124" t="n"/>
      <c r="AF211" s="124" t="n"/>
      <c r="AG211" s="124" t="n"/>
      <c r="AH211" s="124" t="n"/>
      <c r="AI211" s="124" t="n"/>
      <c r="AJ211" s="124" t="n"/>
      <c r="AK211" s="124" t="n"/>
      <c r="AL211" s="124" t="n"/>
      <c r="AM211" s="124" t="n"/>
      <c r="AN211" s="124" t="n"/>
      <c r="AO211" s="124" t="n"/>
      <c r="AP211" s="124" t="n"/>
      <c r="AQ211" s="124" t="n"/>
      <c r="AR211" s="124" t="n"/>
      <c r="AS211" s="124" t="n"/>
      <c r="AT211" s="124" t="n"/>
      <c r="AU211" s="124" t="n"/>
      <c r="AV211" s="124" t="n"/>
      <c r="AW211" s="124" t="n"/>
      <c r="AX211" s="124" t="n"/>
      <c r="AY211" s="124" t="n"/>
      <c r="AZ211" s="124" t="n"/>
      <c r="BA211" s="124" t="n"/>
      <c r="BB211" s="124" t="n"/>
      <c r="BC211" s="124" t="n"/>
      <c r="BD211" s="124" t="n"/>
      <c r="BE211" s="124" t="n"/>
      <c r="BF211" s="124" t="n"/>
      <c r="BG211" s="124" t="n"/>
      <c r="BH211" s="124" t="n"/>
      <c r="BI211" s="124" t="n"/>
      <c r="BJ211" s="124" t="n"/>
      <c r="BK211" s="124" t="n"/>
      <c r="BL211" s="124" t="n"/>
      <c r="BM211" s="124" t="n"/>
      <c r="BN211" s="124" t="n"/>
      <c r="BO211" s="124" t="n"/>
    </row>
    <row r="212" ht="15" customHeight="1" s="402">
      <c r="A212" s="12">
        <f>+'Invullen groen'!A218</f>
        <v/>
      </c>
      <c r="B212" s="24">
        <f>+'Invullen groen'!C218</f>
        <v/>
      </c>
      <c r="C212" s="19">
        <f>+'Invullen groen'!G218</f>
        <v/>
      </c>
      <c r="D212" s="10">
        <f>+'Invullen groen'!M218</f>
        <v/>
      </c>
      <c r="E212" s="11">
        <f>+'Invullen groen'!H218</f>
        <v/>
      </c>
      <c r="F212" s="11">
        <f>+'Invullen groen'!I218</f>
        <v/>
      </c>
      <c r="G212" s="11">
        <f>+'Invullen groen'!J218</f>
        <v/>
      </c>
      <c r="H212" s="11">
        <f>+'Invullen groen'!K218</f>
        <v/>
      </c>
      <c r="I212" s="124">
        <f>+'Invullen groen'!AW218</f>
        <v/>
      </c>
      <c r="J212" s="124">
        <f>+'Invullen groen'!AX218</f>
        <v/>
      </c>
      <c r="K212" s="124">
        <f>+'Invullen groen'!AY218</f>
        <v/>
      </c>
      <c r="L212" s="124">
        <f>+'Invullen groen'!AZ218</f>
        <v/>
      </c>
      <c r="M212" s="124">
        <f>+'Invullen groen'!BA218</f>
        <v/>
      </c>
      <c r="N212" s="124">
        <f>+'Invullen groen'!BB218</f>
        <v/>
      </c>
      <c r="O212" s="124">
        <f>+'Invullen groen'!BC218</f>
        <v/>
      </c>
      <c r="P212" s="124">
        <f>+'Invullen groen'!BD218</f>
        <v/>
      </c>
      <c r="Q212" s="124" t="n"/>
      <c r="R212" s="124" t="n"/>
      <c r="S212" s="124" t="n"/>
      <c r="T212" s="124" t="n"/>
      <c r="U212" s="124" t="n"/>
      <c r="V212" s="124" t="n"/>
      <c r="W212" s="124" t="n"/>
      <c r="X212" s="124" t="n"/>
      <c r="Y212" s="124" t="n"/>
      <c r="Z212" s="124" t="n"/>
      <c r="AA212" s="124" t="n"/>
      <c r="AB212" s="124" t="n"/>
      <c r="AC212" s="124" t="n"/>
      <c r="AD212" s="124" t="n"/>
      <c r="AE212" s="124" t="n"/>
      <c r="AF212" s="124" t="n"/>
      <c r="AG212" s="124" t="n"/>
      <c r="AH212" s="124" t="n"/>
      <c r="AI212" s="124" t="n"/>
      <c r="AJ212" s="124" t="n"/>
      <c r="AK212" s="124" t="n"/>
      <c r="AL212" s="124" t="n"/>
      <c r="AM212" s="124" t="n"/>
      <c r="AN212" s="124" t="n"/>
      <c r="AO212" s="124" t="n"/>
      <c r="AP212" s="124" t="n"/>
      <c r="AQ212" s="124" t="n"/>
      <c r="AR212" s="124" t="n"/>
      <c r="AS212" s="124" t="n"/>
      <c r="AT212" s="124" t="n"/>
      <c r="AU212" s="124" t="n"/>
      <c r="AV212" s="124" t="n"/>
      <c r="AW212" s="124" t="n"/>
      <c r="AX212" s="124" t="n"/>
      <c r="AY212" s="124" t="n"/>
      <c r="AZ212" s="124" t="n"/>
      <c r="BA212" s="124" t="n"/>
      <c r="BB212" s="124" t="n"/>
      <c r="BC212" s="124" t="n"/>
      <c r="BD212" s="124" t="n"/>
      <c r="BE212" s="124" t="n"/>
      <c r="BF212" s="124" t="n"/>
      <c r="BG212" s="124" t="n"/>
      <c r="BH212" s="124" t="n"/>
      <c r="BI212" s="124" t="n"/>
      <c r="BJ212" s="124" t="n"/>
      <c r="BK212" s="124" t="n"/>
      <c r="BL212" s="124" t="n"/>
      <c r="BM212" s="124" t="n"/>
      <c r="BN212" s="124" t="n"/>
      <c r="BO212" s="124" t="n"/>
    </row>
    <row r="213" ht="15" customHeight="1" s="402">
      <c r="A213" s="8">
        <f>+'Invullen groen'!A219</f>
        <v/>
      </c>
      <c r="B213" s="9">
        <f>+'Invullen groen'!C219</f>
        <v/>
      </c>
      <c r="C213" s="19">
        <f>+'Invullen groen'!G219</f>
        <v/>
      </c>
      <c r="D213" s="10">
        <f>+'Invullen groen'!M219</f>
        <v/>
      </c>
      <c r="E213" s="11">
        <f>+'Invullen groen'!H219</f>
        <v/>
      </c>
      <c r="F213" s="11">
        <f>+'Invullen groen'!I219</f>
        <v/>
      </c>
      <c r="G213" s="11">
        <f>+'Invullen groen'!J219</f>
        <v/>
      </c>
      <c r="H213" s="11">
        <f>+'Invullen groen'!K219</f>
        <v/>
      </c>
      <c r="I213" s="124">
        <f>+'Invullen groen'!AW219</f>
        <v/>
      </c>
      <c r="J213" s="124">
        <f>+'Invullen groen'!AX219</f>
        <v/>
      </c>
      <c r="K213" s="124">
        <f>+'Invullen groen'!AY219</f>
        <v/>
      </c>
      <c r="L213" s="124">
        <f>+'Invullen groen'!AZ219</f>
        <v/>
      </c>
      <c r="M213" s="124">
        <f>+'Invullen groen'!BA219</f>
        <v/>
      </c>
      <c r="N213" s="124">
        <f>+'Invullen groen'!BB219</f>
        <v/>
      </c>
      <c r="O213" s="124">
        <f>+'Invullen groen'!BC219</f>
        <v/>
      </c>
      <c r="P213" s="124">
        <f>+'Invullen groen'!BD219</f>
        <v/>
      </c>
      <c r="Q213" s="124" t="n"/>
      <c r="R213" s="124" t="n"/>
      <c r="S213" s="124" t="n"/>
      <c r="T213" s="124" t="n"/>
      <c r="U213" s="124" t="n"/>
      <c r="V213" s="124" t="n"/>
      <c r="W213" s="124" t="n"/>
      <c r="X213" s="124" t="n"/>
      <c r="Y213" s="124" t="n"/>
      <c r="Z213" s="124" t="n"/>
      <c r="AA213" s="124" t="n"/>
      <c r="AB213" s="124" t="n"/>
      <c r="AC213" s="124" t="n"/>
      <c r="AD213" s="124" t="n"/>
      <c r="AE213" s="124" t="n"/>
      <c r="AF213" s="124" t="n"/>
      <c r="AG213" s="124" t="n"/>
      <c r="AH213" s="124" t="n"/>
      <c r="AI213" s="124" t="n"/>
      <c r="AJ213" s="124" t="n"/>
      <c r="AK213" s="124" t="n"/>
      <c r="AL213" s="124" t="n"/>
      <c r="AM213" s="124" t="n"/>
      <c r="AN213" s="124" t="n"/>
      <c r="AO213" s="124" t="n"/>
      <c r="AP213" s="124" t="n"/>
      <c r="AQ213" s="124" t="n"/>
      <c r="AR213" s="124" t="n"/>
      <c r="AS213" s="124" t="n"/>
      <c r="AT213" s="124" t="n"/>
      <c r="AU213" s="124" t="n"/>
      <c r="AV213" s="124" t="n"/>
      <c r="AW213" s="124" t="n"/>
      <c r="AX213" s="124" t="n"/>
      <c r="AY213" s="124" t="n"/>
      <c r="AZ213" s="124" t="n"/>
      <c r="BA213" s="124" t="n"/>
      <c r="BB213" s="124" t="n"/>
      <c r="BC213" s="124" t="n"/>
      <c r="BD213" s="124" t="n"/>
      <c r="BE213" s="124" t="n"/>
      <c r="BF213" s="124" t="n"/>
      <c r="BG213" s="124" t="n"/>
      <c r="BH213" s="124" t="n"/>
      <c r="BI213" s="124" t="n"/>
      <c r="BJ213" s="124" t="n"/>
      <c r="BK213" s="124" t="n"/>
      <c r="BL213" s="124" t="n"/>
      <c r="BM213" s="124" t="n"/>
      <c r="BN213" s="124" t="n"/>
      <c r="BO213" s="124" t="n"/>
    </row>
    <row r="214" ht="15" customHeight="1" s="402">
      <c r="A214" s="8">
        <f>+'Invullen groen'!A220</f>
        <v/>
      </c>
      <c r="B214" s="9">
        <f>+'Invullen groen'!C220</f>
        <v/>
      </c>
      <c r="C214" s="19">
        <f>+'Invullen groen'!G220</f>
        <v/>
      </c>
      <c r="D214" s="10">
        <f>+'Invullen groen'!M220</f>
        <v/>
      </c>
      <c r="E214" s="11">
        <f>+'Invullen groen'!H220</f>
        <v/>
      </c>
      <c r="F214" s="11">
        <f>+'Invullen groen'!I220</f>
        <v/>
      </c>
      <c r="G214" s="11">
        <f>+'Invullen groen'!J220</f>
        <v/>
      </c>
      <c r="H214" s="11">
        <f>+'Invullen groen'!K220</f>
        <v/>
      </c>
      <c r="I214" s="124">
        <f>+'Invullen groen'!AW220</f>
        <v/>
      </c>
      <c r="J214" s="124">
        <f>+'Invullen groen'!AX220</f>
        <v/>
      </c>
      <c r="K214" s="124">
        <f>+'Invullen groen'!AY220</f>
        <v/>
      </c>
      <c r="L214" s="124">
        <f>+'Invullen groen'!AZ220</f>
        <v/>
      </c>
      <c r="M214" s="124">
        <f>+'Invullen groen'!BA220</f>
        <v/>
      </c>
      <c r="N214" s="124">
        <f>+'Invullen groen'!BB220</f>
        <v/>
      </c>
      <c r="O214" s="124">
        <f>+'Invullen groen'!BC220</f>
        <v/>
      </c>
      <c r="P214" s="124">
        <f>+'Invullen groen'!BD220</f>
        <v/>
      </c>
      <c r="Q214" s="124" t="n"/>
      <c r="R214" s="124" t="n"/>
      <c r="S214" s="124" t="n"/>
      <c r="T214" s="124" t="n"/>
      <c r="U214" s="124" t="n"/>
      <c r="V214" s="124" t="n"/>
      <c r="W214" s="124" t="n"/>
      <c r="X214" s="124" t="n"/>
      <c r="Y214" s="124" t="n"/>
      <c r="Z214" s="124" t="n"/>
      <c r="AA214" s="124" t="n"/>
      <c r="AB214" s="124" t="n"/>
      <c r="AC214" s="124" t="n"/>
      <c r="AD214" s="124" t="n"/>
      <c r="AE214" s="124" t="n"/>
      <c r="AF214" s="124" t="n"/>
      <c r="AG214" s="124" t="n"/>
      <c r="AH214" s="124" t="n"/>
      <c r="AI214" s="124" t="n"/>
      <c r="AJ214" s="124" t="n"/>
      <c r="AK214" s="124" t="n"/>
      <c r="AL214" s="124" t="n"/>
      <c r="AM214" s="124" t="n"/>
      <c r="AN214" s="124" t="n"/>
      <c r="AO214" s="124" t="n"/>
      <c r="AP214" s="124" t="n"/>
      <c r="AQ214" s="124" t="n"/>
      <c r="AR214" s="124" t="n"/>
      <c r="AS214" s="124" t="n"/>
      <c r="AT214" s="124" t="n"/>
      <c r="AU214" s="124" t="n"/>
      <c r="AV214" s="124" t="n"/>
      <c r="AW214" s="124" t="n"/>
      <c r="AX214" s="124" t="n"/>
      <c r="AY214" s="124" t="n"/>
      <c r="AZ214" s="124" t="n"/>
      <c r="BA214" s="124" t="n"/>
      <c r="BB214" s="124" t="n"/>
      <c r="BC214" s="124" t="n"/>
      <c r="BD214" s="124" t="n"/>
      <c r="BE214" s="124" t="n"/>
      <c r="BF214" s="124" t="n"/>
      <c r="BG214" s="124" t="n"/>
      <c r="BH214" s="124" t="n"/>
      <c r="BI214" s="124" t="n"/>
      <c r="BJ214" s="124" t="n"/>
      <c r="BK214" s="124" t="n"/>
      <c r="BL214" s="124" t="n"/>
      <c r="BM214" s="124" t="n"/>
      <c r="BN214" s="124" t="n"/>
      <c r="BO214" s="124" t="n"/>
    </row>
    <row r="215" ht="15" customHeight="1" s="402">
      <c r="A215" s="8">
        <f>+'Invullen groen'!A221</f>
        <v/>
      </c>
      <c r="B215" s="9">
        <f>+'Invullen groen'!C221</f>
        <v/>
      </c>
      <c r="C215" s="19">
        <f>+'Invullen groen'!G221</f>
        <v/>
      </c>
      <c r="D215" s="10">
        <f>+'Invullen groen'!M221</f>
        <v/>
      </c>
      <c r="E215" s="11">
        <f>+'Invullen groen'!H221</f>
        <v/>
      </c>
      <c r="F215" s="11">
        <f>+'Invullen groen'!I221</f>
        <v/>
      </c>
      <c r="G215" s="11">
        <f>+'Invullen groen'!J221</f>
        <v/>
      </c>
      <c r="H215" s="11">
        <f>+'Invullen groen'!K221</f>
        <v/>
      </c>
      <c r="I215" s="124">
        <f>+'Invullen groen'!AW221</f>
        <v/>
      </c>
      <c r="J215" s="124">
        <f>+'Invullen groen'!AX221</f>
        <v/>
      </c>
      <c r="K215" s="124">
        <f>+'Invullen groen'!AY221</f>
        <v/>
      </c>
      <c r="L215" s="124">
        <f>+'Invullen groen'!AZ221</f>
        <v/>
      </c>
      <c r="M215" s="124">
        <f>+'Invullen groen'!BA221</f>
        <v/>
      </c>
      <c r="N215" s="124">
        <f>+'Invullen groen'!BB221</f>
        <v/>
      </c>
      <c r="O215" s="124">
        <f>+'Invullen groen'!BC221</f>
        <v/>
      </c>
      <c r="P215" s="124">
        <f>+'Invullen groen'!BD221</f>
        <v/>
      </c>
      <c r="Q215" s="124" t="n"/>
      <c r="R215" s="124" t="n"/>
      <c r="S215" s="124" t="n"/>
      <c r="T215" s="124" t="n"/>
      <c r="U215" s="124" t="n"/>
      <c r="V215" s="124" t="n"/>
      <c r="W215" s="124" t="n"/>
      <c r="X215" s="124" t="n"/>
      <c r="Y215" s="124" t="n"/>
      <c r="Z215" s="124" t="n"/>
      <c r="AA215" s="124" t="n"/>
      <c r="AB215" s="124" t="n"/>
      <c r="AC215" s="124" t="n"/>
      <c r="AD215" s="124" t="n"/>
      <c r="AE215" s="124" t="n"/>
      <c r="AF215" s="124" t="n"/>
      <c r="AG215" s="124" t="n"/>
      <c r="AH215" s="124" t="n"/>
      <c r="AI215" s="124" t="n"/>
      <c r="AJ215" s="124" t="n"/>
      <c r="AK215" s="124" t="n"/>
      <c r="AL215" s="124" t="n"/>
      <c r="AM215" s="124" t="n"/>
      <c r="AN215" s="124" t="n"/>
      <c r="AO215" s="124" t="n"/>
      <c r="AP215" s="124" t="n"/>
      <c r="AQ215" s="124" t="n"/>
      <c r="AR215" s="124" t="n"/>
      <c r="AS215" s="124" t="n"/>
      <c r="AT215" s="124" t="n"/>
      <c r="AU215" s="124" t="n"/>
      <c r="AV215" s="124" t="n"/>
      <c r="AW215" s="124" t="n"/>
      <c r="AX215" s="124" t="n"/>
      <c r="AY215" s="124" t="n"/>
      <c r="AZ215" s="124" t="n"/>
      <c r="BA215" s="124" t="n"/>
      <c r="BB215" s="124" t="n"/>
      <c r="BC215" s="124" t="n"/>
      <c r="BD215" s="124" t="n"/>
      <c r="BE215" s="124" t="n"/>
      <c r="BF215" s="124" t="n"/>
      <c r="BG215" s="124" t="n"/>
      <c r="BH215" s="124" t="n"/>
      <c r="BI215" s="124" t="n"/>
      <c r="BJ215" s="124" t="n"/>
      <c r="BK215" s="124" t="n"/>
      <c r="BL215" s="124" t="n"/>
      <c r="BM215" s="124" t="n"/>
      <c r="BN215" s="124" t="n"/>
      <c r="BO215" s="124" t="n"/>
    </row>
    <row r="216" ht="15" customHeight="1" s="402">
      <c r="A216" s="8">
        <f>+'Invullen groen'!A222</f>
        <v/>
      </c>
      <c r="B216" s="9">
        <f>+'Invullen groen'!C222</f>
        <v/>
      </c>
      <c r="C216" s="19">
        <f>+'Invullen groen'!G222</f>
        <v/>
      </c>
      <c r="D216" s="10">
        <f>+'Invullen groen'!M222</f>
        <v/>
      </c>
      <c r="E216" s="11">
        <f>+'Invullen groen'!H222</f>
        <v/>
      </c>
      <c r="F216" s="11">
        <f>+'Invullen groen'!I222</f>
        <v/>
      </c>
      <c r="G216" s="11">
        <f>+'Invullen groen'!J222</f>
        <v/>
      </c>
      <c r="H216" s="11">
        <f>+'Invullen groen'!K222</f>
        <v/>
      </c>
      <c r="I216" s="124">
        <f>+'Invullen groen'!AW222</f>
        <v/>
      </c>
      <c r="J216" s="124">
        <f>+'Invullen groen'!AX222</f>
        <v/>
      </c>
      <c r="K216" s="124">
        <f>+'Invullen groen'!AY222</f>
        <v/>
      </c>
      <c r="L216" s="124">
        <f>+'Invullen groen'!AZ222</f>
        <v/>
      </c>
      <c r="M216" s="124">
        <f>+'Invullen groen'!BA222</f>
        <v/>
      </c>
      <c r="N216" s="124">
        <f>+'Invullen groen'!BB222</f>
        <v/>
      </c>
      <c r="O216" s="124">
        <f>+'Invullen groen'!BC222</f>
        <v/>
      </c>
      <c r="P216" s="124">
        <f>+'Invullen groen'!BD222</f>
        <v/>
      </c>
      <c r="Q216" s="124" t="n"/>
      <c r="R216" s="124" t="n"/>
      <c r="S216" s="124" t="n"/>
      <c r="T216" s="124" t="n"/>
      <c r="U216" s="124" t="n"/>
      <c r="V216" s="124" t="n"/>
      <c r="W216" s="124" t="n"/>
      <c r="X216" s="124" t="n"/>
      <c r="Y216" s="124" t="n"/>
      <c r="Z216" s="124" t="n"/>
      <c r="AA216" s="124" t="n"/>
      <c r="AB216" s="124" t="n"/>
      <c r="AC216" s="124" t="n"/>
      <c r="AD216" s="124" t="n"/>
      <c r="AE216" s="124" t="n"/>
      <c r="AF216" s="124" t="n"/>
      <c r="AG216" s="124" t="n"/>
      <c r="AH216" s="124" t="n"/>
      <c r="AI216" s="124" t="n"/>
      <c r="AJ216" s="124" t="n"/>
      <c r="AK216" s="124" t="n"/>
      <c r="AL216" s="124" t="n"/>
      <c r="AM216" s="124" t="n"/>
      <c r="AN216" s="124" t="n"/>
      <c r="AO216" s="124" t="n"/>
      <c r="AP216" s="124" t="n"/>
      <c r="AQ216" s="124" t="n"/>
      <c r="AR216" s="124" t="n"/>
      <c r="AS216" s="124" t="n"/>
      <c r="AT216" s="124" t="n"/>
      <c r="AU216" s="124" t="n"/>
      <c r="AV216" s="124" t="n"/>
      <c r="AW216" s="124" t="n"/>
      <c r="AX216" s="124" t="n"/>
      <c r="AY216" s="124" t="n"/>
      <c r="AZ216" s="124" t="n"/>
      <c r="BA216" s="124" t="n"/>
      <c r="BB216" s="124" t="n"/>
      <c r="BC216" s="124" t="n"/>
      <c r="BD216" s="124" t="n"/>
      <c r="BE216" s="124" t="n"/>
      <c r="BF216" s="124" t="n"/>
      <c r="BG216" s="124" t="n"/>
      <c r="BH216" s="124" t="n"/>
      <c r="BI216" s="124" t="n"/>
      <c r="BJ216" s="124" t="n"/>
      <c r="BK216" s="124" t="n"/>
      <c r="BL216" s="124" t="n"/>
      <c r="BM216" s="124" t="n"/>
      <c r="BN216" s="124" t="n"/>
      <c r="BO216" s="124" t="n"/>
    </row>
    <row r="217" ht="15" customHeight="1" s="402">
      <c r="A217" s="8">
        <f>+'Invullen groen'!A223</f>
        <v/>
      </c>
      <c r="B217" s="9">
        <f>+'Invullen groen'!C223</f>
        <v/>
      </c>
      <c r="C217" s="19">
        <f>+'Invullen groen'!G223</f>
        <v/>
      </c>
      <c r="D217" s="10">
        <f>+'Invullen groen'!M223</f>
        <v/>
      </c>
      <c r="E217" s="11">
        <f>+'Invullen groen'!H223</f>
        <v/>
      </c>
      <c r="F217" s="11">
        <f>+'Invullen groen'!I223</f>
        <v/>
      </c>
      <c r="G217" s="11">
        <f>+'Invullen groen'!J223</f>
        <v/>
      </c>
      <c r="H217" s="11">
        <f>+'Invullen groen'!K223</f>
        <v/>
      </c>
      <c r="I217" s="124">
        <f>+'Invullen groen'!AW223</f>
        <v/>
      </c>
      <c r="J217" s="124">
        <f>+'Invullen groen'!AX223</f>
        <v/>
      </c>
      <c r="K217" s="124">
        <f>+'Invullen groen'!AY223</f>
        <v/>
      </c>
      <c r="L217" s="124">
        <f>+'Invullen groen'!AZ223</f>
        <v/>
      </c>
      <c r="M217" s="124">
        <f>+'Invullen groen'!BA223</f>
        <v/>
      </c>
      <c r="N217" s="124">
        <f>+'Invullen groen'!BB223</f>
        <v/>
      </c>
      <c r="O217" s="124">
        <f>+'Invullen groen'!BC223</f>
        <v/>
      </c>
      <c r="P217" s="124">
        <f>+'Invullen groen'!BD223</f>
        <v/>
      </c>
      <c r="Q217" s="124" t="n"/>
      <c r="R217" s="124" t="n"/>
      <c r="S217" s="124" t="n"/>
      <c r="T217" s="124" t="n"/>
      <c r="U217" s="124" t="n"/>
      <c r="V217" s="124" t="n"/>
      <c r="W217" s="124" t="n"/>
      <c r="X217" s="124" t="n"/>
      <c r="Y217" s="124" t="n"/>
      <c r="Z217" s="124" t="n"/>
      <c r="AA217" s="124" t="n"/>
      <c r="AB217" s="124" t="n"/>
      <c r="AC217" s="124" t="n"/>
      <c r="AD217" s="124" t="n"/>
      <c r="AE217" s="124" t="n"/>
      <c r="AF217" s="124" t="n"/>
      <c r="AG217" s="124" t="n"/>
      <c r="AH217" s="124" t="n"/>
      <c r="AI217" s="124" t="n"/>
      <c r="AJ217" s="124" t="n"/>
      <c r="AK217" s="124" t="n"/>
      <c r="AL217" s="124" t="n"/>
      <c r="AM217" s="124" t="n"/>
      <c r="AN217" s="124" t="n"/>
      <c r="AO217" s="124" t="n"/>
      <c r="AP217" s="124" t="n"/>
      <c r="AQ217" s="124" t="n"/>
      <c r="AR217" s="124" t="n"/>
      <c r="AS217" s="124" t="n"/>
      <c r="AT217" s="124" t="n"/>
      <c r="AU217" s="124" t="n"/>
      <c r="AV217" s="124" t="n"/>
      <c r="AW217" s="124" t="n"/>
      <c r="AX217" s="124" t="n"/>
      <c r="AY217" s="124" t="n"/>
      <c r="AZ217" s="124" t="n"/>
      <c r="BA217" s="124" t="n"/>
      <c r="BB217" s="124" t="n"/>
      <c r="BC217" s="124" t="n"/>
      <c r="BD217" s="124" t="n"/>
      <c r="BE217" s="124" t="n"/>
      <c r="BF217" s="124" t="n"/>
      <c r="BG217" s="124" t="n"/>
      <c r="BH217" s="124" t="n"/>
      <c r="BI217" s="124" t="n"/>
      <c r="BJ217" s="124" t="n"/>
      <c r="BK217" s="124" t="n"/>
      <c r="BL217" s="124" t="n"/>
      <c r="BM217" s="124" t="n"/>
      <c r="BN217" s="124" t="n"/>
      <c r="BO217" s="124" t="n"/>
    </row>
    <row r="218" ht="15" customHeight="1" s="402">
      <c r="A218" s="8">
        <f>+'Invullen groen'!A224</f>
        <v/>
      </c>
      <c r="B218" s="9">
        <f>+'Invullen groen'!C224</f>
        <v/>
      </c>
      <c r="C218" s="19">
        <f>+'Invullen groen'!G224</f>
        <v/>
      </c>
      <c r="D218" s="10">
        <f>+'Invullen groen'!M224</f>
        <v/>
      </c>
      <c r="E218" s="11">
        <f>+'Invullen groen'!H224</f>
        <v/>
      </c>
      <c r="F218" s="11">
        <f>+'Invullen groen'!I224</f>
        <v/>
      </c>
      <c r="G218" s="11">
        <f>+'Invullen groen'!J224</f>
        <v/>
      </c>
      <c r="H218" s="11">
        <f>+'Invullen groen'!K224</f>
        <v/>
      </c>
      <c r="I218" s="124">
        <f>+'Invullen groen'!AW224</f>
        <v/>
      </c>
      <c r="J218" s="124">
        <f>+'Invullen groen'!AX224</f>
        <v/>
      </c>
      <c r="K218" s="124">
        <f>+'Invullen groen'!AY224</f>
        <v/>
      </c>
      <c r="L218" s="124">
        <f>+'Invullen groen'!AZ224</f>
        <v/>
      </c>
      <c r="M218" s="124">
        <f>+'Invullen groen'!BA224</f>
        <v/>
      </c>
      <c r="N218" s="124">
        <f>+'Invullen groen'!BB224</f>
        <v/>
      </c>
      <c r="O218" s="124">
        <f>+'Invullen groen'!BC224</f>
        <v/>
      </c>
      <c r="P218" s="124">
        <f>+'Invullen groen'!BD224</f>
        <v/>
      </c>
      <c r="Q218" s="124" t="n"/>
      <c r="R218" s="124" t="n"/>
      <c r="S218" s="124" t="n"/>
      <c r="T218" s="124" t="n"/>
      <c r="U218" s="124" t="n"/>
      <c r="V218" s="124" t="n"/>
      <c r="W218" s="124" t="n"/>
      <c r="X218" s="124" t="n"/>
      <c r="Y218" s="124" t="n"/>
      <c r="Z218" s="124" t="n"/>
      <c r="AA218" s="124" t="n"/>
      <c r="AB218" s="124" t="n"/>
      <c r="AC218" s="124" t="n"/>
      <c r="AD218" s="124" t="n"/>
      <c r="AE218" s="124" t="n"/>
      <c r="AF218" s="124" t="n"/>
      <c r="AG218" s="124" t="n"/>
      <c r="AH218" s="124" t="n"/>
      <c r="AI218" s="124" t="n"/>
      <c r="AJ218" s="124" t="n"/>
      <c r="AK218" s="124" t="n"/>
      <c r="AL218" s="124" t="n"/>
      <c r="AM218" s="124" t="n"/>
      <c r="AN218" s="124" t="n"/>
      <c r="AO218" s="124" t="n"/>
      <c r="AP218" s="124" t="n"/>
      <c r="AQ218" s="124" t="n"/>
      <c r="AR218" s="124" t="n"/>
      <c r="AS218" s="124" t="n"/>
      <c r="AT218" s="124" t="n"/>
      <c r="AU218" s="124" t="n"/>
      <c r="AV218" s="124" t="n"/>
      <c r="AW218" s="124" t="n"/>
      <c r="AX218" s="124" t="n"/>
      <c r="AY218" s="124" t="n"/>
      <c r="AZ218" s="124" t="n"/>
      <c r="BA218" s="124" t="n"/>
      <c r="BB218" s="124" t="n"/>
      <c r="BC218" s="124" t="n"/>
      <c r="BD218" s="124" t="n"/>
      <c r="BE218" s="124" t="n"/>
      <c r="BF218" s="124" t="n"/>
      <c r="BG218" s="124" t="n"/>
      <c r="BH218" s="124" t="n"/>
      <c r="BI218" s="124" t="n"/>
      <c r="BJ218" s="124" t="n"/>
      <c r="BK218" s="124" t="n"/>
      <c r="BL218" s="124" t="n"/>
      <c r="BM218" s="124" t="n"/>
      <c r="BN218" s="124" t="n"/>
      <c r="BO218" s="124" t="n"/>
    </row>
    <row r="219" ht="15" customHeight="1" s="402">
      <c r="A219" s="8">
        <f>+'Invullen groen'!A225</f>
        <v/>
      </c>
      <c r="B219" s="9">
        <f>+'Invullen groen'!C225</f>
        <v/>
      </c>
      <c r="C219" s="19">
        <f>+'Invullen groen'!G225</f>
        <v/>
      </c>
      <c r="D219" s="10">
        <f>+'Invullen groen'!M225</f>
        <v/>
      </c>
      <c r="E219" s="11">
        <f>+'Invullen groen'!H225</f>
        <v/>
      </c>
      <c r="F219" s="11">
        <f>+'Invullen groen'!I225</f>
        <v/>
      </c>
      <c r="G219" s="11">
        <f>+'Invullen groen'!J225</f>
        <v/>
      </c>
      <c r="H219" s="11">
        <f>+'Invullen groen'!K225</f>
        <v/>
      </c>
      <c r="I219" s="124">
        <f>+'Invullen groen'!AW225</f>
        <v/>
      </c>
      <c r="J219" s="124">
        <f>+'Invullen groen'!AX225</f>
        <v/>
      </c>
      <c r="K219" s="124">
        <f>+'Invullen groen'!AY225</f>
        <v/>
      </c>
      <c r="L219" s="124">
        <f>+'Invullen groen'!AZ225</f>
        <v/>
      </c>
      <c r="M219" s="124">
        <f>+'Invullen groen'!BA225</f>
        <v/>
      </c>
      <c r="N219" s="124">
        <f>+'Invullen groen'!BB225</f>
        <v/>
      </c>
      <c r="O219" s="124">
        <f>+'Invullen groen'!BC225</f>
        <v/>
      </c>
      <c r="P219" s="124">
        <f>+'Invullen groen'!BD225</f>
        <v/>
      </c>
      <c r="Q219" s="124" t="n"/>
      <c r="R219" s="124" t="n"/>
      <c r="S219" s="124" t="n"/>
      <c r="T219" s="124" t="n"/>
      <c r="U219" s="124" t="n"/>
      <c r="V219" s="124" t="n"/>
      <c r="W219" s="124" t="n"/>
      <c r="X219" s="124" t="n"/>
      <c r="Y219" s="124" t="n"/>
      <c r="Z219" s="124" t="n"/>
      <c r="AA219" s="124" t="n"/>
      <c r="AB219" s="124" t="n"/>
      <c r="AC219" s="124" t="n"/>
      <c r="AD219" s="124" t="n"/>
      <c r="AE219" s="124" t="n"/>
      <c r="AF219" s="124" t="n"/>
      <c r="AG219" s="124" t="n"/>
      <c r="AH219" s="124" t="n"/>
      <c r="AI219" s="124" t="n"/>
      <c r="AJ219" s="124" t="n"/>
      <c r="AK219" s="124" t="n"/>
      <c r="AL219" s="124" t="n"/>
      <c r="AM219" s="124" t="n"/>
      <c r="AN219" s="124" t="n"/>
      <c r="AO219" s="124" t="n"/>
      <c r="AP219" s="124" t="n"/>
      <c r="AQ219" s="124" t="n"/>
      <c r="AR219" s="124" t="n"/>
      <c r="AS219" s="124" t="n"/>
      <c r="AT219" s="124" t="n"/>
      <c r="AU219" s="124" t="n"/>
      <c r="AV219" s="124" t="n"/>
      <c r="AW219" s="124" t="n"/>
      <c r="AX219" s="124" t="n"/>
      <c r="AY219" s="124" t="n"/>
      <c r="AZ219" s="124" t="n"/>
      <c r="BA219" s="124" t="n"/>
      <c r="BB219" s="124" t="n"/>
      <c r="BC219" s="124" t="n"/>
      <c r="BD219" s="124" t="n"/>
      <c r="BE219" s="124" t="n"/>
      <c r="BF219" s="124" t="n"/>
      <c r="BG219" s="124" t="n"/>
      <c r="BH219" s="124" t="n"/>
      <c r="BI219" s="124" t="n"/>
      <c r="BJ219" s="124" t="n"/>
      <c r="BK219" s="124" t="n"/>
      <c r="BL219" s="124" t="n"/>
      <c r="BM219" s="124" t="n"/>
      <c r="BN219" s="124" t="n"/>
      <c r="BO219" s="124" t="n"/>
    </row>
    <row r="220" ht="15" customHeight="1" s="402">
      <c r="A220" s="8">
        <f>+'Invullen groen'!A226</f>
        <v/>
      </c>
      <c r="B220" s="9">
        <f>+'Invullen groen'!C226</f>
        <v/>
      </c>
      <c r="C220" s="19">
        <f>+'Invullen groen'!G226</f>
        <v/>
      </c>
      <c r="D220" s="10">
        <f>+'Invullen groen'!M226</f>
        <v/>
      </c>
      <c r="E220" s="11">
        <f>+'Invullen groen'!H226</f>
        <v/>
      </c>
      <c r="F220" s="11">
        <f>+'Invullen groen'!I226</f>
        <v/>
      </c>
      <c r="G220" s="11">
        <f>+'Invullen groen'!J226</f>
        <v/>
      </c>
      <c r="H220" s="11">
        <f>+'Invullen groen'!K226</f>
        <v/>
      </c>
      <c r="I220" s="124">
        <f>+'Invullen groen'!AW226</f>
        <v/>
      </c>
      <c r="J220" s="124">
        <f>+'Invullen groen'!AX226</f>
        <v/>
      </c>
      <c r="K220" s="124">
        <f>+'Invullen groen'!AY226</f>
        <v/>
      </c>
      <c r="L220" s="124">
        <f>+'Invullen groen'!AZ226</f>
        <v/>
      </c>
      <c r="M220" s="124">
        <f>+'Invullen groen'!BA226</f>
        <v/>
      </c>
      <c r="N220" s="124">
        <f>+'Invullen groen'!BB226</f>
        <v/>
      </c>
      <c r="O220" s="124">
        <f>+'Invullen groen'!BC226</f>
        <v/>
      </c>
      <c r="P220" s="124">
        <f>+'Invullen groen'!BD226</f>
        <v/>
      </c>
      <c r="Q220" s="124" t="n"/>
      <c r="R220" s="124" t="n"/>
      <c r="S220" s="124" t="n"/>
      <c r="T220" s="124" t="n"/>
      <c r="U220" s="124" t="n"/>
      <c r="V220" s="124" t="n"/>
      <c r="W220" s="124" t="n"/>
      <c r="X220" s="124" t="n"/>
      <c r="Y220" s="124" t="n"/>
      <c r="Z220" s="124" t="n"/>
      <c r="AA220" s="124" t="n"/>
      <c r="AB220" s="124" t="n"/>
      <c r="AC220" s="124" t="n"/>
      <c r="AD220" s="124" t="n"/>
      <c r="AE220" s="124" t="n"/>
      <c r="AF220" s="124" t="n"/>
      <c r="AG220" s="124" t="n"/>
      <c r="AH220" s="124" t="n"/>
      <c r="AI220" s="124" t="n"/>
      <c r="AJ220" s="124" t="n"/>
      <c r="AK220" s="124" t="n"/>
      <c r="AL220" s="124" t="n"/>
      <c r="AM220" s="124" t="n"/>
      <c r="AN220" s="124" t="n"/>
      <c r="AO220" s="124" t="n"/>
      <c r="AP220" s="124" t="n"/>
      <c r="AQ220" s="124" t="n"/>
      <c r="AR220" s="124" t="n"/>
      <c r="AS220" s="124" t="n"/>
      <c r="AT220" s="124" t="n"/>
      <c r="AU220" s="124" t="n"/>
      <c r="AV220" s="124" t="n"/>
      <c r="AW220" s="124" t="n"/>
      <c r="AX220" s="124" t="n"/>
      <c r="AY220" s="124" t="n"/>
      <c r="AZ220" s="124" t="n"/>
      <c r="BA220" s="124" t="n"/>
      <c r="BB220" s="124" t="n"/>
      <c r="BC220" s="124" t="n"/>
      <c r="BD220" s="124" t="n"/>
      <c r="BE220" s="124" t="n"/>
      <c r="BF220" s="124" t="n"/>
      <c r="BG220" s="124" t="n"/>
      <c r="BH220" s="124" t="n"/>
      <c r="BI220" s="124" t="n"/>
      <c r="BJ220" s="124" t="n"/>
      <c r="BK220" s="124" t="n"/>
      <c r="BL220" s="124" t="n"/>
      <c r="BM220" s="124" t="n"/>
      <c r="BN220" s="124" t="n"/>
      <c r="BO220" s="124" t="n"/>
    </row>
    <row r="221" ht="15" customHeight="1" s="402">
      <c r="A221" s="8">
        <f>+'Invullen groen'!A227</f>
        <v/>
      </c>
      <c r="B221" s="9">
        <f>+'Invullen groen'!C227</f>
        <v/>
      </c>
      <c r="C221" s="19">
        <f>+'Invullen groen'!G227</f>
        <v/>
      </c>
      <c r="D221" s="10">
        <f>+'Invullen groen'!M227</f>
        <v/>
      </c>
      <c r="E221" s="11">
        <f>+'Invullen groen'!H227</f>
        <v/>
      </c>
      <c r="F221" s="11">
        <f>+'Invullen groen'!I227</f>
        <v/>
      </c>
      <c r="G221" s="11">
        <f>+'Invullen groen'!J227</f>
        <v/>
      </c>
      <c r="H221" s="11">
        <f>+'Invullen groen'!K227</f>
        <v/>
      </c>
      <c r="I221" s="124">
        <f>+'Invullen groen'!AW227</f>
        <v/>
      </c>
      <c r="J221" s="124">
        <f>+'Invullen groen'!AX227</f>
        <v/>
      </c>
      <c r="K221" s="124">
        <f>+'Invullen groen'!AY227</f>
        <v/>
      </c>
      <c r="L221" s="124">
        <f>+'Invullen groen'!AZ227</f>
        <v/>
      </c>
      <c r="M221" s="124">
        <f>+'Invullen groen'!BA227</f>
        <v/>
      </c>
      <c r="N221" s="124">
        <f>+'Invullen groen'!BB227</f>
        <v/>
      </c>
      <c r="O221" s="124">
        <f>+'Invullen groen'!BC227</f>
        <v/>
      </c>
      <c r="P221" s="124">
        <f>+'Invullen groen'!BD227</f>
        <v/>
      </c>
      <c r="Q221" s="124" t="n"/>
      <c r="R221" s="124" t="n"/>
      <c r="S221" s="124" t="n"/>
      <c r="T221" s="124" t="n"/>
      <c r="U221" s="124" t="n"/>
      <c r="V221" s="124" t="n"/>
      <c r="W221" s="124" t="n"/>
      <c r="X221" s="124" t="n"/>
      <c r="Y221" s="124" t="n"/>
      <c r="Z221" s="124" t="n"/>
      <c r="AA221" s="124" t="n"/>
      <c r="AB221" s="124" t="n"/>
      <c r="AC221" s="124" t="n"/>
      <c r="AD221" s="124" t="n"/>
      <c r="AE221" s="124" t="n"/>
      <c r="AF221" s="124" t="n"/>
      <c r="AG221" s="124" t="n"/>
      <c r="AH221" s="124" t="n"/>
      <c r="AI221" s="124" t="n"/>
      <c r="AJ221" s="124" t="n"/>
      <c r="AK221" s="124" t="n"/>
      <c r="AL221" s="124" t="n"/>
      <c r="AM221" s="124" t="n"/>
      <c r="AN221" s="124" t="n"/>
      <c r="AO221" s="124" t="n"/>
      <c r="AP221" s="124" t="n"/>
      <c r="AQ221" s="124" t="n"/>
      <c r="AR221" s="124" t="n"/>
      <c r="AS221" s="124" t="n"/>
      <c r="AT221" s="124" t="n"/>
      <c r="AU221" s="124" t="n"/>
      <c r="AV221" s="124" t="n"/>
      <c r="AW221" s="124" t="n"/>
      <c r="AX221" s="124" t="n"/>
      <c r="AY221" s="124" t="n"/>
      <c r="AZ221" s="124" t="n"/>
      <c r="BA221" s="124" t="n"/>
      <c r="BB221" s="124" t="n"/>
      <c r="BC221" s="124" t="n"/>
      <c r="BD221" s="124" t="n"/>
      <c r="BE221" s="124" t="n"/>
      <c r="BF221" s="124" t="n"/>
      <c r="BG221" s="124" t="n"/>
      <c r="BH221" s="124" t="n"/>
      <c r="BI221" s="124" t="n"/>
      <c r="BJ221" s="124" t="n"/>
      <c r="BK221" s="124" t="n"/>
      <c r="BL221" s="124" t="n"/>
      <c r="BM221" s="124" t="n"/>
      <c r="BN221" s="124" t="n"/>
      <c r="BO221" s="124" t="n"/>
    </row>
    <row r="222" ht="15" customHeight="1" s="402">
      <c r="A222" s="8">
        <f>+'Invullen groen'!A228</f>
        <v/>
      </c>
      <c r="B222" s="9">
        <f>+'Invullen groen'!C228</f>
        <v/>
      </c>
      <c r="C222" s="19">
        <f>+'Invullen groen'!G228</f>
        <v/>
      </c>
      <c r="D222" s="10">
        <f>+'Invullen groen'!M228</f>
        <v/>
      </c>
      <c r="E222" s="11">
        <f>+'Invullen groen'!H228</f>
        <v/>
      </c>
      <c r="F222" s="11">
        <f>+'Invullen groen'!I228</f>
        <v/>
      </c>
      <c r="G222" s="11">
        <f>+'Invullen groen'!J228</f>
        <v/>
      </c>
      <c r="H222" s="11">
        <f>+'Invullen groen'!K228</f>
        <v/>
      </c>
      <c r="I222" s="124">
        <f>+'Invullen groen'!AW228</f>
        <v/>
      </c>
      <c r="J222" s="124">
        <f>+'Invullen groen'!AX228</f>
        <v/>
      </c>
      <c r="K222" s="124">
        <f>+'Invullen groen'!AY228</f>
        <v/>
      </c>
      <c r="L222" s="124">
        <f>+'Invullen groen'!AZ228</f>
        <v/>
      </c>
      <c r="M222" s="124">
        <f>+'Invullen groen'!BA228</f>
        <v/>
      </c>
      <c r="N222" s="124">
        <f>+'Invullen groen'!BB228</f>
        <v/>
      </c>
      <c r="O222" s="124">
        <f>+'Invullen groen'!BC228</f>
        <v/>
      </c>
      <c r="P222" s="124">
        <f>+'Invullen groen'!BD228</f>
        <v/>
      </c>
      <c r="Q222" s="124" t="n"/>
      <c r="R222" s="124" t="n"/>
      <c r="S222" s="124" t="n"/>
      <c r="T222" s="124" t="n"/>
      <c r="U222" s="124" t="n"/>
      <c r="V222" s="124" t="n"/>
      <c r="W222" s="124" t="n"/>
      <c r="X222" s="124" t="n"/>
      <c r="Y222" s="124" t="n"/>
      <c r="Z222" s="124" t="n"/>
      <c r="AA222" s="124" t="n"/>
      <c r="AB222" s="124" t="n"/>
      <c r="AC222" s="124" t="n"/>
      <c r="AD222" s="124" t="n"/>
      <c r="AE222" s="124" t="n"/>
      <c r="AF222" s="124" t="n"/>
      <c r="AG222" s="124" t="n"/>
      <c r="AH222" s="124" t="n"/>
      <c r="AI222" s="124" t="n"/>
      <c r="AJ222" s="124" t="n"/>
      <c r="AK222" s="124" t="n"/>
      <c r="AL222" s="124" t="n"/>
      <c r="AM222" s="124" t="n"/>
      <c r="AN222" s="124" t="n"/>
      <c r="AO222" s="124" t="n"/>
      <c r="AP222" s="124" t="n"/>
      <c r="AQ222" s="124" t="n"/>
      <c r="AR222" s="124" t="n"/>
      <c r="AS222" s="124" t="n"/>
      <c r="AT222" s="124" t="n"/>
      <c r="AU222" s="124" t="n"/>
      <c r="AV222" s="124" t="n"/>
      <c r="AW222" s="124" t="n"/>
      <c r="AX222" s="124" t="n"/>
      <c r="AY222" s="124" t="n"/>
      <c r="AZ222" s="124" t="n"/>
      <c r="BA222" s="124" t="n"/>
      <c r="BB222" s="124" t="n"/>
      <c r="BC222" s="124" t="n"/>
      <c r="BD222" s="124" t="n"/>
      <c r="BE222" s="124" t="n"/>
      <c r="BF222" s="124" t="n"/>
      <c r="BG222" s="124" t="n"/>
      <c r="BH222" s="124" t="n"/>
      <c r="BI222" s="124" t="n"/>
      <c r="BJ222" s="124" t="n"/>
      <c r="BK222" s="124" t="n"/>
      <c r="BL222" s="124" t="n"/>
      <c r="BM222" s="124" t="n"/>
      <c r="BN222" s="124" t="n"/>
      <c r="BO222" s="124" t="n"/>
    </row>
    <row r="223" ht="15" customHeight="1" s="402">
      <c r="A223" s="8">
        <f>+'Invullen groen'!A229</f>
        <v/>
      </c>
      <c r="B223" s="9">
        <f>+'Invullen groen'!C229</f>
        <v/>
      </c>
      <c r="C223" s="19">
        <f>+'Invullen groen'!G229</f>
        <v/>
      </c>
      <c r="D223" s="10">
        <f>+'Invullen groen'!M229</f>
        <v/>
      </c>
      <c r="E223" s="11">
        <f>+'Invullen groen'!H229</f>
        <v/>
      </c>
      <c r="F223" s="11">
        <f>+'Invullen groen'!I229</f>
        <v/>
      </c>
      <c r="G223" s="11">
        <f>+'Invullen groen'!J229</f>
        <v/>
      </c>
      <c r="H223" s="11">
        <f>+'Invullen groen'!K229</f>
        <v/>
      </c>
      <c r="I223" s="124">
        <f>+'Invullen groen'!AW229</f>
        <v/>
      </c>
      <c r="J223" s="124">
        <f>+'Invullen groen'!AX229</f>
        <v/>
      </c>
      <c r="K223" s="124">
        <f>+'Invullen groen'!AY229</f>
        <v/>
      </c>
      <c r="L223" s="124">
        <f>+'Invullen groen'!AZ229</f>
        <v/>
      </c>
      <c r="M223" s="124">
        <f>+'Invullen groen'!BA229</f>
        <v/>
      </c>
      <c r="N223" s="124">
        <f>+'Invullen groen'!BB229</f>
        <v/>
      </c>
      <c r="O223" s="124">
        <f>+'Invullen groen'!BC229</f>
        <v/>
      </c>
      <c r="P223" s="124">
        <f>+'Invullen groen'!BD229</f>
        <v/>
      </c>
      <c r="Q223" s="124" t="n"/>
      <c r="R223" s="124" t="n"/>
      <c r="S223" s="124" t="n"/>
      <c r="T223" s="124" t="n"/>
      <c r="U223" s="124" t="n"/>
      <c r="V223" s="124" t="n"/>
      <c r="W223" s="124" t="n"/>
      <c r="X223" s="124" t="n"/>
      <c r="Y223" s="124" t="n"/>
      <c r="Z223" s="124" t="n"/>
      <c r="AA223" s="124" t="n"/>
      <c r="AB223" s="124" t="n"/>
      <c r="AC223" s="124" t="n"/>
      <c r="AD223" s="124" t="n"/>
      <c r="AE223" s="124" t="n"/>
      <c r="AF223" s="124" t="n"/>
      <c r="AG223" s="124" t="n"/>
      <c r="AH223" s="124" t="n"/>
      <c r="AI223" s="124" t="n"/>
      <c r="AJ223" s="124" t="n"/>
      <c r="AK223" s="124" t="n"/>
      <c r="AL223" s="124" t="n"/>
      <c r="AM223" s="124" t="n"/>
      <c r="AN223" s="124" t="n"/>
      <c r="AO223" s="124" t="n"/>
      <c r="AP223" s="124" t="n"/>
      <c r="AQ223" s="124" t="n"/>
      <c r="AR223" s="124" t="n"/>
      <c r="AS223" s="124" t="n"/>
      <c r="AT223" s="124" t="n"/>
      <c r="AU223" s="124" t="n"/>
      <c r="AV223" s="124" t="n"/>
      <c r="AW223" s="124" t="n"/>
      <c r="AX223" s="124" t="n"/>
      <c r="AY223" s="124" t="n"/>
      <c r="AZ223" s="124" t="n"/>
      <c r="BA223" s="124" t="n"/>
      <c r="BB223" s="124" t="n"/>
      <c r="BC223" s="124" t="n"/>
      <c r="BD223" s="124" t="n"/>
      <c r="BE223" s="124" t="n"/>
      <c r="BF223" s="124" t="n"/>
      <c r="BG223" s="124" t="n"/>
      <c r="BH223" s="124" t="n"/>
      <c r="BI223" s="124" t="n"/>
      <c r="BJ223" s="124" t="n"/>
      <c r="BK223" s="124" t="n"/>
      <c r="BL223" s="124" t="n"/>
      <c r="BM223" s="124" t="n"/>
      <c r="BN223" s="124" t="n"/>
      <c r="BO223" s="124" t="n"/>
    </row>
    <row r="224" ht="15" customHeight="1" s="402">
      <c r="A224" s="8">
        <f>+'Invullen groen'!A230</f>
        <v/>
      </c>
      <c r="B224" s="9">
        <f>+'Invullen groen'!C230</f>
        <v/>
      </c>
      <c r="C224" s="19">
        <f>+'Invullen groen'!G230</f>
        <v/>
      </c>
      <c r="D224" s="10">
        <f>+'Invullen groen'!M230</f>
        <v/>
      </c>
      <c r="E224" s="11">
        <f>+'Invullen groen'!H230</f>
        <v/>
      </c>
      <c r="F224" s="11">
        <f>+'Invullen groen'!I230</f>
        <v/>
      </c>
      <c r="G224" s="11">
        <f>+'Invullen groen'!J230</f>
        <v/>
      </c>
      <c r="H224" s="11">
        <f>+'Invullen groen'!K230</f>
        <v/>
      </c>
      <c r="I224" s="124">
        <f>+'Invullen groen'!AW230</f>
        <v/>
      </c>
      <c r="J224" s="124">
        <f>+'Invullen groen'!AX230</f>
        <v/>
      </c>
      <c r="K224" s="124">
        <f>+'Invullen groen'!AY230</f>
        <v/>
      </c>
      <c r="L224" s="124">
        <f>+'Invullen groen'!AZ230</f>
        <v/>
      </c>
      <c r="M224" s="124">
        <f>+'Invullen groen'!BA230</f>
        <v/>
      </c>
      <c r="N224" s="124">
        <f>+'Invullen groen'!BB230</f>
        <v/>
      </c>
      <c r="O224" s="124">
        <f>+'Invullen groen'!BC230</f>
        <v/>
      </c>
      <c r="P224" s="124">
        <f>+'Invullen groen'!BD230</f>
        <v/>
      </c>
    </row>
    <row r="225" ht="15" customHeight="1" s="402">
      <c r="A225" s="8">
        <f>+'Invullen groen'!A231</f>
        <v/>
      </c>
      <c r="B225" s="9">
        <f>+'Invullen groen'!C231</f>
        <v/>
      </c>
      <c r="C225" s="19">
        <f>+'Invullen groen'!G231</f>
        <v/>
      </c>
      <c r="D225" s="10">
        <f>+'Invullen groen'!M231</f>
        <v/>
      </c>
      <c r="E225" s="11">
        <f>+'Invullen groen'!H231</f>
        <v/>
      </c>
      <c r="F225" s="11">
        <f>+'Invullen groen'!I231</f>
        <v/>
      </c>
      <c r="G225" s="11">
        <f>+'Invullen groen'!J231</f>
        <v/>
      </c>
      <c r="H225" s="11">
        <f>+'Invullen groen'!K231</f>
        <v/>
      </c>
      <c r="I225" s="124">
        <f>+'Invullen groen'!AW231</f>
        <v/>
      </c>
      <c r="J225" s="124">
        <f>+'Invullen groen'!AX231</f>
        <v/>
      </c>
      <c r="K225" s="124">
        <f>+'Invullen groen'!AY231</f>
        <v/>
      </c>
      <c r="L225" s="124">
        <f>+'Invullen groen'!AZ231</f>
        <v/>
      </c>
      <c r="M225" s="124">
        <f>+'Invullen groen'!BA231</f>
        <v/>
      </c>
      <c r="N225" s="124">
        <f>+'Invullen groen'!BB231</f>
        <v/>
      </c>
      <c r="O225" s="124">
        <f>+'Invullen groen'!BC231</f>
        <v/>
      </c>
      <c r="P225" s="124">
        <f>+'Invullen groen'!BD231</f>
        <v/>
      </c>
    </row>
    <row r="226" ht="15" customHeight="1" s="402">
      <c r="A226" s="8">
        <f>+'Invullen groen'!A232</f>
        <v/>
      </c>
      <c r="B226" s="9">
        <f>+'Invullen groen'!C232</f>
        <v/>
      </c>
      <c r="C226" s="19">
        <f>+'Invullen groen'!G232</f>
        <v/>
      </c>
      <c r="D226" s="10">
        <f>+'Invullen groen'!M232</f>
        <v/>
      </c>
      <c r="E226" s="11">
        <f>+'Invullen groen'!H232</f>
        <v/>
      </c>
      <c r="F226" s="11">
        <f>+'Invullen groen'!I232</f>
        <v/>
      </c>
      <c r="G226" s="11">
        <f>+'Invullen groen'!J232</f>
        <v/>
      </c>
      <c r="H226" s="11">
        <f>+'Invullen groen'!K232</f>
        <v/>
      </c>
      <c r="I226" s="124">
        <f>+'Invullen groen'!AW232</f>
        <v/>
      </c>
      <c r="J226" s="124">
        <f>+'Invullen groen'!AX232</f>
        <v/>
      </c>
      <c r="K226" s="124">
        <f>+'Invullen groen'!AY232</f>
        <v/>
      </c>
      <c r="L226" s="124">
        <f>+'Invullen groen'!AZ232</f>
        <v/>
      </c>
      <c r="M226" s="124">
        <f>+'Invullen groen'!BA232</f>
        <v/>
      </c>
      <c r="N226" s="124">
        <f>+'Invullen groen'!BB232</f>
        <v/>
      </c>
      <c r="O226" s="124">
        <f>+'Invullen groen'!BC232</f>
        <v/>
      </c>
      <c r="P226" s="124">
        <f>+'Invullen groen'!BD232</f>
        <v/>
      </c>
    </row>
    <row r="227" ht="15" customHeight="1" s="402">
      <c r="A227" s="8">
        <f>+'Invullen groen'!A233</f>
        <v/>
      </c>
      <c r="B227" s="9">
        <f>+'Invullen groen'!C233</f>
        <v/>
      </c>
      <c r="C227" s="19">
        <f>+'Invullen groen'!G233</f>
        <v/>
      </c>
      <c r="D227" s="10">
        <f>+'Invullen groen'!M233</f>
        <v/>
      </c>
      <c r="E227" s="11">
        <f>+'Invullen groen'!H233</f>
        <v/>
      </c>
      <c r="F227" s="11">
        <f>+'Invullen groen'!I233</f>
        <v/>
      </c>
      <c r="G227" s="11">
        <f>+'Invullen groen'!J233</f>
        <v/>
      </c>
      <c r="H227" s="11">
        <f>+'Invullen groen'!K233</f>
        <v/>
      </c>
      <c r="I227" s="124">
        <f>+'Invullen groen'!AW233</f>
        <v/>
      </c>
      <c r="J227" s="124">
        <f>+'Invullen groen'!AX233</f>
        <v/>
      </c>
      <c r="K227" s="124">
        <f>+'Invullen groen'!AY233</f>
        <v/>
      </c>
      <c r="L227" s="124">
        <f>+'Invullen groen'!AZ233</f>
        <v/>
      </c>
      <c r="M227" s="124">
        <f>+'Invullen groen'!BA233</f>
        <v/>
      </c>
      <c r="N227" s="124">
        <f>+'Invullen groen'!BB233</f>
        <v/>
      </c>
      <c r="O227" s="124">
        <f>+'Invullen groen'!BC233</f>
        <v/>
      </c>
      <c r="P227" s="124">
        <f>+'Invullen groen'!BD233</f>
        <v/>
      </c>
    </row>
    <row r="228" ht="15" customHeight="1" s="402">
      <c r="A228" s="8">
        <f>+'Invullen groen'!A234</f>
        <v/>
      </c>
      <c r="B228" s="9">
        <f>+'Invullen groen'!C234</f>
        <v/>
      </c>
      <c r="C228" s="19">
        <f>+'Invullen groen'!G234</f>
        <v/>
      </c>
      <c r="D228" s="10">
        <f>+'Invullen groen'!M234</f>
        <v/>
      </c>
      <c r="E228" s="11">
        <f>+'Invullen groen'!H234</f>
        <v/>
      </c>
      <c r="F228" s="11">
        <f>+'Invullen groen'!I234</f>
        <v/>
      </c>
      <c r="G228" s="11">
        <f>+'Invullen groen'!J234</f>
        <v/>
      </c>
      <c r="H228" s="11">
        <f>+'Invullen groen'!K234</f>
        <v/>
      </c>
      <c r="I228" s="124">
        <f>+'Invullen groen'!AW234</f>
        <v/>
      </c>
      <c r="J228" s="124">
        <f>+'Invullen groen'!AX234</f>
        <v/>
      </c>
      <c r="K228" s="124">
        <f>+'Invullen groen'!AY234</f>
        <v/>
      </c>
      <c r="L228" s="124">
        <f>+'Invullen groen'!AZ234</f>
        <v/>
      </c>
      <c r="M228" s="124">
        <f>+'Invullen groen'!BA234</f>
        <v/>
      </c>
      <c r="N228" s="124">
        <f>+'Invullen groen'!BB234</f>
        <v/>
      </c>
      <c r="O228" s="124">
        <f>+'Invullen groen'!BC234</f>
        <v/>
      </c>
      <c r="P228" s="124">
        <f>+'Invullen groen'!BD234</f>
        <v/>
      </c>
    </row>
    <row r="229" ht="15" customHeight="1" s="402">
      <c r="A229" s="8">
        <f>+'Invullen groen'!A235</f>
        <v/>
      </c>
      <c r="B229" s="9">
        <f>+'Invullen groen'!C235</f>
        <v/>
      </c>
      <c r="C229" s="19">
        <f>+'Invullen groen'!G235</f>
        <v/>
      </c>
      <c r="D229" s="10">
        <f>+'Invullen groen'!M235</f>
        <v/>
      </c>
      <c r="E229" s="11">
        <f>+'Invullen groen'!H235</f>
        <v/>
      </c>
      <c r="F229" s="11">
        <f>+'Invullen groen'!I235</f>
        <v/>
      </c>
      <c r="G229" s="11">
        <f>+'Invullen groen'!J235</f>
        <v/>
      </c>
      <c r="H229" s="11">
        <f>+'Invullen groen'!K235</f>
        <v/>
      </c>
      <c r="I229" s="124">
        <f>+'Invullen groen'!AW235</f>
        <v/>
      </c>
      <c r="J229" s="124">
        <f>+'Invullen groen'!AX235</f>
        <v/>
      </c>
      <c r="K229" s="124">
        <f>+'Invullen groen'!AY235</f>
        <v/>
      </c>
      <c r="L229" s="124">
        <f>+'Invullen groen'!AZ235</f>
        <v/>
      </c>
      <c r="M229" s="124">
        <f>+'Invullen groen'!BA235</f>
        <v/>
      </c>
      <c r="N229" s="124">
        <f>+'Invullen groen'!BB235</f>
        <v/>
      </c>
      <c r="O229" s="124">
        <f>+'Invullen groen'!BC235</f>
        <v/>
      </c>
      <c r="P229" s="124">
        <f>+'Invullen groen'!BD235</f>
        <v/>
      </c>
    </row>
    <row r="230" ht="15" customHeight="1" s="402">
      <c r="A230" s="8">
        <f>+'Invullen groen'!A236</f>
        <v/>
      </c>
      <c r="B230" s="9">
        <f>+'Invullen groen'!C236</f>
        <v/>
      </c>
      <c r="C230" s="19">
        <f>+'Invullen groen'!G236</f>
        <v/>
      </c>
      <c r="D230" s="10">
        <f>+'Invullen groen'!M236</f>
        <v/>
      </c>
      <c r="E230" s="11">
        <f>+'Invullen groen'!H236</f>
        <v/>
      </c>
      <c r="F230" s="11">
        <f>+'Invullen groen'!I236</f>
        <v/>
      </c>
      <c r="G230" s="11">
        <f>+'Invullen groen'!J236</f>
        <v/>
      </c>
      <c r="H230" s="11">
        <f>+'Invullen groen'!K236</f>
        <v/>
      </c>
      <c r="I230" s="124">
        <f>+'Invullen groen'!AW236</f>
        <v/>
      </c>
      <c r="J230" s="124">
        <f>+'Invullen groen'!AX236</f>
        <v/>
      </c>
      <c r="K230" s="124">
        <f>+'Invullen groen'!AY236</f>
        <v/>
      </c>
      <c r="L230" s="124">
        <f>+'Invullen groen'!AZ236</f>
        <v/>
      </c>
      <c r="M230" s="124">
        <f>+'Invullen groen'!BA236</f>
        <v/>
      </c>
      <c r="N230" s="124">
        <f>+'Invullen groen'!BB236</f>
        <v/>
      </c>
      <c r="O230" s="124">
        <f>+'Invullen groen'!BC236</f>
        <v/>
      </c>
      <c r="P230" s="124">
        <f>+'Invullen groen'!BD236</f>
        <v/>
      </c>
    </row>
    <row r="231" ht="15" customHeight="1" s="402">
      <c r="A231" s="8">
        <f>+'Invullen groen'!A237</f>
        <v/>
      </c>
      <c r="B231" s="9">
        <f>+'Invullen groen'!C237</f>
        <v/>
      </c>
      <c r="C231" s="19">
        <f>+'Invullen groen'!G237</f>
        <v/>
      </c>
      <c r="D231" s="10">
        <f>+'Invullen groen'!M237</f>
        <v/>
      </c>
      <c r="E231" s="11">
        <f>+'Invullen groen'!H237</f>
        <v/>
      </c>
      <c r="F231" s="11">
        <f>+'Invullen groen'!I237</f>
        <v/>
      </c>
      <c r="G231" s="11">
        <f>+'Invullen groen'!J237</f>
        <v/>
      </c>
      <c r="H231" s="11">
        <f>+'Invullen groen'!K237</f>
        <v/>
      </c>
      <c r="I231" s="124">
        <f>+'Invullen groen'!AW237</f>
        <v/>
      </c>
      <c r="J231" s="124">
        <f>+'Invullen groen'!AX237</f>
        <v/>
      </c>
      <c r="K231" s="124">
        <f>+'Invullen groen'!AY237</f>
        <v/>
      </c>
      <c r="L231" s="124">
        <f>+'Invullen groen'!AZ237</f>
        <v/>
      </c>
      <c r="M231" s="124">
        <f>+'Invullen groen'!BA237</f>
        <v/>
      </c>
      <c r="N231" s="124">
        <f>+'Invullen groen'!BB237</f>
        <v/>
      </c>
      <c r="O231" s="124">
        <f>+'Invullen groen'!BC237</f>
        <v/>
      </c>
      <c r="P231" s="124">
        <f>+'Invullen groen'!BD237</f>
        <v/>
      </c>
    </row>
    <row r="232" ht="15" customHeight="1" s="402">
      <c r="A232" s="8">
        <f>+'Invullen groen'!A238</f>
        <v/>
      </c>
      <c r="B232" s="9">
        <f>+'Invullen groen'!C238</f>
        <v/>
      </c>
      <c r="C232" s="19">
        <f>+'Invullen groen'!G238</f>
        <v/>
      </c>
      <c r="D232" s="10">
        <f>+'Invullen groen'!M238</f>
        <v/>
      </c>
      <c r="E232" s="11">
        <f>+'Invullen groen'!H238</f>
        <v/>
      </c>
      <c r="F232" s="11">
        <f>+'Invullen groen'!I238</f>
        <v/>
      </c>
      <c r="G232" s="11">
        <f>+'Invullen groen'!J238</f>
        <v/>
      </c>
      <c r="H232" s="11">
        <f>+'Invullen groen'!K238</f>
        <v/>
      </c>
      <c r="I232" s="124">
        <f>+'Invullen groen'!AW238</f>
        <v/>
      </c>
      <c r="J232" s="124">
        <f>+'Invullen groen'!AX238</f>
        <v/>
      </c>
      <c r="K232" s="124">
        <f>+'Invullen groen'!AY238</f>
        <v/>
      </c>
      <c r="L232" s="124">
        <f>+'Invullen groen'!AZ238</f>
        <v/>
      </c>
      <c r="M232" s="124">
        <f>+'Invullen groen'!BA238</f>
        <v/>
      </c>
      <c r="N232" s="124">
        <f>+'Invullen groen'!BB238</f>
        <v/>
      </c>
      <c r="O232" s="124">
        <f>+'Invullen groen'!BC238</f>
        <v/>
      </c>
      <c r="P232" s="124">
        <f>+'Invullen groen'!BD238</f>
        <v/>
      </c>
    </row>
    <row r="233" ht="15" customHeight="1" s="402">
      <c r="A233" s="8">
        <f>+'Invullen groen'!A239</f>
        <v/>
      </c>
      <c r="B233" s="9">
        <f>+'Invullen groen'!C239</f>
        <v/>
      </c>
      <c r="C233" s="19">
        <f>+'Invullen groen'!G239</f>
        <v/>
      </c>
      <c r="D233" s="10">
        <f>+'Invullen groen'!M239</f>
        <v/>
      </c>
      <c r="E233" s="11">
        <f>+'Invullen groen'!H239</f>
        <v/>
      </c>
      <c r="F233" s="11">
        <f>+'Invullen groen'!I239</f>
        <v/>
      </c>
      <c r="G233" s="11">
        <f>+'Invullen groen'!J239</f>
        <v/>
      </c>
      <c r="H233" s="11">
        <f>+'Invullen groen'!K239</f>
        <v/>
      </c>
      <c r="I233" s="124">
        <f>+'Invullen groen'!AW239</f>
        <v/>
      </c>
      <c r="J233" s="124">
        <f>+'Invullen groen'!AX239</f>
        <v/>
      </c>
      <c r="K233" s="124">
        <f>+'Invullen groen'!AY239</f>
        <v/>
      </c>
      <c r="L233" s="124">
        <f>+'Invullen groen'!AZ239</f>
        <v/>
      </c>
      <c r="M233" s="124">
        <f>+'Invullen groen'!BA239</f>
        <v/>
      </c>
      <c r="N233" s="124">
        <f>+'Invullen groen'!BB239</f>
        <v/>
      </c>
      <c r="O233" s="124">
        <f>+'Invullen groen'!BC239</f>
        <v/>
      </c>
      <c r="P233" s="124">
        <f>+'Invullen groen'!BD239</f>
        <v/>
      </c>
    </row>
    <row r="234" ht="15" customHeight="1" s="402">
      <c r="A234" s="8">
        <f>+'Invullen groen'!A240</f>
        <v/>
      </c>
      <c r="B234" s="9">
        <f>+'Invullen groen'!C240</f>
        <v/>
      </c>
      <c r="C234" s="19">
        <f>+'Invullen groen'!G240</f>
        <v/>
      </c>
      <c r="D234" s="10">
        <f>+'Invullen groen'!M240</f>
        <v/>
      </c>
      <c r="E234" s="11">
        <f>+'Invullen groen'!H240</f>
        <v/>
      </c>
      <c r="F234" s="11">
        <f>+'Invullen groen'!I240</f>
        <v/>
      </c>
      <c r="G234" s="11">
        <f>+'Invullen groen'!J240</f>
        <v/>
      </c>
      <c r="H234" s="11">
        <f>+'Invullen groen'!K240</f>
        <v/>
      </c>
      <c r="I234" s="124">
        <f>+'Invullen groen'!AW240</f>
        <v/>
      </c>
      <c r="J234" s="124">
        <f>+'Invullen groen'!AX240</f>
        <v/>
      </c>
      <c r="K234" s="124">
        <f>+'Invullen groen'!AY240</f>
        <v/>
      </c>
      <c r="L234" s="124">
        <f>+'Invullen groen'!AZ240</f>
        <v/>
      </c>
      <c r="M234" s="124">
        <f>+'Invullen groen'!BA240</f>
        <v/>
      </c>
      <c r="N234" s="124">
        <f>+'Invullen groen'!BB240</f>
        <v/>
      </c>
      <c r="O234" s="124">
        <f>+'Invullen groen'!BC240</f>
        <v/>
      </c>
      <c r="P234" s="124">
        <f>+'Invullen groen'!BD240</f>
        <v/>
      </c>
    </row>
    <row r="235" ht="15" customHeight="1" s="402">
      <c r="A235" s="8">
        <f>+'Invullen groen'!A241</f>
        <v/>
      </c>
      <c r="B235" s="9">
        <f>+'Invullen groen'!C241</f>
        <v/>
      </c>
      <c r="C235" s="19">
        <f>+'Invullen groen'!G241</f>
        <v/>
      </c>
      <c r="D235" s="10">
        <f>+'Invullen groen'!M241</f>
        <v/>
      </c>
      <c r="E235" s="11">
        <f>+'Invullen groen'!H241</f>
        <v/>
      </c>
      <c r="F235" s="11">
        <f>+'Invullen groen'!I241</f>
        <v/>
      </c>
      <c r="G235" s="11">
        <f>+'Invullen groen'!J241</f>
        <v/>
      </c>
      <c r="H235" s="11">
        <f>+'Invullen groen'!K241</f>
        <v/>
      </c>
      <c r="I235" s="124">
        <f>+'Invullen groen'!AW241</f>
        <v/>
      </c>
      <c r="J235" s="124">
        <f>+'Invullen groen'!AX241</f>
        <v/>
      </c>
      <c r="K235" s="124">
        <f>+'Invullen groen'!AY241</f>
        <v/>
      </c>
      <c r="L235" s="124">
        <f>+'Invullen groen'!AZ241</f>
        <v/>
      </c>
      <c r="M235" s="124">
        <f>+'Invullen groen'!BA241</f>
        <v/>
      </c>
      <c r="N235" s="124">
        <f>+'Invullen groen'!BB241</f>
        <v/>
      </c>
      <c r="O235" s="124">
        <f>+'Invullen groen'!BC241</f>
        <v/>
      </c>
      <c r="P235" s="124">
        <f>+'Invullen groen'!BD241</f>
        <v/>
      </c>
    </row>
    <row r="236" ht="15" customHeight="1" s="402">
      <c r="A236" s="8">
        <f>+'Invullen groen'!A242</f>
        <v/>
      </c>
      <c r="B236" s="9">
        <f>+'Invullen groen'!C242</f>
        <v/>
      </c>
      <c r="C236" s="19">
        <f>+'Invullen groen'!G242</f>
        <v/>
      </c>
      <c r="D236" s="10">
        <f>+'Invullen groen'!M242</f>
        <v/>
      </c>
      <c r="E236" s="11">
        <f>+'Invullen groen'!H242</f>
        <v/>
      </c>
      <c r="F236" s="11">
        <f>+'Invullen groen'!I242</f>
        <v/>
      </c>
      <c r="G236" s="11">
        <f>+'Invullen groen'!J242</f>
        <v/>
      </c>
      <c r="H236" s="11">
        <f>+'Invullen groen'!K242</f>
        <v/>
      </c>
      <c r="I236" s="124">
        <f>+'Invullen groen'!AW242</f>
        <v/>
      </c>
      <c r="J236" s="124">
        <f>+'Invullen groen'!AX242</f>
        <v/>
      </c>
      <c r="K236" s="124">
        <f>+'Invullen groen'!AY242</f>
        <v/>
      </c>
      <c r="L236" s="124">
        <f>+'Invullen groen'!AZ242</f>
        <v/>
      </c>
      <c r="M236" s="124">
        <f>+'Invullen groen'!BA242</f>
        <v/>
      </c>
      <c r="N236" s="124">
        <f>+'Invullen groen'!BB242</f>
        <v/>
      </c>
      <c r="O236" s="124">
        <f>+'Invullen groen'!BC242</f>
        <v/>
      </c>
      <c r="P236" s="124">
        <f>+'Invullen groen'!BD242</f>
        <v/>
      </c>
    </row>
    <row r="237" ht="15" customHeight="1" s="402">
      <c r="A237" s="8">
        <f>+'Invullen groen'!A243</f>
        <v/>
      </c>
      <c r="B237" s="9">
        <f>+'Invullen groen'!C243</f>
        <v/>
      </c>
      <c r="C237" s="19">
        <f>+'Invullen groen'!G243</f>
        <v/>
      </c>
      <c r="D237" s="10">
        <f>+'Invullen groen'!M243</f>
        <v/>
      </c>
      <c r="E237" s="11">
        <f>+'Invullen groen'!H243</f>
        <v/>
      </c>
      <c r="F237" s="11">
        <f>+'Invullen groen'!I243</f>
        <v/>
      </c>
      <c r="G237" s="11">
        <f>+'Invullen groen'!J243</f>
        <v/>
      </c>
      <c r="H237" s="11">
        <f>+'Invullen groen'!K243</f>
        <v/>
      </c>
      <c r="I237" s="124">
        <f>+'Invullen groen'!AW243</f>
        <v/>
      </c>
      <c r="J237" s="124">
        <f>+'Invullen groen'!AX243</f>
        <v/>
      </c>
      <c r="K237" s="124">
        <f>+'Invullen groen'!AY243</f>
        <v/>
      </c>
      <c r="L237" s="124">
        <f>+'Invullen groen'!AZ243</f>
        <v/>
      </c>
      <c r="M237" s="124">
        <f>+'Invullen groen'!BA243</f>
        <v/>
      </c>
      <c r="N237" s="124">
        <f>+'Invullen groen'!BB243</f>
        <v/>
      </c>
      <c r="O237" s="124">
        <f>+'Invullen groen'!BC243</f>
        <v/>
      </c>
      <c r="P237" s="124">
        <f>+'Invullen groen'!BD243</f>
        <v/>
      </c>
    </row>
    <row r="238" ht="15" customHeight="1" s="402">
      <c r="A238" s="8">
        <f>+'Invullen groen'!A244</f>
        <v/>
      </c>
      <c r="B238" s="9">
        <f>+'Invullen groen'!C244</f>
        <v/>
      </c>
      <c r="C238" s="19">
        <f>+'Invullen groen'!G244</f>
        <v/>
      </c>
      <c r="D238" s="10">
        <f>+'Invullen groen'!M244</f>
        <v/>
      </c>
      <c r="E238" s="11">
        <f>+'Invullen groen'!H244</f>
        <v/>
      </c>
      <c r="F238" s="11">
        <f>+'Invullen groen'!I244</f>
        <v/>
      </c>
      <c r="G238" s="11">
        <f>+'Invullen groen'!J244</f>
        <v/>
      </c>
      <c r="H238" s="11">
        <f>+'Invullen groen'!K244</f>
        <v/>
      </c>
      <c r="I238" s="124">
        <f>+'Invullen groen'!AW244</f>
        <v/>
      </c>
      <c r="J238" s="124">
        <f>+'Invullen groen'!AX244</f>
        <v/>
      </c>
      <c r="K238" s="124">
        <f>+'Invullen groen'!AY244</f>
        <v/>
      </c>
      <c r="L238" s="124">
        <f>+'Invullen groen'!AZ244</f>
        <v/>
      </c>
      <c r="M238" s="124">
        <f>+'Invullen groen'!BA244</f>
        <v/>
      </c>
      <c r="N238" s="124">
        <f>+'Invullen groen'!BB244</f>
        <v/>
      </c>
      <c r="O238" s="124">
        <f>+'Invullen groen'!BC244</f>
        <v/>
      </c>
      <c r="P238" s="124">
        <f>+'Invullen groen'!BD244</f>
        <v/>
      </c>
    </row>
    <row r="239" ht="15" customHeight="1" s="402">
      <c r="A239" s="8">
        <f>+'Invullen groen'!A245</f>
        <v/>
      </c>
      <c r="B239" s="9">
        <f>+'Invullen groen'!C245</f>
        <v/>
      </c>
      <c r="C239" s="19">
        <f>+'Invullen groen'!G245</f>
        <v/>
      </c>
      <c r="D239" s="10">
        <f>+'Invullen groen'!M245</f>
        <v/>
      </c>
      <c r="E239" s="11">
        <f>+'Invullen groen'!H245</f>
        <v/>
      </c>
      <c r="F239" s="11">
        <f>+'Invullen groen'!I245</f>
        <v/>
      </c>
      <c r="G239" s="11">
        <f>+'Invullen groen'!J245</f>
        <v/>
      </c>
      <c r="H239" s="11">
        <f>+'Invullen groen'!K245</f>
        <v/>
      </c>
      <c r="I239" s="124">
        <f>+'Invullen groen'!AW245</f>
        <v/>
      </c>
      <c r="J239" s="124">
        <f>+'Invullen groen'!AX245</f>
        <v/>
      </c>
      <c r="K239" s="124">
        <f>+'Invullen groen'!AY245</f>
        <v/>
      </c>
      <c r="L239" s="124">
        <f>+'Invullen groen'!AZ245</f>
        <v/>
      </c>
      <c r="M239" s="124">
        <f>+'Invullen groen'!BA245</f>
        <v/>
      </c>
      <c r="N239" s="124">
        <f>+'Invullen groen'!BB245</f>
        <v/>
      </c>
      <c r="O239" s="124">
        <f>+'Invullen groen'!BC245</f>
        <v/>
      </c>
      <c r="P239" s="124">
        <f>+'Invullen groen'!BD245</f>
        <v/>
      </c>
    </row>
    <row r="240" ht="15" customHeight="1" s="402">
      <c r="A240" s="8">
        <f>+'Invullen groen'!A246</f>
        <v/>
      </c>
      <c r="B240" s="9">
        <f>+'Invullen groen'!C246</f>
        <v/>
      </c>
      <c r="C240" s="19">
        <f>+'Invullen groen'!G246</f>
        <v/>
      </c>
      <c r="D240" s="10">
        <f>+'Invullen groen'!M246</f>
        <v/>
      </c>
      <c r="E240" s="11">
        <f>+'Invullen groen'!H246</f>
        <v/>
      </c>
      <c r="F240" s="11">
        <f>+'Invullen groen'!I246</f>
        <v/>
      </c>
      <c r="G240" s="11">
        <f>+'Invullen groen'!J246</f>
        <v/>
      </c>
      <c r="H240" s="11">
        <f>+'Invullen groen'!K246</f>
        <v/>
      </c>
      <c r="I240" s="124">
        <f>+'Invullen groen'!AW246</f>
        <v/>
      </c>
      <c r="J240" s="124">
        <f>+'Invullen groen'!AX246</f>
        <v/>
      </c>
      <c r="K240" s="124">
        <f>+'Invullen groen'!AY246</f>
        <v/>
      </c>
      <c r="L240" s="124">
        <f>+'Invullen groen'!AZ246</f>
        <v/>
      </c>
      <c r="M240" s="124">
        <f>+'Invullen groen'!BA246</f>
        <v/>
      </c>
      <c r="N240" s="124">
        <f>+'Invullen groen'!BB246</f>
        <v/>
      </c>
      <c r="O240" s="124">
        <f>+'Invullen groen'!BC246</f>
        <v/>
      </c>
      <c r="P240" s="124">
        <f>+'Invullen groen'!BD246</f>
        <v/>
      </c>
    </row>
    <row r="241" ht="15" customHeight="1" s="402">
      <c r="A241" s="8">
        <f>+'Invullen groen'!A247</f>
        <v/>
      </c>
      <c r="B241" s="9">
        <f>+'Invullen groen'!C247</f>
        <v/>
      </c>
      <c r="C241" s="19">
        <f>+'Invullen groen'!G247</f>
        <v/>
      </c>
      <c r="D241" s="10">
        <f>+'Invullen groen'!M247</f>
        <v/>
      </c>
      <c r="E241" s="11">
        <f>+'Invullen groen'!H247</f>
        <v/>
      </c>
      <c r="F241" s="11">
        <f>+'Invullen groen'!I247</f>
        <v/>
      </c>
      <c r="G241" s="11">
        <f>+'Invullen groen'!J247</f>
        <v/>
      </c>
      <c r="H241" s="11">
        <f>+'Invullen groen'!K247</f>
        <v/>
      </c>
      <c r="I241" s="124">
        <f>+'Invullen groen'!AW247</f>
        <v/>
      </c>
      <c r="J241" s="124">
        <f>+'Invullen groen'!AX247</f>
        <v/>
      </c>
      <c r="K241" s="124">
        <f>+'Invullen groen'!AY247</f>
        <v/>
      </c>
      <c r="L241" s="124">
        <f>+'Invullen groen'!AZ247</f>
        <v/>
      </c>
      <c r="M241" s="124">
        <f>+'Invullen groen'!BA247</f>
        <v/>
      </c>
      <c r="N241" s="124">
        <f>+'Invullen groen'!BB247</f>
        <v/>
      </c>
      <c r="O241" s="124">
        <f>+'Invullen groen'!BC247</f>
        <v/>
      </c>
      <c r="P241" s="124">
        <f>+'Invullen groen'!BD247</f>
        <v/>
      </c>
    </row>
    <row r="242" ht="15" customHeight="1" s="402">
      <c r="A242" s="8">
        <f>+'Invullen groen'!A248</f>
        <v/>
      </c>
      <c r="B242" s="9">
        <f>+'Invullen groen'!C248</f>
        <v/>
      </c>
      <c r="C242" s="19">
        <f>+'Invullen groen'!G248</f>
        <v/>
      </c>
      <c r="D242" s="10">
        <f>+'Invullen groen'!M248</f>
        <v/>
      </c>
      <c r="E242" s="11">
        <f>+'Invullen groen'!H248</f>
        <v/>
      </c>
      <c r="F242" s="11">
        <f>+'Invullen groen'!I248</f>
        <v/>
      </c>
      <c r="G242" s="11">
        <f>+'Invullen groen'!J248</f>
        <v/>
      </c>
      <c r="H242" s="11">
        <f>+'Invullen groen'!K248</f>
        <v/>
      </c>
      <c r="I242" s="124">
        <f>+'Invullen groen'!AW248</f>
        <v/>
      </c>
      <c r="J242" s="124">
        <f>+'Invullen groen'!AX248</f>
        <v/>
      </c>
      <c r="K242" s="124">
        <f>+'Invullen groen'!AY248</f>
        <v/>
      </c>
      <c r="L242" s="124">
        <f>+'Invullen groen'!AZ248</f>
        <v/>
      </c>
      <c r="M242" s="124">
        <f>+'Invullen groen'!BA248</f>
        <v/>
      </c>
      <c r="N242" s="124">
        <f>+'Invullen groen'!BB248</f>
        <v/>
      </c>
      <c r="O242" s="124">
        <f>+'Invullen groen'!BC248</f>
        <v/>
      </c>
      <c r="P242" s="124">
        <f>+'Invullen groen'!BD248</f>
        <v/>
      </c>
    </row>
    <row r="243" ht="15" customHeight="1" s="402">
      <c r="A243" s="8">
        <f>+'Invullen groen'!A249</f>
        <v/>
      </c>
      <c r="B243" s="9">
        <f>+'Invullen groen'!C249</f>
        <v/>
      </c>
      <c r="C243" s="19">
        <f>+'Invullen groen'!G249</f>
        <v/>
      </c>
      <c r="D243" s="10">
        <f>+'Invullen groen'!M249</f>
        <v/>
      </c>
      <c r="E243" s="11">
        <f>+'Invullen groen'!H249</f>
        <v/>
      </c>
      <c r="F243" s="11">
        <f>+'Invullen groen'!I249</f>
        <v/>
      </c>
      <c r="G243" s="11">
        <f>+'Invullen groen'!J249</f>
        <v/>
      </c>
      <c r="H243" s="11">
        <f>+'Invullen groen'!K249</f>
        <v/>
      </c>
      <c r="I243" s="124">
        <f>+'Invullen groen'!AW249</f>
        <v/>
      </c>
      <c r="J243" s="124">
        <f>+'Invullen groen'!AX249</f>
        <v/>
      </c>
      <c r="K243" s="124">
        <f>+'Invullen groen'!AY249</f>
        <v/>
      </c>
      <c r="L243" s="124">
        <f>+'Invullen groen'!AZ249</f>
        <v/>
      </c>
      <c r="M243" s="124">
        <f>+'Invullen groen'!BA249</f>
        <v/>
      </c>
      <c r="N243" s="124">
        <f>+'Invullen groen'!BB249</f>
        <v/>
      </c>
      <c r="O243" s="124">
        <f>+'Invullen groen'!BC249</f>
        <v/>
      </c>
      <c r="P243" s="124">
        <f>+'Invullen groen'!BD249</f>
        <v/>
      </c>
    </row>
    <row r="244" ht="15" customHeight="1" s="402">
      <c r="A244" s="8">
        <f>+'Invullen groen'!A250</f>
        <v/>
      </c>
      <c r="B244" s="9">
        <f>+'Invullen groen'!C250</f>
        <v/>
      </c>
      <c r="C244" s="19">
        <f>+'Invullen groen'!G250</f>
        <v/>
      </c>
      <c r="D244" s="10">
        <f>+'Invullen groen'!M250</f>
        <v/>
      </c>
      <c r="E244" s="11">
        <f>+'Invullen groen'!H250</f>
        <v/>
      </c>
      <c r="F244" s="11">
        <f>+'Invullen groen'!I250</f>
        <v/>
      </c>
      <c r="G244" s="11">
        <f>+'Invullen groen'!J250</f>
        <v/>
      </c>
      <c r="H244" s="11">
        <f>+'Invullen groen'!K250</f>
        <v/>
      </c>
      <c r="I244" s="124">
        <f>+'Invullen groen'!AW250</f>
        <v/>
      </c>
      <c r="J244" s="124">
        <f>+'Invullen groen'!AX250</f>
        <v/>
      </c>
      <c r="K244" s="124">
        <f>+'Invullen groen'!AY250</f>
        <v/>
      </c>
      <c r="L244" s="124">
        <f>+'Invullen groen'!AZ250</f>
        <v/>
      </c>
      <c r="M244" s="124">
        <f>+'Invullen groen'!BA250</f>
        <v/>
      </c>
      <c r="N244" s="124">
        <f>+'Invullen groen'!BB250</f>
        <v/>
      </c>
      <c r="O244" s="124">
        <f>+'Invullen groen'!BC250</f>
        <v/>
      </c>
      <c r="P244" s="124">
        <f>+'Invullen groen'!BD250</f>
        <v/>
      </c>
    </row>
    <row r="245" ht="15" customHeight="1" s="402">
      <c r="A245" s="8">
        <f>+'Invullen groen'!A251</f>
        <v/>
      </c>
      <c r="B245" s="9">
        <f>+'Invullen groen'!C251</f>
        <v/>
      </c>
      <c r="C245" s="19">
        <f>+'Invullen groen'!G251</f>
        <v/>
      </c>
      <c r="D245" s="10">
        <f>+'Invullen groen'!M251</f>
        <v/>
      </c>
      <c r="E245" s="11">
        <f>+'Invullen groen'!H251</f>
        <v/>
      </c>
      <c r="F245" s="11">
        <f>+'Invullen groen'!I251</f>
        <v/>
      </c>
      <c r="G245" s="11">
        <f>+'Invullen groen'!J251</f>
        <v/>
      </c>
      <c r="H245" s="11">
        <f>+'Invullen groen'!K251</f>
        <v/>
      </c>
      <c r="I245" s="124">
        <f>+'Invullen groen'!AW251</f>
        <v/>
      </c>
      <c r="J245" s="124">
        <f>+'Invullen groen'!AX251</f>
        <v/>
      </c>
      <c r="K245" s="124">
        <f>+'Invullen groen'!AY251</f>
        <v/>
      </c>
      <c r="L245" s="124">
        <f>+'Invullen groen'!AZ251</f>
        <v/>
      </c>
      <c r="M245" s="124">
        <f>+'Invullen groen'!BA251</f>
        <v/>
      </c>
      <c r="N245" s="124">
        <f>+'Invullen groen'!BB251</f>
        <v/>
      </c>
      <c r="O245" s="124">
        <f>+'Invullen groen'!BC251</f>
        <v/>
      </c>
      <c r="P245" s="124">
        <f>+'Invullen groen'!BD251</f>
        <v/>
      </c>
    </row>
    <row r="246" ht="15" customHeight="1" s="402">
      <c r="A246" s="8">
        <f>+'Invullen groen'!A252</f>
        <v/>
      </c>
      <c r="B246" s="9">
        <f>+'Invullen groen'!C252</f>
        <v/>
      </c>
      <c r="C246" s="19">
        <f>+'Invullen groen'!G252</f>
        <v/>
      </c>
      <c r="D246" s="10">
        <f>+'Invullen groen'!M252</f>
        <v/>
      </c>
      <c r="E246" s="11">
        <f>+'Invullen groen'!H252</f>
        <v/>
      </c>
      <c r="F246" s="11">
        <f>+'Invullen groen'!I252</f>
        <v/>
      </c>
      <c r="G246" s="11">
        <f>+'Invullen groen'!J252</f>
        <v/>
      </c>
      <c r="H246" s="11">
        <f>+'Invullen groen'!K252</f>
        <v/>
      </c>
      <c r="I246" s="124">
        <f>+'Invullen groen'!AW252</f>
        <v/>
      </c>
      <c r="J246" s="124">
        <f>+'Invullen groen'!AX252</f>
        <v/>
      </c>
      <c r="K246" s="124">
        <f>+'Invullen groen'!AY252</f>
        <v/>
      </c>
      <c r="L246" s="124">
        <f>+'Invullen groen'!AZ252</f>
        <v/>
      </c>
      <c r="M246" s="124">
        <f>+'Invullen groen'!BA252</f>
        <v/>
      </c>
      <c r="N246" s="124">
        <f>+'Invullen groen'!BB252</f>
        <v/>
      </c>
      <c r="O246" s="124">
        <f>+'Invullen groen'!BC252</f>
        <v/>
      </c>
      <c r="P246" s="124">
        <f>+'Invullen groen'!BD252</f>
        <v/>
      </c>
    </row>
    <row r="247" ht="15" customHeight="1" s="402">
      <c r="A247" s="8">
        <f>+'Invullen groen'!A253</f>
        <v/>
      </c>
      <c r="B247" s="9">
        <f>+'Invullen groen'!C253</f>
        <v/>
      </c>
      <c r="C247" s="19">
        <f>+'Invullen groen'!G253</f>
        <v/>
      </c>
      <c r="D247" s="10">
        <f>+'Invullen groen'!M253</f>
        <v/>
      </c>
      <c r="E247" s="11">
        <f>+'Invullen groen'!H253</f>
        <v/>
      </c>
      <c r="F247" s="11">
        <f>+'Invullen groen'!I253</f>
        <v/>
      </c>
      <c r="G247" s="11">
        <f>+'Invullen groen'!J253</f>
        <v/>
      </c>
      <c r="H247" s="11">
        <f>+'Invullen groen'!K253</f>
        <v/>
      </c>
      <c r="I247" s="124">
        <f>+'Invullen groen'!AW253</f>
        <v/>
      </c>
      <c r="J247" s="124">
        <f>+'Invullen groen'!AX253</f>
        <v/>
      </c>
      <c r="K247" s="124">
        <f>+'Invullen groen'!AY253</f>
        <v/>
      </c>
      <c r="L247" s="124">
        <f>+'Invullen groen'!AZ253</f>
        <v/>
      </c>
      <c r="M247" s="124">
        <f>+'Invullen groen'!BA253</f>
        <v/>
      </c>
      <c r="N247" s="124">
        <f>+'Invullen groen'!BB253</f>
        <v/>
      </c>
      <c r="O247" s="124">
        <f>+'Invullen groen'!BC253</f>
        <v/>
      </c>
      <c r="P247" s="124">
        <f>+'Invullen groen'!BD253</f>
        <v/>
      </c>
    </row>
    <row r="248" ht="15" customHeight="1" s="402">
      <c r="A248" s="8">
        <f>+'Invullen groen'!A254</f>
        <v/>
      </c>
      <c r="B248" s="9">
        <f>+'Invullen groen'!C254</f>
        <v/>
      </c>
      <c r="C248" s="19">
        <f>+'Invullen groen'!G254</f>
        <v/>
      </c>
      <c r="D248" s="10">
        <f>+'Invullen groen'!M254</f>
        <v/>
      </c>
      <c r="E248" s="11">
        <f>+'Invullen groen'!H254</f>
        <v/>
      </c>
      <c r="F248" s="11">
        <f>+'Invullen groen'!I254</f>
        <v/>
      </c>
      <c r="G248" s="11">
        <f>+'Invullen groen'!J254</f>
        <v/>
      </c>
      <c r="H248" s="11">
        <f>+'Invullen groen'!K254</f>
        <v/>
      </c>
      <c r="I248" s="124">
        <f>+'Invullen groen'!AW254</f>
        <v/>
      </c>
      <c r="J248" s="124">
        <f>+'Invullen groen'!AX254</f>
        <v/>
      </c>
      <c r="K248" s="124">
        <f>+'Invullen groen'!AY254</f>
        <v/>
      </c>
      <c r="L248" s="124">
        <f>+'Invullen groen'!AZ254</f>
        <v/>
      </c>
      <c r="M248" s="124">
        <f>+'Invullen groen'!BA254</f>
        <v/>
      </c>
      <c r="N248" s="124">
        <f>+'Invullen groen'!BB254</f>
        <v/>
      </c>
      <c r="O248" s="124">
        <f>+'Invullen groen'!BC254</f>
        <v/>
      </c>
      <c r="P248" s="124">
        <f>+'Invullen groen'!BD254</f>
        <v/>
      </c>
    </row>
    <row r="249" ht="15" customHeight="1" s="402">
      <c r="A249" s="8">
        <f>+'Invullen groen'!A255</f>
        <v/>
      </c>
      <c r="B249" s="9">
        <f>+'Invullen groen'!C255</f>
        <v/>
      </c>
      <c r="C249" s="19">
        <f>+'Invullen groen'!G255</f>
        <v/>
      </c>
      <c r="D249" s="10">
        <f>+'Invullen groen'!M255</f>
        <v/>
      </c>
      <c r="E249" s="11">
        <f>+'Invullen groen'!H255</f>
        <v/>
      </c>
      <c r="F249" s="11">
        <f>+'Invullen groen'!I255</f>
        <v/>
      </c>
      <c r="G249" s="11">
        <f>+'Invullen groen'!J255</f>
        <v/>
      </c>
      <c r="H249" s="11">
        <f>+'Invullen groen'!K255</f>
        <v/>
      </c>
      <c r="I249" s="124">
        <f>+'Invullen groen'!AW255</f>
        <v/>
      </c>
      <c r="J249" s="124">
        <f>+'Invullen groen'!AX255</f>
        <v/>
      </c>
      <c r="K249" s="124">
        <f>+'Invullen groen'!AY255</f>
        <v/>
      </c>
      <c r="L249" s="124">
        <f>+'Invullen groen'!AZ255</f>
        <v/>
      </c>
      <c r="M249" s="124">
        <f>+'Invullen groen'!BA255</f>
        <v/>
      </c>
      <c r="N249" s="124">
        <f>+'Invullen groen'!BB255</f>
        <v/>
      </c>
      <c r="O249" s="124">
        <f>+'Invullen groen'!BC255</f>
        <v/>
      </c>
      <c r="P249" s="124">
        <f>+'Invullen groen'!BD255</f>
        <v/>
      </c>
    </row>
    <row r="250" ht="15" customHeight="1" s="402">
      <c r="A250" s="8">
        <f>+'Invullen groen'!A256</f>
        <v/>
      </c>
      <c r="B250" s="9">
        <f>+'Invullen groen'!C256</f>
        <v/>
      </c>
      <c r="C250" s="19">
        <f>+'Invullen groen'!G256</f>
        <v/>
      </c>
      <c r="D250" s="10">
        <f>+'Invullen groen'!M256</f>
        <v/>
      </c>
      <c r="E250" s="11">
        <f>+'Invullen groen'!H256</f>
        <v/>
      </c>
      <c r="F250" s="11">
        <f>+'Invullen groen'!I256</f>
        <v/>
      </c>
      <c r="G250" s="11">
        <f>+'Invullen groen'!J256</f>
        <v/>
      </c>
      <c r="H250" s="11">
        <f>+'Invullen groen'!K256</f>
        <v/>
      </c>
      <c r="I250" s="124">
        <f>+'Invullen groen'!AW256</f>
        <v/>
      </c>
      <c r="J250" s="124">
        <f>+'Invullen groen'!AX256</f>
        <v/>
      </c>
      <c r="K250" s="124">
        <f>+'Invullen groen'!AY256</f>
        <v/>
      </c>
      <c r="L250" s="124">
        <f>+'Invullen groen'!AZ256</f>
        <v/>
      </c>
      <c r="M250" s="124">
        <f>+'Invullen groen'!BA256</f>
        <v/>
      </c>
      <c r="N250" s="124">
        <f>+'Invullen groen'!BB256</f>
        <v/>
      </c>
      <c r="O250" s="124">
        <f>+'Invullen groen'!BC256</f>
        <v/>
      </c>
      <c r="P250" s="124">
        <f>+'Invullen groen'!BD256</f>
        <v/>
      </c>
    </row>
    <row r="251" ht="15" customHeight="1" s="402">
      <c r="A251" s="8">
        <f>+'Invullen groen'!A257</f>
        <v/>
      </c>
      <c r="B251" s="9">
        <f>+'Invullen groen'!C257</f>
        <v/>
      </c>
      <c r="C251" s="19">
        <f>+'Invullen groen'!G257</f>
        <v/>
      </c>
      <c r="D251" s="10">
        <f>+'Invullen groen'!M257</f>
        <v/>
      </c>
      <c r="E251" s="11">
        <f>+'Invullen groen'!H257</f>
        <v/>
      </c>
      <c r="F251" s="11">
        <f>+'Invullen groen'!I257</f>
        <v/>
      </c>
      <c r="G251" s="11">
        <f>+'Invullen groen'!J257</f>
        <v/>
      </c>
      <c r="H251" s="11">
        <f>+'Invullen groen'!K257</f>
        <v/>
      </c>
      <c r="I251" s="124">
        <f>+'Invullen groen'!AW257</f>
        <v/>
      </c>
      <c r="J251" s="124">
        <f>+'Invullen groen'!AX257</f>
        <v/>
      </c>
      <c r="K251" s="124">
        <f>+'Invullen groen'!AY257</f>
        <v/>
      </c>
      <c r="L251" s="124">
        <f>+'Invullen groen'!AZ257</f>
        <v/>
      </c>
      <c r="M251" s="124">
        <f>+'Invullen groen'!BA257</f>
        <v/>
      </c>
      <c r="N251" s="124">
        <f>+'Invullen groen'!BB257</f>
        <v/>
      </c>
      <c r="O251" s="124">
        <f>+'Invullen groen'!BC257</f>
        <v/>
      </c>
      <c r="P251" s="124">
        <f>+'Invullen groen'!BD257</f>
        <v/>
      </c>
    </row>
    <row r="252" ht="15" customHeight="1" s="402">
      <c r="A252" s="8">
        <f>+'Invullen groen'!A258</f>
        <v/>
      </c>
      <c r="B252" s="9">
        <f>+'Invullen groen'!C258</f>
        <v/>
      </c>
      <c r="C252" s="19">
        <f>+'Invullen groen'!G258</f>
        <v/>
      </c>
      <c r="D252" s="10">
        <f>+'Invullen groen'!M258</f>
        <v/>
      </c>
      <c r="E252" s="11">
        <f>+'Invullen groen'!H258</f>
        <v/>
      </c>
      <c r="F252" s="11">
        <f>+'Invullen groen'!I258</f>
        <v/>
      </c>
      <c r="G252" s="11">
        <f>+'Invullen groen'!J258</f>
        <v/>
      </c>
      <c r="H252" s="11">
        <f>+'Invullen groen'!K258</f>
        <v/>
      </c>
      <c r="I252" s="124">
        <f>+'Invullen groen'!AW258</f>
        <v/>
      </c>
      <c r="J252" s="124">
        <f>+'Invullen groen'!AX258</f>
        <v/>
      </c>
      <c r="K252" s="124">
        <f>+'Invullen groen'!AY258</f>
        <v/>
      </c>
      <c r="L252" s="124">
        <f>+'Invullen groen'!AZ258</f>
        <v/>
      </c>
      <c r="M252" s="124">
        <f>+'Invullen groen'!BA258</f>
        <v/>
      </c>
      <c r="N252" s="124">
        <f>+'Invullen groen'!BB258</f>
        <v/>
      </c>
      <c r="O252" s="124">
        <f>+'Invullen groen'!BC258</f>
        <v/>
      </c>
      <c r="P252" s="124">
        <f>+'Invullen groen'!BD258</f>
        <v/>
      </c>
    </row>
    <row r="253" ht="15" customHeight="1" s="402">
      <c r="A253" s="8">
        <f>+'Invullen groen'!A259</f>
        <v/>
      </c>
      <c r="B253" s="9">
        <f>+'Invullen groen'!C259</f>
        <v/>
      </c>
      <c r="C253" s="19">
        <f>+'Invullen groen'!G259</f>
        <v/>
      </c>
      <c r="D253" s="10">
        <f>+'Invullen groen'!M259</f>
        <v/>
      </c>
      <c r="E253" s="11">
        <f>+'Invullen groen'!H259</f>
        <v/>
      </c>
      <c r="F253" s="11">
        <f>+'Invullen groen'!I259</f>
        <v/>
      </c>
      <c r="G253" s="11">
        <f>+'Invullen groen'!J259</f>
        <v/>
      </c>
      <c r="H253" s="11">
        <f>+'Invullen groen'!K259</f>
        <v/>
      </c>
      <c r="I253" s="124">
        <f>+'Invullen groen'!AW259</f>
        <v/>
      </c>
      <c r="J253" s="124">
        <f>+'Invullen groen'!AX259</f>
        <v/>
      </c>
      <c r="K253" s="124">
        <f>+'Invullen groen'!AY259</f>
        <v/>
      </c>
      <c r="L253" s="124">
        <f>+'Invullen groen'!AZ259</f>
        <v/>
      </c>
      <c r="M253" s="124">
        <f>+'Invullen groen'!BA259</f>
        <v/>
      </c>
      <c r="N253" s="124">
        <f>+'Invullen groen'!BB259</f>
        <v/>
      </c>
      <c r="O253" s="124">
        <f>+'Invullen groen'!BC259</f>
        <v/>
      </c>
      <c r="P253" s="124">
        <f>+'Invullen groen'!BD259</f>
        <v/>
      </c>
    </row>
    <row r="254" ht="15" customHeight="1" s="402">
      <c r="A254" s="8">
        <f>+'Invullen groen'!A260</f>
        <v/>
      </c>
      <c r="B254" s="9">
        <f>+'Invullen groen'!C260</f>
        <v/>
      </c>
      <c r="C254" s="19">
        <f>+'Invullen groen'!G260</f>
        <v/>
      </c>
      <c r="D254" s="10">
        <f>+'Invullen groen'!M260</f>
        <v/>
      </c>
      <c r="E254" s="11">
        <f>+'Invullen groen'!H260</f>
        <v/>
      </c>
      <c r="F254" s="11">
        <f>+'Invullen groen'!I260</f>
        <v/>
      </c>
      <c r="G254" s="11">
        <f>+'Invullen groen'!J260</f>
        <v/>
      </c>
      <c r="H254" s="11">
        <f>+'Invullen groen'!K260</f>
        <v/>
      </c>
      <c r="I254" s="124">
        <f>+'Invullen groen'!AW260</f>
        <v/>
      </c>
      <c r="J254" s="124">
        <f>+'Invullen groen'!AX260</f>
        <v/>
      </c>
      <c r="K254" s="124">
        <f>+'Invullen groen'!AY260</f>
        <v/>
      </c>
      <c r="L254" s="124">
        <f>+'Invullen groen'!AZ260</f>
        <v/>
      </c>
      <c r="M254" s="124">
        <f>+'Invullen groen'!BA260</f>
        <v/>
      </c>
      <c r="N254" s="124">
        <f>+'Invullen groen'!BB260</f>
        <v/>
      </c>
      <c r="O254" s="124">
        <f>+'Invullen groen'!BC260</f>
        <v/>
      </c>
      <c r="P254" s="124">
        <f>+'Invullen groen'!BD260</f>
        <v/>
      </c>
    </row>
    <row r="255" ht="15" customHeight="1" s="402">
      <c r="A255" s="8">
        <f>+'Invullen groen'!A261</f>
        <v/>
      </c>
      <c r="B255" s="9">
        <f>+'Invullen groen'!C261</f>
        <v/>
      </c>
      <c r="C255" s="19">
        <f>+'Invullen groen'!G261</f>
        <v/>
      </c>
      <c r="D255" s="10">
        <f>+'Invullen groen'!M261</f>
        <v/>
      </c>
      <c r="E255" s="11">
        <f>+'Invullen groen'!H261</f>
        <v/>
      </c>
      <c r="F255" s="11">
        <f>+'Invullen groen'!I261</f>
        <v/>
      </c>
      <c r="G255" s="11">
        <f>+'Invullen groen'!J261</f>
        <v/>
      </c>
      <c r="H255" s="11">
        <f>+'Invullen groen'!K261</f>
        <v/>
      </c>
      <c r="I255" s="124">
        <f>+'Invullen groen'!AW261</f>
        <v/>
      </c>
      <c r="J255" s="124">
        <f>+'Invullen groen'!AX261</f>
        <v/>
      </c>
      <c r="K255" s="124">
        <f>+'Invullen groen'!AY261</f>
        <v/>
      </c>
      <c r="L255" s="124">
        <f>+'Invullen groen'!AZ261</f>
        <v/>
      </c>
      <c r="M255" s="124">
        <f>+'Invullen groen'!BA261</f>
        <v/>
      </c>
      <c r="N255" s="124">
        <f>+'Invullen groen'!BB261</f>
        <v/>
      </c>
      <c r="O255" s="124">
        <f>+'Invullen groen'!BC261</f>
        <v/>
      </c>
      <c r="P255" s="124">
        <f>+'Invullen groen'!BD261</f>
        <v/>
      </c>
    </row>
    <row r="256" ht="15" customHeight="1" s="402">
      <c r="A256" s="8">
        <f>+'Invullen groen'!A262</f>
        <v/>
      </c>
      <c r="B256" s="9">
        <f>+'Invullen groen'!C262</f>
        <v/>
      </c>
      <c r="C256" s="19">
        <f>+'Invullen groen'!G262</f>
        <v/>
      </c>
      <c r="D256" s="10">
        <f>+'Invullen groen'!M262</f>
        <v/>
      </c>
      <c r="E256" s="11">
        <f>+'Invullen groen'!H262</f>
        <v/>
      </c>
      <c r="F256" s="11">
        <f>+'Invullen groen'!I262</f>
        <v/>
      </c>
      <c r="G256" s="11">
        <f>+'Invullen groen'!J262</f>
        <v/>
      </c>
      <c r="H256" s="11">
        <f>+'Invullen groen'!K262</f>
        <v/>
      </c>
      <c r="I256" s="124">
        <f>+'Invullen groen'!AW262</f>
        <v/>
      </c>
      <c r="J256" s="124">
        <f>+'Invullen groen'!AX262</f>
        <v/>
      </c>
      <c r="K256" s="124">
        <f>+'Invullen groen'!AY262</f>
        <v/>
      </c>
      <c r="L256" s="124">
        <f>+'Invullen groen'!AZ262</f>
        <v/>
      </c>
      <c r="M256" s="124">
        <f>+'Invullen groen'!BA262</f>
        <v/>
      </c>
      <c r="N256" s="124">
        <f>+'Invullen groen'!BB262</f>
        <v/>
      </c>
      <c r="O256" s="124">
        <f>+'Invullen groen'!BC262</f>
        <v/>
      </c>
      <c r="P256" s="124">
        <f>+'Invullen groen'!BD262</f>
        <v/>
      </c>
      <c r="Q256" s="124" t="n"/>
      <c r="R256" s="124" t="n"/>
      <c r="S256" s="124" t="n"/>
      <c r="T256" s="124" t="n"/>
      <c r="U256" s="124" t="n"/>
      <c r="V256" s="124" t="n"/>
      <c r="W256" s="124" t="n"/>
      <c r="X256" s="124" t="n"/>
      <c r="Y256" s="124" t="n"/>
      <c r="Z256" s="124" t="n"/>
      <c r="AA256" s="124" t="n"/>
      <c r="AB256" s="124" t="n"/>
      <c r="AC256" s="124" t="n"/>
      <c r="AD256" s="124" t="n"/>
      <c r="AE256" s="124" t="n"/>
      <c r="AF256" s="124" t="n"/>
      <c r="AG256" s="124" t="n"/>
      <c r="AH256" s="124" t="n"/>
      <c r="AI256" s="124" t="n"/>
      <c r="AJ256" s="124" t="n"/>
      <c r="AK256" s="124" t="n"/>
      <c r="AL256" s="124" t="n"/>
      <c r="AM256" s="124" t="n"/>
      <c r="AN256" s="124" t="n"/>
      <c r="AO256" s="124" t="n"/>
      <c r="AP256" s="124" t="n"/>
      <c r="AQ256" s="124" t="n"/>
      <c r="AR256" s="124" t="n"/>
      <c r="AS256" s="124" t="n"/>
      <c r="AT256" s="124" t="n"/>
      <c r="AU256" s="124" t="n"/>
      <c r="AV256" s="124" t="n"/>
      <c r="AW256" s="124" t="n"/>
      <c r="AX256" s="124" t="n"/>
      <c r="AY256" s="124" t="n"/>
      <c r="AZ256" s="124" t="n"/>
      <c r="BA256" s="124" t="n"/>
      <c r="BB256" s="124" t="n"/>
      <c r="BC256" s="124" t="n"/>
      <c r="BD256" s="124" t="n"/>
      <c r="BE256" s="124" t="n"/>
      <c r="BF256" s="124" t="n"/>
      <c r="BG256" s="124" t="n"/>
      <c r="BH256" s="124" t="n"/>
      <c r="BI256" s="124" t="n"/>
      <c r="BJ256" s="124" t="n"/>
      <c r="BK256" s="124" t="n"/>
      <c r="BL256" s="124" t="n"/>
      <c r="BM256" s="124" t="n"/>
      <c r="BN256" s="124" t="n"/>
      <c r="BO256" s="124" t="n"/>
    </row>
    <row r="257" ht="15" customHeight="1" s="402">
      <c r="A257" s="8">
        <f>+'Invullen groen'!A263</f>
        <v/>
      </c>
      <c r="B257" s="9">
        <f>+'Invullen groen'!C263</f>
        <v/>
      </c>
      <c r="C257" s="19">
        <f>+'Invullen groen'!G263</f>
        <v/>
      </c>
      <c r="D257" s="10">
        <f>+'Invullen groen'!M263</f>
        <v/>
      </c>
      <c r="E257" s="11">
        <f>+'Invullen groen'!H263</f>
        <v/>
      </c>
      <c r="F257" s="11">
        <f>+'Invullen groen'!I263</f>
        <v/>
      </c>
      <c r="G257" s="11">
        <f>+'Invullen groen'!J263</f>
        <v/>
      </c>
      <c r="H257" s="11">
        <f>+'Invullen groen'!K263</f>
        <v/>
      </c>
      <c r="I257" s="124">
        <f>+'Invullen groen'!AW263</f>
        <v/>
      </c>
      <c r="J257" s="124">
        <f>+'Invullen groen'!AX263</f>
        <v/>
      </c>
      <c r="K257" s="124">
        <f>+'Invullen groen'!AY263</f>
        <v/>
      </c>
      <c r="L257" s="124">
        <f>+'Invullen groen'!AZ263</f>
        <v/>
      </c>
      <c r="M257" s="124">
        <f>+'Invullen groen'!BA263</f>
        <v/>
      </c>
      <c r="N257" s="124">
        <f>+'Invullen groen'!BB263</f>
        <v/>
      </c>
      <c r="O257" s="124">
        <f>+'Invullen groen'!BC263</f>
        <v/>
      </c>
      <c r="P257" s="124">
        <f>+'Invullen groen'!BD263</f>
        <v/>
      </c>
      <c r="Q257" s="124" t="n"/>
      <c r="R257" s="124" t="n"/>
      <c r="S257" s="124" t="n"/>
      <c r="T257" s="124" t="n"/>
      <c r="U257" s="124" t="n"/>
      <c r="V257" s="124" t="n"/>
      <c r="W257" s="124" t="n"/>
      <c r="X257" s="124" t="n"/>
      <c r="Y257" s="124" t="n"/>
      <c r="Z257" s="124" t="n"/>
      <c r="AA257" s="124" t="n"/>
      <c r="AB257" s="124" t="n"/>
      <c r="AC257" s="124" t="n"/>
      <c r="AD257" s="124" t="n"/>
      <c r="AE257" s="124" t="n"/>
      <c r="AF257" s="124" t="n"/>
      <c r="AG257" s="124" t="n"/>
      <c r="AH257" s="124" t="n"/>
      <c r="AI257" s="124" t="n"/>
      <c r="AJ257" s="124" t="n"/>
      <c r="AK257" s="124" t="n"/>
      <c r="AL257" s="124" t="n"/>
      <c r="AM257" s="124" t="n"/>
      <c r="AN257" s="124" t="n"/>
      <c r="AO257" s="124" t="n"/>
      <c r="AP257" s="124" t="n"/>
      <c r="AQ257" s="124" t="n"/>
      <c r="AR257" s="124" t="n"/>
      <c r="AS257" s="124" t="n"/>
      <c r="AT257" s="124" t="n"/>
      <c r="AU257" s="124" t="n"/>
      <c r="AV257" s="124" t="n"/>
      <c r="AW257" s="124" t="n"/>
      <c r="AX257" s="124" t="n"/>
      <c r="AY257" s="124" t="n"/>
      <c r="AZ257" s="124" t="n"/>
      <c r="BA257" s="124" t="n"/>
      <c r="BB257" s="124" t="n"/>
      <c r="BC257" s="124" t="n"/>
      <c r="BD257" s="124" t="n"/>
      <c r="BE257" s="124" t="n"/>
      <c r="BF257" s="124" t="n"/>
      <c r="BG257" s="124" t="n"/>
      <c r="BH257" s="124" t="n"/>
      <c r="BI257" s="124" t="n"/>
      <c r="BJ257" s="124" t="n"/>
      <c r="BK257" s="124" t="n"/>
      <c r="BL257" s="124" t="n"/>
      <c r="BM257" s="124" t="n"/>
      <c r="BN257" s="124" t="n"/>
      <c r="BO257" s="124" t="n"/>
    </row>
    <row r="258" ht="15" customHeight="1" s="402">
      <c r="A258" s="8">
        <f>+'Invullen groen'!A264</f>
        <v/>
      </c>
      <c r="B258" s="9">
        <f>+'Invullen groen'!C264</f>
        <v/>
      </c>
      <c r="C258" s="19">
        <f>+'Invullen groen'!G264</f>
        <v/>
      </c>
      <c r="D258" s="10">
        <f>+'Invullen groen'!M264</f>
        <v/>
      </c>
      <c r="E258" s="11">
        <f>+'Invullen groen'!H264</f>
        <v/>
      </c>
      <c r="F258" s="11">
        <f>+'Invullen groen'!I264</f>
        <v/>
      </c>
      <c r="G258" s="11">
        <f>+'Invullen groen'!J264</f>
        <v/>
      </c>
      <c r="H258" s="11">
        <f>+'Invullen groen'!K264</f>
        <v/>
      </c>
      <c r="I258" s="124">
        <f>+'Invullen groen'!AW264</f>
        <v/>
      </c>
      <c r="J258" s="124">
        <f>+'Invullen groen'!AX264</f>
        <v/>
      </c>
      <c r="K258" s="124">
        <f>+'Invullen groen'!AY264</f>
        <v/>
      </c>
      <c r="L258" s="124">
        <f>+'Invullen groen'!AZ264</f>
        <v/>
      </c>
      <c r="M258" s="124">
        <f>+'Invullen groen'!BA264</f>
        <v/>
      </c>
      <c r="N258" s="124">
        <f>+'Invullen groen'!BB264</f>
        <v/>
      </c>
      <c r="O258" s="124">
        <f>+'Invullen groen'!BC264</f>
        <v/>
      </c>
      <c r="P258" s="124">
        <f>+'Invullen groen'!BD264</f>
        <v/>
      </c>
      <c r="Q258" s="124" t="n"/>
      <c r="R258" s="124" t="n"/>
      <c r="S258" s="124" t="n"/>
      <c r="T258" s="124" t="n"/>
      <c r="U258" s="124" t="n"/>
      <c r="V258" s="124" t="n"/>
      <c r="W258" s="124" t="n"/>
      <c r="X258" s="124" t="n"/>
      <c r="Y258" s="124" t="n"/>
      <c r="Z258" s="124" t="n"/>
      <c r="AA258" s="124" t="n"/>
      <c r="AB258" s="124" t="n"/>
      <c r="AC258" s="124" t="n"/>
      <c r="AD258" s="124" t="n"/>
      <c r="AE258" s="124" t="n"/>
      <c r="AF258" s="124" t="n"/>
      <c r="AG258" s="124" t="n"/>
      <c r="AH258" s="124" t="n"/>
      <c r="AI258" s="124" t="n"/>
      <c r="AJ258" s="124" t="n"/>
      <c r="AK258" s="124" t="n"/>
      <c r="AL258" s="124" t="n"/>
      <c r="AM258" s="124" t="n"/>
      <c r="AN258" s="124" t="n"/>
      <c r="AO258" s="124" t="n"/>
      <c r="AP258" s="124" t="n"/>
      <c r="AQ258" s="124" t="n"/>
      <c r="AR258" s="124" t="n"/>
      <c r="AS258" s="124" t="n"/>
      <c r="AT258" s="124" t="n"/>
      <c r="AU258" s="124" t="n"/>
      <c r="AV258" s="124" t="n"/>
      <c r="AW258" s="124" t="n"/>
      <c r="AX258" s="124" t="n"/>
      <c r="AY258" s="124" t="n"/>
      <c r="AZ258" s="124" t="n"/>
      <c r="BA258" s="124" t="n"/>
      <c r="BB258" s="124" t="n"/>
      <c r="BC258" s="124" t="n"/>
      <c r="BD258" s="124" t="n"/>
      <c r="BE258" s="124" t="n"/>
      <c r="BF258" s="124" t="n"/>
      <c r="BG258" s="124" t="n"/>
      <c r="BH258" s="124" t="n"/>
      <c r="BI258" s="124" t="n"/>
      <c r="BJ258" s="124" t="n"/>
      <c r="BK258" s="124" t="n"/>
      <c r="BL258" s="124" t="n"/>
      <c r="BM258" s="124" t="n"/>
      <c r="BN258" s="124" t="n"/>
      <c r="BO258" s="124" t="n"/>
    </row>
    <row r="259" ht="15" customHeight="1" s="402">
      <c r="A259" s="8">
        <f>+'Invullen groen'!A265</f>
        <v/>
      </c>
      <c r="B259" s="9">
        <f>+'Invullen groen'!C265</f>
        <v/>
      </c>
      <c r="C259" s="19">
        <f>+'Invullen groen'!G265</f>
        <v/>
      </c>
      <c r="D259" s="10">
        <f>+'Invullen groen'!M265</f>
        <v/>
      </c>
      <c r="E259" s="11">
        <f>+'Invullen groen'!H265</f>
        <v/>
      </c>
      <c r="F259" s="11">
        <f>+'Invullen groen'!I265</f>
        <v/>
      </c>
      <c r="G259" s="11">
        <f>+'Invullen groen'!J265</f>
        <v/>
      </c>
      <c r="H259" s="11">
        <f>+'Invullen groen'!K265</f>
        <v/>
      </c>
      <c r="I259" s="124">
        <f>+'Invullen groen'!AW265</f>
        <v/>
      </c>
      <c r="J259" s="124">
        <f>+'Invullen groen'!AX265</f>
        <v/>
      </c>
      <c r="K259" s="124">
        <f>+'Invullen groen'!AY265</f>
        <v/>
      </c>
      <c r="L259" s="124">
        <f>+'Invullen groen'!AZ265</f>
        <v/>
      </c>
      <c r="M259" s="124">
        <f>+'Invullen groen'!BA265</f>
        <v/>
      </c>
      <c r="N259" s="124">
        <f>+'Invullen groen'!BB265</f>
        <v/>
      </c>
      <c r="O259" s="124">
        <f>+'Invullen groen'!BC265</f>
        <v/>
      </c>
      <c r="P259" s="124">
        <f>+'Invullen groen'!BD265</f>
        <v/>
      </c>
      <c r="Q259" s="124" t="n"/>
      <c r="R259" s="124" t="n"/>
      <c r="S259" s="124" t="n"/>
      <c r="T259" s="124" t="n"/>
      <c r="U259" s="124" t="n"/>
      <c r="V259" s="124" t="n"/>
      <c r="W259" s="124" t="n"/>
      <c r="X259" s="124" t="n"/>
      <c r="Y259" s="124" t="n"/>
      <c r="Z259" s="124" t="n"/>
      <c r="AA259" s="124" t="n"/>
      <c r="AB259" s="124" t="n"/>
      <c r="AC259" s="124" t="n"/>
      <c r="AD259" s="124" t="n"/>
      <c r="AE259" s="124" t="n"/>
      <c r="AF259" s="124" t="n"/>
      <c r="AG259" s="124" t="n"/>
      <c r="AH259" s="124" t="n"/>
      <c r="AI259" s="124" t="n"/>
      <c r="AJ259" s="124" t="n"/>
      <c r="AK259" s="124" t="n"/>
      <c r="AL259" s="124" t="n"/>
      <c r="AM259" s="124" t="n"/>
      <c r="AN259" s="124" t="n"/>
      <c r="AO259" s="124" t="n"/>
      <c r="AP259" s="124" t="n"/>
      <c r="AQ259" s="124" t="n"/>
      <c r="AR259" s="124" t="n"/>
      <c r="AS259" s="124" t="n"/>
      <c r="AT259" s="124" t="n"/>
      <c r="AU259" s="124" t="n"/>
      <c r="AV259" s="124" t="n"/>
      <c r="AW259" s="124" t="n"/>
      <c r="AX259" s="124" t="n"/>
      <c r="AY259" s="124" t="n"/>
      <c r="AZ259" s="124" t="n"/>
      <c r="BA259" s="124" t="n"/>
      <c r="BB259" s="124" t="n"/>
      <c r="BC259" s="124" t="n"/>
      <c r="BD259" s="124" t="n"/>
      <c r="BE259" s="124" t="n"/>
      <c r="BF259" s="124" t="n"/>
      <c r="BG259" s="124" t="n"/>
      <c r="BH259" s="124" t="n"/>
      <c r="BI259" s="124" t="n"/>
      <c r="BJ259" s="124" t="n"/>
      <c r="BK259" s="124" t="n"/>
      <c r="BL259" s="124" t="n"/>
      <c r="BM259" s="124" t="n"/>
      <c r="BN259" s="124" t="n"/>
      <c r="BO259" s="124" t="n"/>
    </row>
    <row r="260" ht="15" customHeight="1" s="402">
      <c r="A260" s="8">
        <f>+'Invullen groen'!A266</f>
        <v/>
      </c>
      <c r="B260" s="9">
        <f>+'Invullen groen'!C266</f>
        <v/>
      </c>
      <c r="C260" s="19">
        <f>+'Invullen groen'!G266</f>
        <v/>
      </c>
      <c r="D260" s="10">
        <f>+'Invullen groen'!M266</f>
        <v/>
      </c>
      <c r="E260" s="11">
        <f>+'Invullen groen'!H266</f>
        <v/>
      </c>
      <c r="F260" s="11">
        <f>+'Invullen groen'!I266</f>
        <v/>
      </c>
      <c r="G260" s="11">
        <f>+'Invullen groen'!J266</f>
        <v/>
      </c>
      <c r="H260" s="11">
        <f>+'Invullen groen'!K266</f>
        <v/>
      </c>
      <c r="I260" s="124">
        <f>+'Invullen groen'!AW266</f>
        <v/>
      </c>
      <c r="J260" s="124">
        <f>+'Invullen groen'!AX266</f>
        <v/>
      </c>
      <c r="K260" s="124">
        <f>+'Invullen groen'!AY266</f>
        <v/>
      </c>
      <c r="L260" s="124">
        <f>+'Invullen groen'!AZ266</f>
        <v/>
      </c>
      <c r="M260" s="124">
        <f>+'Invullen groen'!BA266</f>
        <v/>
      </c>
      <c r="N260" s="124">
        <f>+'Invullen groen'!BB266</f>
        <v/>
      </c>
      <c r="O260" s="124">
        <f>+'Invullen groen'!BC266</f>
        <v/>
      </c>
      <c r="P260" s="124">
        <f>+'Invullen groen'!BD266</f>
        <v/>
      </c>
      <c r="Q260" s="124" t="n"/>
      <c r="R260" s="124" t="n"/>
      <c r="S260" s="124" t="n"/>
      <c r="T260" s="124" t="n"/>
      <c r="U260" s="124" t="n"/>
      <c r="V260" s="124" t="n"/>
      <c r="W260" s="124" t="n"/>
      <c r="X260" s="124" t="n"/>
      <c r="Y260" s="124" t="n"/>
      <c r="Z260" s="124" t="n"/>
      <c r="AA260" s="124" t="n"/>
      <c r="AB260" s="124" t="n"/>
      <c r="AC260" s="124" t="n"/>
      <c r="AD260" s="124" t="n"/>
      <c r="AE260" s="124" t="n"/>
      <c r="AF260" s="124" t="n"/>
      <c r="AG260" s="124" t="n"/>
      <c r="AH260" s="124" t="n"/>
      <c r="AI260" s="124" t="n"/>
      <c r="AJ260" s="124" t="n"/>
      <c r="AK260" s="124" t="n"/>
      <c r="AL260" s="124" t="n"/>
      <c r="AM260" s="124" t="n"/>
      <c r="AN260" s="124" t="n"/>
      <c r="AO260" s="124" t="n"/>
      <c r="AP260" s="124" t="n"/>
      <c r="AQ260" s="124" t="n"/>
      <c r="AR260" s="124" t="n"/>
      <c r="AS260" s="124" t="n"/>
      <c r="AT260" s="124" t="n"/>
      <c r="AU260" s="124" t="n"/>
      <c r="AV260" s="124" t="n"/>
      <c r="AW260" s="124" t="n"/>
      <c r="AX260" s="124" t="n"/>
      <c r="AY260" s="124" t="n"/>
      <c r="AZ260" s="124" t="n"/>
      <c r="BA260" s="124" t="n"/>
      <c r="BB260" s="124" t="n"/>
      <c r="BC260" s="124" t="n"/>
      <c r="BD260" s="124" t="n"/>
      <c r="BE260" s="124" t="n"/>
      <c r="BF260" s="124" t="n"/>
      <c r="BG260" s="124" t="n"/>
      <c r="BH260" s="124" t="n"/>
      <c r="BI260" s="124" t="n"/>
      <c r="BJ260" s="124" t="n"/>
      <c r="BK260" s="124" t="n"/>
      <c r="BL260" s="124" t="n"/>
      <c r="BM260" s="124" t="n"/>
      <c r="BN260" s="124" t="n"/>
      <c r="BO260" s="124" t="n"/>
    </row>
    <row r="261" ht="15" customHeight="1" s="402">
      <c r="A261" s="8">
        <f>+'Invullen groen'!A267</f>
        <v/>
      </c>
      <c r="B261" s="9">
        <f>+'Invullen groen'!C267</f>
        <v/>
      </c>
      <c r="C261" s="19">
        <f>+'Invullen groen'!G267</f>
        <v/>
      </c>
      <c r="D261" s="10">
        <f>+'Invullen groen'!M267</f>
        <v/>
      </c>
      <c r="E261" s="11">
        <f>+'Invullen groen'!H267</f>
        <v/>
      </c>
      <c r="F261" s="11">
        <f>+'Invullen groen'!I267</f>
        <v/>
      </c>
      <c r="G261" s="11">
        <f>+'Invullen groen'!J267</f>
        <v/>
      </c>
      <c r="H261" s="11">
        <f>+'Invullen groen'!K267</f>
        <v/>
      </c>
      <c r="I261" s="124">
        <f>+'Invullen groen'!AW267</f>
        <v/>
      </c>
      <c r="J261" s="124">
        <f>+'Invullen groen'!AX267</f>
        <v/>
      </c>
      <c r="K261" s="124">
        <f>+'Invullen groen'!AY267</f>
        <v/>
      </c>
      <c r="L261" s="124">
        <f>+'Invullen groen'!AZ267</f>
        <v/>
      </c>
      <c r="M261" s="124">
        <f>+'Invullen groen'!BA267</f>
        <v/>
      </c>
      <c r="N261" s="124">
        <f>+'Invullen groen'!BB267</f>
        <v/>
      </c>
      <c r="O261" s="124">
        <f>+'Invullen groen'!BC267</f>
        <v/>
      </c>
      <c r="P261" s="124">
        <f>+'Invullen groen'!BD267</f>
        <v/>
      </c>
      <c r="Q261" s="124" t="n"/>
      <c r="R261" s="124" t="n"/>
      <c r="S261" s="124" t="n"/>
      <c r="T261" s="124" t="n"/>
      <c r="U261" s="124" t="n"/>
      <c r="V261" s="124" t="n"/>
      <c r="W261" s="124" t="n"/>
      <c r="X261" s="124" t="n"/>
      <c r="Y261" s="124" t="n"/>
      <c r="Z261" s="124" t="n"/>
      <c r="AA261" s="124" t="n"/>
      <c r="AB261" s="124" t="n"/>
      <c r="AC261" s="124" t="n"/>
      <c r="AD261" s="124" t="n"/>
      <c r="AE261" s="124" t="n"/>
      <c r="AF261" s="124" t="n"/>
      <c r="AG261" s="124" t="n"/>
      <c r="AH261" s="124" t="n"/>
      <c r="AI261" s="124" t="n"/>
      <c r="AJ261" s="124" t="n"/>
      <c r="AK261" s="124" t="n"/>
      <c r="AL261" s="124" t="n"/>
      <c r="AM261" s="124" t="n"/>
      <c r="AN261" s="124" t="n"/>
      <c r="AO261" s="124" t="n"/>
      <c r="AP261" s="124" t="n"/>
      <c r="AQ261" s="124" t="n"/>
      <c r="AR261" s="124" t="n"/>
      <c r="AS261" s="124" t="n"/>
      <c r="AT261" s="124" t="n"/>
      <c r="AU261" s="124" t="n"/>
      <c r="AV261" s="124" t="n"/>
      <c r="AW261" s="124" t="n"/>
      <c r="AX261" s="124" t="n"/>
      <c r="AY261" s="124" t="n"/>
      <c r="AZ261" s="124" t="n"/>
      <c r="BA261" s="124" t="n"/>
      <c r="BB261" s="124" t="n"/>
      <c r="BC261" s="124" t="n"/>
      <c r="BD261" s="124" t="n"/>
      <c r="BE261" s="124" t="n"/>
      <c r="BF261" s="124" t="n"/>
      <c r="BG261" s="124" t="n"/>
      <c r="BH261" s="124" t="n"/>
      <c r="BI261" s="124" t="n"/>
      <c r="BJ261" s="124" t="n"/>
      <c r="BK261" s="124" t="n"/>
      <c r="BL261" s="124" t="n"/>
      <c r="BM261" s="124" t="n"/>
      <c r="BN261" s="124" t="n"/>
      <c r="BO261" s="124" t="n"/>
    </row>
    <row r="262" ht="15" customHeight="1" s="402">
      <c r="A262" s="8">
        <f>+'Invullen groen'!A268</f>
        <v/>
      </c>
      <c r="B262" s="9">
        <f>+'Invullen groen'!C268</f>
        <v/>
      </c>
      <c r="C262" s="19">
        <f>+'Invullen groen'!G268</f>
        <v/>
      </c>
      <c r="D262" s="10">
        <f>+'Invullen groen'!M268</f>
        <v/>
      </c>
      <c r="E262" s="11">
        <f>+'Invullen groen'!H268</f>
        <v/>
      </c>
      <c r="F262" s="11">
        <f>+'Invullen groen'!I268</f>
        <v/>
      </c>
      <c r="G262" s="11">
        <f>+'Invullen groen'!J268</f>
        <v/>
      </c>
      <c r="H262" s="11">
        <f>+'Invullen groen'!K268</f>
        <v/>
      </c>
      <c r="I262" s="124">
        <f>+'Invullen groen'!AW268</f>
        <v/>
      </c>
      <c r="J262" s="124">
        <f>+'Invullen groen'!AX268</f>
        <v/>
      </c>
      <c r="K262" s="124">
        <f>+'Invullen groen'!AY268</f>
        <v/>
      </c>
      <c r="L262" s="124">
        <f>+'Invullen groen'!AZ268</f>
        <v/>
      </c>
      <c r="M262" s="124">
        <f>+'Invullen groen'!BA268</f>
        <v/>
      </c>
      <c r="N262" s="124">
        <f>+'Invullen groen'!BB268</f>
        <v/>
      </c>
      <c r="O262" s="124">
        <f>+'Invullen groen'!BC268</f>
        <v/>
      </c>
      <c r="P262" s="124">
        <f>+'Invullen groen'!BD268</f>
        <v/>
      </c>
      <c r="Q262" s="124" t="n"/>
      <c r="R262" s="124" t="n"/>
      <c r="S262" s="124" t="n"/>
      <c r="T262" s="124" t="n"/>
      <c r="U262" s="124" t="n"/>
      <c r="V262" s="124" t="n"/>
      <c r="W262" s="124" t="n"/>
      <c r="X262" s="124" t="n"/>
      <c r="Y262" s="124" t="n"/>
      <c r="Z262" s="124" t="n"/>
      <c r="AA262" s="124" t="n"/>
      <c r="AB262" s="124" t="n"/>
      <c r="AC262" s="124" t="n"/>
      <c r="AD262" s="124" t="n"/>
      <c r="AE262" s="124" t="n"/>
      <c r="AF262" s="124" t="n"/>
      <c r="AG262" s="124" t="n"/>
      <c r="AH262" s="124" t="n"/>
      <c r="AI262" s="124" t="n"/>
      <c r="AJ262" s="124" t="n"/>
      <c r="AK262" s="124" t="n"/>
      <c r="AL262" s="124" t="n"/>
      <c r="AM262" s="124" t="n"/>
      <c r="AN262" s="124" t="n"/>
      <c r="AO262" s="124" t="n"/>
      <c r="AP262" s="124" t="n"/>
      <c r="AQ262" s="124" t="n"/>
      <c r="AR262" s="124" t="n"/>
      <c r="AS262" s="124" t="n"/>
      <c r="AT262" s="124" t="n"/>
      <c r="AU262" s="124" t="n"/>
      <c r="AV262" s="124" t="n"/>
      <c r="AW262" s="124" t="n"/>
      <c r="AX262" s="124" t="n"/>
      <c r="AY262" s="124" t="n"/>
      <c r="AZ262" s="124" t="n"/>
      <c r="BA262" s="124" t="n"/>
      <c r="BB262" s="124" t="n"/>
      <c r="BC262" s="124" t="n"/>
      <c r="BD262" s="124" t="n"/>
      <c r="BE262" s="124" t="n"/>
      <c r="BF262" s="124" t="n"/>
      <c r="BG262" s="124" t="n"/>
      <c r="BH262" s="124" t="n"/>
      <c r="BI262" s="124" t="n"/>
      <c r="BJ262" s="124" t="n"/>
      <c r="BK262" s="124" t="n"/>
      <c r="BL262" s="124" t="n"/>
      <c r="BM262" s="124" t="n"/>
      <c r="BN262" s="124" t="n"/>
      <c r="BO262" s="124" t="n"/>
    </row>
    <row r="263" ht="15" customHeight="1" s="402">
      <c r="A263" s="8">
        <f>+'Invullen groen'!A269</f>
        <v/>
      </c>
      <c r="B263" s="9">
        <f>+'Invullen groen'!C269</f>
        <v/>
      </c>
      <c r="C263" s="19">
        <f>+'Invullen groen'!G269</f>
        <v/>
      </c>
      <c r="D263" s="10">
        <f>+'Invullen groen'!M269</f>
        <v/>
      </c>
      <c r="E263" s="11">
        <f>+'Invullen groen'!H269</f>
        <v/>
      </c>
      <c r="F263" s="11">
        <f>+'Invullen groen'!I269</f>
        <v/>
      </c>
      <c r="G263" s="11">
        <f>+'Invullen groen'!J269</f>
        <v/>
      </c>
      <c r="H263" s="11">
        <f>+'Invullen groen'!K269</f>
        <v/>
      </c>
      <c r="I263" s="124">
        <f>+'Invullen groen'!AW269</f>
        <v/>
      </c>
      <c r="J263" s="124">
        <f>+'Invullen groen'!AX269</f>
        <v/>
      </c>
      <c r="K263" s="124">
        <f>+'Invullen groen'!AY269</f>
        <v/>
      </c>
      <c r="L263" s="124">
        <f>+'Invullen groen'!AZ269</f>
        <v/>
      </c>
      <c r="M263" s="124">
        <f>+'Invullen groen'!BA269</f>
        <v/>
      </c>
      <c r="N263" s="124">
        <f>+'Invullen groen'!BB269</f>
        <v/>
      </c>
      <c r="O263" s="124">
        <f>+'Invullen groen'!BC269</f>
        <v/>
      </c>
      <c r="P263" s="124">
        <f>+'Invullen groen'!BD269</f>
        <v/>
      </c>
      <c r="Q263" s="124" t="n"/>
      <c r="R263" s="124" t="n"/>
      <c r="S263" s="124" t="n"/>
      <c r="T263" s="124" t="n"/>
      <c r="U263" s="124" t="n"/>
      <c r="V263" s="124" t="n"/>
      <c r="W263" s="124" t="n"/>
      <c r="X263" s="124" t="n"/>
      <c r="Y263" s="124" t="n"/>
      <c r="Z263" s="124" t="n"/>
      <c r="AA263" s="124" t="n"/>
      <c r="AB263" s="124" t="n"/>
      <c r="AC263" s="124" t="n"/>
      <c r="AD263" s="124" t="n"/>
      <c r="AE263" s="124" t="n"/>
      <c r="AF263" s="124" t="n"/>
      <c r="AG263" s="124" t="n"/>
      <c r="AH263" s="124" t="n"/>
      <c r="AI263" s="124" t="n"/>
      <c r="AJ263" s="124" t="n"/>
      <c r="AK263" s="124" t="n"/>
      <c r="AL263" s="124" t="n"/>
      <c r="AM263" s="124" t="n"/>
      <c r="AN263" s="124" t="n"/>
      <c r="AO263" s="124" t="n"/>
      <c r="AP263" s="124" t="n"/>
      <c r="AQ263" s="124" t="n"/>
      <c r="AR263" s="124" t="n"/>
      <c r="AS263" s="124" t="n"/>
      <c r="AT263" s="124" t="n"/>
      <c r="AU263" s="124" t="n"/>
      <c r="AV263" s="124" t="n"/>
      <c r="AW263" s="124" t="n"/>
      <c r="AX263" s="124" t="n"/>
      <c r="AY263" s="124" t="n"/>
      <c r="AZ263" s="124" t="n"/>
      <c r="BA263" s="124" t="n"/>
      <c r="BB263" s="124" t="n"/>
      <c r="BC263" s="124" t="n"/>
      <c r="BD263" s="124" t="n"/>
      <c r="BE263" s="124" t="n"/>
      <c r="BF263" s="124" t="n"/>
      <c r="BG263" s="124" t="n"/>
      <c r="BH263" s="124" t="n"/>
      <c r="BI263" s="124" t="n"/>
      <c r="BJ263" s="124" t="n"/>
      <c r="BK263" s="124" t="n"/>
      <c r="BL263" s="124" t="n"/>
      <c r="BM263" s="124" t="n"/>
      <c r="BN263" s="124" t="n"/>
      <c r="BO263" s="124" t="n"/>
    </row>
    <row r="264" ht="15" customHeight="1" s="402">
      <c r="A264" s="8">
        <f>+'Invullen groen'!A270</f>
        <v/>
      </c>
      <c r="B264" s="9">
        <f>+'Invullen groen'!C270</f>
        <v/>
      </c>
      <c r="C264" s="19">
        <f>+'Invullen groen'!G270</f>
        <v/>
      </c>
      <c r="D264" s="10">
        <f>+'Invullen groen'!M270</f>
        <v/>
      </c>
      <c r="E264" s="11">
        <f>+'Invullen groen'!H270</f>
        <v/>
      </c>
      <c r="F264" s="11">
        <f>+'Invullen groen'!I270</f>
        <v/>
      </c>
      <c r="G264" s="11">
        <f>+'Invullen groen'!J270</f>
        <v/>
      </c>
      <c r="H264" s="11">
        <f>+'Invullen groen'!K270</f>
        <v/>
      </c>
      <c r="I264" s="124">
        <f>+'Invullen groen'!AW270</f>
        <v/>
      </c>
      <c r="J264" s="124">
        <f>+'Invullen groen'!AX270</f>
        <v/>
      </c>
      <c r="K264" s="124">
        <f>+'Invullen groen'!AY270</f>
        <v/>
      </c>
      <c r="L264" s="124">
        <f>+'Invullen groen'!AZ270</f>
        <v/>
      </c>
      <c r="M264" s="124">
        <f>+'Invullen groen'!BA270</f>
        <v/>
      </c>
      <c r="N264" s="124">
        <f>+'Invullen groen'!BB270</f>
        <v/>
      </c>
      <c r="O264" s="124">
        <f>+'Invullen groen'!BC270</f>
        <v/>
      </c>
      <c r="P264" s="124">
        <f>+'Invullen groen'!BD270</f>
        <v/>
      </c>
      <c r="Q264" s="124" t="n"/>
      <c r="R264" s="124" t="n"/>
      <c r="S264" s="124" t="n"/>
      <c r="T264" s="124" t="n"/>
      <c r="U264" s="124" t="n"/>
      <c r="V264" s="124" t="n"/>
      <c r="W264" s="124" t="n"/>
      <c r="X264" s="124" t="n"/>
      <c r="Y264" s="124" t="n"/>
      <c r="Z264" s="124" t="n"/>
      <c r="AA264" s="124" t="n"/>
      <c r="AB264" s="124" t="n"/>
      <c r="AC264" s="124" t="n"/>
      <c r="AD264" s="124" t="n"/>
      <c r="AE264" s="124" t="n"/>
      <c r="AF264" s="124" t="n"/>
      <c r="AG264" s="124" t="n"/>
      <c r="AH264" s="124" t="n"/>
      <c r="AI264" s="124" t="n"/>
      <c r="AJ264" s="124" t="n"/>
      <c r="AK264" s="124" t="n"/>
      <c r="AL264" s="124" t="n"/>
      <c r="AM264" s="124" t="n"/>
      <c r="AN264" s="124" t="n"/>
      <c r="AO264" s="124" t="n"/>
      <c r="AP264" s="124" t="n"/>
      <c r="AQ264" s="124" t="n"/>
      <c r="AR264" s="124" t="n"/>
      <c r="AS264" s="124" t="n"/>
      <c r="AT264" s="124" t="n"/>
      <c r="AU264" s="124" t="n"/>
      <c r="AV264" s="124" t="n"/>
      <c r="AW264" s="124" t="n"/>
      <c r="AX264" s="124" t="n"/>
      <c r="AY264" s="124" t="n"/>
      <c r="AZ264" s="124" t="n"/>
      <c r="BA264" s="124" t="n"/>
      <c r="BB264" s="124" t="n"/>
      <c r="BC264" s="124" t="n"/>
      <c r="BD264" s="124" t="n"/>
      <c r="BE264" s="124" t="n"/>
      <c r="BF264" s="124" t="n"/>
      <c r="BG264" s="124" t="n"/>
      <c r="BH264" s="124" t="n"/>
      <c r="BI264" s="124" t="n"/>
      <c r="BJ264" s="124" t="n"/>
      <c r="BK264" s="124" t="n"/>
      <c r="BL264" s="124" t="n"/>
      <c r="BM264" s="124" t="n"/>
      <c r="BN264" s="124" t="n"/>
      <c r="BO264" s="124" t="n"/>
    </row>
    <row r="265" ht="15" customHeight="1" s="402">
      <c r="A265" s="8">
        <f>+'Invullen groen'!A271</f>
        <v/>
      </c>
      <c r="B265" s="9">
        <f>+'Invullen groen'!C271</f>
        <v/>
      </c>
      <c r="C265" s="19">
        <f>+'Invullen groen'!G271</f>
        <v/>
      </c>
      <c r="D265" s="10">
        <f>+'Invullen groen'!M271</f>
        <v/>
      </c>
      <c r="E265" s="13">
        <f>+'Invullen groen'!H271</f>
        <v/>
      </c>
      <c r="F265" s="13">
        <f>+'Invullen groen'!I271</f>
        <v/>
      </c>
      <c r="G265" s="13">
        <f>+'Invullen groen'!J271</f>
        <v/>
      </c>
      <c r="H265" s="13">
        <f>+'Invullen groen'!K271</f>
        <v/>
      </c>
      <c r="I265" s="124">
        <f>+'Invullen groen'!AW271</f>
        <v/>
      </c>
      <c r="J265" s="124">
        <f>+'Invullen groen'!AX271</f>
        <v/>
      </c>
      <c r="K265" s="124">
        <f>+'Invullen groen'!AY271</f>
        <v/>
      </c>
      <c r="L265" s="124">
        <f>+'Invullen groen'!AZ271</f>
        <v/>
      </c>
      <c r="M265" s="124">
        <f>+'Invullen groen'!BA271</f>
        <v/>
      </c>
      <c r="N265" s="124">
        <f>+'Invullen groen'!BB271</f>
        <v/>
      </c>
      <c r="O265" s="124">
        <f>+'Invullen groen'!BC271</f>
        <v/>
      </c>
      <c r="P265" s="124">
        <f>+'Invullen groen'!BD271</f>
        <v/>
      </c>
      <c r="Q265" s="124" t="n"/>
      <c r="R265" s="124" t="n"/>
      <c r="S265" s="124" t="n"/>
      <c r="T265" s="124" t="n"/>
      <c r="U265" s="124" t="n"/>
      <c r="V265" s="124" t="n"/>
      <c r="W265" s="124" t="n"/>
      <c r="X265" s="124" t="n"/>
      <c r="Y265" s="124" t="n"/>
      <c r="Z265" s="124" t="n"/>
      <c r="AA265" s="124" t="n"/>
      <c r="AB265" s="124" t="n"/>
      <c r="AC265" s="124" t="n"/>
      <c r="AD265" s="124" t="n"/>
      <c r="AE265" s="124" t="n"/>
      <c r="AF265" s="124" t="n"/>
      <c r="AG265" s="124" t="n"/>
      <c r="AH265" s="124" t="n"/>
      <c r="AI265" s="124" t="n"/>
      <c r="AJ265" s="124" t="n"/>
      <c r="AK265" s="124" t="n"/>
      <c r="AL265" s="124" t="n"/>
      <c r="AM265" s="124" t="n"/>
      <c r="AN265" s="124" t="n"/>
      <c r="AO265" s="124" t="n"/>
      <c r="AP265" s="124" t="n"/>
      <c r="AQ265" s="124" t="n"/>
      <c r="AR265" s="124" t="n"/>
      <c r="AS265" s="124" t="n"/>
      <c r="AT265" s="124" t="n"/>
      <c r="AU265" s="124" t="n"/>
      <c r="AV265" s="124" t="n"/>
      <c r="AW265" s="124" t="n"/>
      <c r="AX265" s="124" t="n"/>
      <c r="AY265" s="124" t="n"/>
      <c r="AZ265" s="124" t="n"/>
      <c r="BA265" s="124" t="n"/>
      <c r="BB265" s="124" t="n"/>
      <c r="BC265" s="124" t="n"/>
      <c r="BD265" s="124" t="n"/>
      <c r="BE265" s="124" t="n"/>
      <c r="BF265" s="124" t="n"/>
      <c r="BG265" s="124" t="n"/>
      <c r="BH265" s="124" t="n"/>
      <c r="BI265" s="124" t="n"/>
      <c r="BJ265" s="124" t="n"/>
      <c r="BK265" s="124" t="n"/>
      <c r="BL265" s="124" t="n"/>
      <c r="BM265" s="124" t="n"/>
      <c r="BN265" s="124" t="n"/>
      <c r="BO265" s="124" t="n"/>
    </row>
    <row r="266" ht="15" customHeight="1" s="402">
      <c r="A266" s="16">
        <f>+'Invullen groen'!A272</f>
        <v/>
      </c>
      <c r="B266" s="21">
        <f>+'Invullen groen'!C272</f>
        <v/>
      </c>
      <c r="C266" s="20">
        <f>+'Invullen groen'!G272</f>
        <v/>
      </c>
      <c r="D266" s="14">
        <f>+'Invullen groen'!M272</f>
        <v/>
      </c>
      <c r="E266" s="15">
        <f>+'Invullen groen'!H272</f>
        <v/>
      </c>
      <c r="F266" s="15">
        <f>+'Invullen groen'!I272</f>
        <v/>
      </c>
      <c r="G266" s="15">
        <f>+'Invullen groen'!J272</f>
        <v/>
      </c>
      <c r="H266" s="15">
        <f>+'Invullen groen'!K272</f>
        <v/>
      </c>
      <c r="I266" s="133">
        <f>+'Invullen groen'!AW272</f>
        <v/>
      </c>
      <c r="J266" s="133">
        <f>+'Invullen groen'!AX272</f>
        <v/>
      </c>
      <c r="K266" s="133">
        <f>+'Invullen groen'!AY272</f>
        <v/>
      </c>
      <c r="L266" s="133">
        <f>+'Invullen groen'!AZ272</f>
        <v/>
      </c>
      <c r="M266" s="133">
        <f>+'Invullen groen'!BA272</f>
        <v/>
      </c>
      <c r="N266" s="133">
        <f>+'Invullen groen'!BB272</f>
        <v/>
      </c>
      <c r="O266" s="133">
        <f>+'Invullen groen'!BC272</f>
        <v/>
      </c>
      <c r="P266" s="133">
        <f>+'Invullen groen'!BD272</f>
        <v/>
      </c>
      <c r="Q266" s="133" t="n"/>
      <c r="R266" s="133" t="n"/>
      <c r="S266" s="133" t="n"/>
      <c r="T266" s="133" t="n"/>
      <c r="U266" s="133" t="n"/>
      <c r="V266" s="133" t="n"/>
      <c r="W266" s="133" t="n"/>
      <c r="X266" s="133" t="n"/>
      <c r="Y266" s="133" t="n"/>
      <c r="Z266" s="133" t="n"/>
      <c r="AA266" s="133" t="n"/>
      <c r="AB266" s="133" t="n"/>
      <c r="AC266" s="133" t="n"/>
      <c r="AD266" s="133" t="n"/>
      <c r="AE266" s="133" t="n"/>
      <c r="AF266" s="133" t="n"/>
      <c r="AG266" s="133" t="n"/>
      <c r="AH266" s="133" t="n"/>
      <c r="AI266" s="133" t="n"/>
      <c r="AJ266" s="133" t="n"/>
      <c r="AK266" s="133" t="n"/>
      <c r="AL266" s="133" t="n"/>
      <c r="AM266" s="133" t="n"/>
      <c r="AN266" s="133" t="n"/>
      <c r="AO266" s="133" t="n"/>
      <c r="AP266" s="133" t="n"/>
      <c r="AQ266" s="133" t="n"/>
      <c r="AR266" s="133" t="n"/>
      <c r="AS266" s="133" t="n"/>
      <c r="AT266" s="133" t="n"/>
      <c r="AU266" s="133" t="n"/>
      <c r="AV266" s="133" t="n"/>
      <c r="AW266" s="133" t="n"/>
      <c r="AX266" s="133" t="n"/>
      <c r="AY266" s="133" t="n"/>
      <c r="AZ266" s="133" t="n"/>
      <c r="BA266" s="133" t="n"/>
      <c r="BB266" s="133" t="n"/>
      <c r="BC266" s="133" t="n"/>
      <c r="BD266" s="133" t="n"/>
      <c r="BE266" s="133" t="n"/>
      <c r="BF266" s="133" t="n"/>
      <c r="BG266" s="133" t="n"/>
      <c r="BH266" s="133" t="n"/>
      <c r="BI266" s="133" t="n"/>
      <c r="BJ266" s="133" t="n"/>
      <c r="BK266" s="133" t="n"/>
      <c r="BL266" s="133" t="n"/>
      <c r="BM266" s="133" t="n"/>
      <c r="BN266" s="133" t="n"/>
      <c r="BO266" s="133" t="n"/>
    </row>
    <row r="267" ht="15" customFormat="1" customHeight="1" s="22">
      <c r="A267" s="8">
        <f>+'Invullen groen'!A273</f>
        <v/>
      </c>
      <c r="B267" s="9">
        <f>+'Invullen groen'!C273</f>
        <v/>
      </c>
      <c r="C267" s="19">
        <f>+'Invullen groen'!G273</f>
        <v/>
      </c>
      <c r="D267" s="10">
        <f>+'Invullen groen'!M273</f>
        <v/>
      </c>
      <c r="E267" s="11">
        <f>+'Invullen groen'!H273</f>
        <v/>
      </c>
      <c r="F267" s="11">
        <f>+'Invullen groen'!I273</f>
        <v/>
      </c>
      <c r="G267" s="11">
        <f>+'Invullen groen'!J273</f>
        <v/>
      </c>
      <c r="H267" s="11">
        <f>+'Invullen groen'!K273</f>
        <v/>
      </c>
      <c r="I267" s="124">
        <f>+'Invullen groen'!AW273</f>
        <v/>
      </c>
      <c r="J267" s="124">
        <f>+'Invullen groen'!AX273</f>
        <v/>
      </c>
      <c r="K267" s="124">
        <f>+'Invullen groen'!AY273</f>
        <v/>
      </c>
      <c r="L267" s="124">
        <f>+'Invullen groen'!AZ273</f>
        <v/>
      </c>
      <c r="M267" s="124">
        <f>+'Invullen groen'!BA273</f>
        <v/>
      </c>
      <c r="N267" s="124">
        <f>+'Invullen groen'!BB273</f>
        <v/>
      </c>
      <c r="O267" s="124">
        <f>+'Invullen groen'!BC273</f>
        <v/>
      </c>
      <c r="P267" s="124">
        <f>+'Invullen groen'!BD273</f>
        <v/>
      </c>
      <c r="Q267" s="124" t="n"/>
      <c r="R267" s="124" t="n"/>
      <c r="S267" s="124" t="n"/>
      <c r="T267" s="124" t="n"/>
      <c r="U267" s="124" t="n"/>
      <c r="V267" s="124" t="n"/>
      <c r="W267" s="124" t="n"/>
      <c r="X267" s="124" t="n"/>
      <c r="Y267" s="124" t="n"/>
      <c r="Z267" s="124" t="n"/>
      <c r="AA267" s="124" t="n"/>
      <c r="AB267" s="124" t="n"/>
      <c r="AC267" s="124" t="n"/>
      <c r="AD267" s="124" t="n"/>
      <c r="AE267" s="124" t="n"/>
      <c r="AF267" s="124" t="n"/>
      <c r="AG267" s="124" t="n"/>
      <c r="AH267" s="124" t="n"/>
      <c r="AI267" s="124" t="n"/>
      <c r="AJ267" s="124" t="n"/>
      <c r="AK267" s="124" t="n"/>
      <c r="AL267" s="124" t="n"/>
      <c r="AM267" s="124" t="n"/>
      <c r="AN267" s="124" t="n"/>
      <c r="AO267" s="124" t="n"/>
      <c r="AP267" s="124" t="n"/>
      <c r="AQ267" s="124" t="n"/>
      <c r="AR267" s="124" t="n"/>
      <c r="AS267" s="124" t="n"/>
      <c r="AT267" s="124" t="n"/>
      <c r="AU267" s="124" t="n"/>
      <c r="AV267" s="124" t="n"/>
      <c r="AW267" s="124" t="n"/>
      <c r="AX267" s="124" t="n"/>
      <c r="AY267" s="124" t="n"/>
      <c r="AZ267" s="124" t="n"/>
      <c r="BA267" s="124" t="n"/>
      <c r="BB267" s="124" t="n"/>
      <c r="BC267" s="124" t="n"/>
      <c r="BD267" s="124" t="n"/>
      <c r="BE267" s="124" t="n"/>
      <c r="BF267" s="124" t="n"/>
      <c r="BG267" s="124" t="n"/>
      <c r="BH267" s="124" t="n"/>
      <c r="BI267" s="124" t="n"/>
      <c r="BJ267" s="124" t="n"/>
      <c r="BK267" s="124" t="n"/>
      <c r="BL267" s="124" t="n"/>
      <c r="BM267" s="124" t="n"/>
      <c r="BN267" s="124" t="n"/>
      <c r="BO267" s="124" t="n"/>
    </row>
    <row r="268" ht="15" customHeight="1" s="402">
      <c r="A268" s="8">
        <f>+'Invullen groen'!A274</f>
        <v/>
      </c>
      <c r="B268" s="9">
        <f>+'Invullen groen'!C274</f>
        <v/>
      </c>
      <c r="C268" s="19">
        <f>+'Invullen groen'!G274</f>
        <v/>
      </c>
      <c r="D268" s="10">
        <f>+'Invullen groen'!M274</f>
        <v/>
      </c>
      <c r="E268" s="11">
        <f>+'Invullen groen'!H274</f>
        <v/>
      </c>
      <c r="F268" s="11">
        <f>+'Invullen groen'!I274</f>
        <v/>
      </c>
      <c r="G268" s="11">
        <f>+'Invullen groen'!J274</f>
        <v/>
      </c>
      <c r="H268" s="11">
        <f>+'Invullen groen'!K274</f>
        <v/>
      </c>
      <c r="I268" s="124">
        <f>+'Invullen groen'!AW274</f>
        <v/>
      </c>
      <c r="J268" s="124">
        <f>+'Invullen groen'!AX274</f>
        <v/>
      </c>
      <c r="K268" s="124">
        <f>+'Invullen groen'!AY274</f>
        <v/>
      </c>
      <c r="L268" s="124">
        <f>+'Invullen groen'!AZ274</f>
        <v/>
      </c>
      <c r="M268" s="124">
        <f>+'Invullen groen'!BA274</f>
        <v/>
      </c>
      <c r="N268" s="124">
        <f>+'Invullen groen'!BB274</f>
        <v/>
      </c>
      <c r="O268" s="124">
        <f>+'Invullen groen'!BC274</f>
        <v/>
      </c>
      <c r="P268" s="124">
        <f>+'Invullen groen'!BD274</f>
        <v/>
      </c>
      <c r="Q268" s="124" t="n"/>
      <c r="R268" s="124" t="n"/>
      <c r="S268" s="124" t="n"/>
      <c r="T268" s="124" t="n"/>
      <c r="U268" s="124" t="n"/>
      <c r="V268" s="124" t="n"/>
      <c r="W268" s="124" t="n"/>
      <c r="X268" s="124" t="n"/>
      <c r="Y268" s="124" t="n"/>
      <c r="Z268" s="124" t="n"/>
      <c r="AA268" s="124" t="n"/>
      <c r="AB268" s="124" t="n"/>
      <c r="AC268" s="124" t="n"/>
      <c r="AD268" s="124" t="n"/>
      <c r="AE268" s="124" t="n"/>
      <c r="AF268" s="124" t="n"/>
      <c r="AG268" s="124" t="n"/>
      <c r="AH268" s="124" t="n"/>
      <c r="AI268" s="124" t="n"/>
      <c r="AJ268" s="124" t="n"/>
      <c r="AK268" s="124" t="n"/>
      <c r="AL268" s="124" t="n"/>
      <c r="AM268" s="124" t="n"/>
      <c r="AN268" s="124" t="n"/>
      <c r="AO268" s="124" t="n"/>
      <c r="AP268" s="124" t="n"/>
      <c r="AQ268" s="124" t="n"/>
      <c r="AR268" s="124" t="n"/>
      <c r="AS268" s="124" t="n"/>
      <c r="AT268" s="124" t="n"/>
      <c r="AU268" s="124" t="n"/>
      <c r="AV268" s="124" t="n"/>
      <c r="AW268" s="124" t="n"/>
      <c r="AX268" s="124" t="n"/>
      <c r="AY268" s="124" t="n"/>
      <c r="AZ268" s="124" t="n"/>
      <c r="BA268" s="124" t="n"/>
      <c r="BB268" s="124" t="n"/>
      <c r="BC268" s="124" t="n"/>
      <c r="BD268" s="124" t="n"/>
      <c r="BE268" s="124" t="n"/>
      <c r="BF268" s="124" t="n"/>
      <c r="BG268" s="124" t="n"/>
      <c r="BH268" s="124" t="n"/>
      <c r="BI268" s="124" t="n"/>
      <c r="BJ268" s="124" t="n"/>
      <c r="BK268" s="124" t="n"/>
      <c r="BL268" s="124" t="n"/>
      <c r="BM268" s="124" t="n"/>
      <c r="BN268" s="124" t="n"/>
      <c r="BO268" s="124" t="n"/>
    </row>
    <row r="269" ht="15" customHeight="1" s="402">
      <c r="A269" s="144">
        <f>+'Invullen groen'!A279</f>
        <v/>
      </c>
      <c r="B269" s="145">
        <f>+'Invullen groen'!C279</f>
        <v/>
      </c>
      <c r="C269" s="142">
        <f>+'Invullen groen'!G279</f>
        <v/>
      </c>
      <c r="D269" s="144">
        <f>+'Invullen groen'!M279</f>
        <v/>
      </c>
      <c r="E269" s="143">
        <f>+'Invullen groen'!H279</f>
        <v/>
      </c>
      <c r="F269" s="143">
        <f>+'Invullen groen'!I279</f>
        <v/>
      </c>
      <c r="G269" s="143">
        <f>+'Invullen groen'!J279</f>
        <v/>
      </c>
      <c r="H269" s="143">
        <f>+'Invullen groen'!K279</f>
        <v/>
      </c>
      <c r="I269" s="124">
        <f>+'Invullen groen'!AW279</f>
        <v/>
      </c>
      <c r="J269" s="124">
        <f>+'Invullen groen'!AX279</f>
        <v/>
      </c>
      <c r="K269" s="124">
        <f>+'Invullen groen'!AY279</f>
        <v/>
      </c>
      <c r="L269" s="124">
        <f>+'Invullen groen'!AZ279</f>
        <v/>
      </c>
      <c r="M269" s="124">
        <f>+'Invullen groen'!BA279</f>
        <v/>
      </c>
      <c r="N269" s="124">
        <f>+'Invullen groen'!BB279</f>
        <v/>
      </c>
      <c r="O269" s="124">
        <f>+'Invullen groen'!BC279</f>
        <v/>
      </c>
      <c r="P269" s="124">
        <f>+'Invullen groen'!BD279</f>
        <v/>
      </c>
      <c r="Q269" s="124" t="n"/>
      <c r="R269" s="124" t="n"/>
      <c r="S269" s="124" t="n"/>
      <c r="T269" s="124" t="n"/>
      <c r="U269" s="124" t="n"/>
      <c r="V269" s="124" t="n"/>
      <c r="W269" s="124" t="n"/>
      <c r="X269" s="124" t="n"/>
      <c r="Y269" s="124" t="n"/>
      <c r="Z269" s="124" t="n"/>
      <c r="AA269" s="124" t="n"/>
      <c r="AB269" s="124" t="n"/>
      <c r="AC269" s="124" t="n"/>
      <c r="AD269" s="124" t="n"/>
      <c r="AE269" s="124" t="n"/>
      <c r="AF269" s="124" t="n"/>
      <c r="AG269" s="124" t="n"/>
      <c r="AH269" s="124" t="n"/>
      <c r="AI269" s="124" t="n"/>
      <c r="AJ269" s="124" t="n"/>
      <c r="AK269" s="124" t="n"/>
      <c r="AL269" s="124" t="n"/>
      <c r="AM269" s="124" t="n"/>
      <c r="AN269" s="124" t="n"/>
      <c r="AO269" s="124" t="n"/>
      <c r="AP269" s="124" t="n"/>
      <c r="AQ269" s="124" t="n"/>
      <c r="AR269" s="124" t="n"/>
      <c r="AS269" s="124" t="n"/>
      <c r="AT269" s="124" t="n"/>
      <c r="AU269" s="124" t="n"/>
      <c r="AV269" s="124" t="n"/>
      <c r="AW269" s="124" t="n"/>
      <c r="AX269" s="124" t="n"/>
      <c r="AY269" s="124" t="n"/>
      <c r="AZ269" s="124" t="n"/>
      <c r="BA269" s="124" t="n"/>
      <c r="BB269" s="124" t="n"/>
      <c r="BC269" s="124" t="n"/>
      <c r="BD269" s="124" t="n"/>
      <c r="BE269" s="124" t="n"/>
      <c r="BF269" s="124" t="n"/>
      <c r="BG269" s="124" t="n"/>
      <c r="BH269" s="124" t="n"/>
      <c r="BI269" s="124" t="n"/>
      <c r="BJ269" s="124" t="n"/>
      <c r="BK269" s="124" t="n"/>
      <c r="BL269" s="124" t="n"/>
      <c r="BM269" s="124" t="n"/>
      <c r="BN269" s="124" t="n"/>
      <c r="BO269" s="124" t="n"/>
    </row>
    <row r="270">
      <c r="A270" s="30" t="inlineStr">
        <is>
          <t>Aldus vastgesteld in de raadsvergadering van:</t>
        </is>
      </c>
      <c r="B270" s="25" t="n"/>
      <c r="C270" s="34" t="inlineStr">
        <is>
          <t>x-xx-2026</t>
        </is>
      </c>
      <c r="D270" s="113" t="n"/>
      <c r="E270" s="114" t="n"/>
      <c r="F270" s="114" t="n"/>
      <c r="G270" s="114" t="n"/>
      <c r="H270" s="114" t="n"/>
      <c r="I270" s="124" t="n"/>
      <c r="J270" s="124">
        <f>+'Invullen groen'!AX280</f>
        <v/>
      </c>
      <c r="K270" s="124">
        <f>+'Invullen groen'!AY280</f>
        <v/>
      </c>
      <c r="L270" s="124">
        <f>+'Invullen groen'!AZ280</f>
        <v/>
      </c>
      <c r="M270" s="124">
        <f>+'Invullen groen'!BA280</f>
        <v/>
      </c>
      <c r="N270" s="124">
        <f>+'Invullen groen'!BB280</f>
        <v/>
      </c>
      <c r="O270" s="124">
        <f>+'Invullen groen'!BC280</f>
        <v/>
      </c>
      <c r="P270" s="124">
        <f>+'Invullen groen'!BD280</f>
        <v/>
      </c>
      <c r="Q270" s="124" t="n"/>
      <c r="R270" s="124" t="n"/>
      <c r="S270" s="124" t="n"/>
      <c r="T270" s="124" t="n"/>
      <c r="U270" s="124" t="n"/>
      <c r="V270" s="124" t="n"/>
      <c r="W270" s="124" t="n"/>
      <c r="X270" s="124" t="n"/>
      <c r="Y270" s="124" t="n"/>
      <c r="Z270" s="124" t="n"/>
      <c r="AA270" s="124" t="n"/>
      <c r="AB270" s="124" t="n"/>
      <c r="AC270" s="124" t="n"/>
      <c r="AD270" s="124" t="n"/>
      <c r="AE270" s="124" t="n"/>
      <c r="AF270" s="124" t="n"/>
      <c r="AG270" s="124" t="n"/>
      <c r="AH270" s="124" t="n"/>
      <c r="AI270" s="124" t="n"/>
      <c r="AJ270" s="124" t="n"/>
      <c r="AK270" s="124" t="n"/>
      <c r="AL270" s="124" t="n"/>
      <c r="AM270" s="124" t="n"/>
      <c r="AN270" s="124" t="n"/>
      <c r="AO270" s="124" t="n"/>
      <c r="AP270" s="124" t="n"/>
      <c r="AQ270" s="124" t="n"/>
      <c r="AR270" s="124" t="n"/>
      <c r="AS270" s="124" t="n"/>
      <c r="AT270" s="124" t="n"/>
      <c r="AU270" s="124" t="n"/>
      <c r="AV270" s="124" t="n"/>
      <c r="AW270" s="124" t="n"/>
      <c r="AX270" s="124" t="n"/>
      <c r="AY270" s="124" t="n"/>
      <c r="AZ270" s="124" t="n"/>
      <c r="BA270" s="124" t="n"/>
      <c r="BB270" s="124" t="n"/>
      <c r="BC270" s="124" t="n"/>
      <c r="BD270" s="124" t="n"/>
      <c r="BE270" s="124" t="n"/>
      <c r="BF270" s="124" t="n"/>
      <c r="BG270" s="124" t="n"/>
      <c r="BH270" s="124" t="n"/>
      <c r="BI270" s="124" t="n"/>
      <c r="BJ270" s="124" t="n"/>
      <c r="BK270" s="124" t="n"/>
      <c r="BL270" s="124" t="n"/>
      <c r="BM270" s="124" t="n"/>
      <c r="BN270" s="124" t="n"/>
      <c r="BO270" s="124" t="n"/>
    </row>
    <row r="271">
      <c r="A271" s="31" t="n"/>
      <c r="B271" s="153" t="n"/>
      <c r="C271" s="26" t="n"/>
      <c r="D271" s="113" t="n"/>
      <c r="E271" s="114" t="n"/>
      <c r="F271" s="114" t="n"/>
      <c r="G271" s="114" t="n"/>
      <c r="H271" s="114" t="n"/>
      <c r="I271" s="124" t="n"/>
      <c r="J271" s="124">
        <f>+'Invullen groen'!AX281</f>
        <v/>
      </c>
      <c r="K271" s="124">
        <f>+'Invullen groen'!AY281</f>
        <v/>
      </c>
      <c r="L271" s="124">
        <f>+'Invullen groen'!AZ281</f>
        <v/>
      </c>
      <c r="M271" s="124">
        <f>+'Invullen groen'!BA281</f>
        <v/>
      </c>
      <c r="N271" s="124">
        <f>+'Invullen groen'!BB281</f>
        <v/>
      </c>
      <c r="O271" s="124">
        <f>+'Invullen groen'!BC281</f>
        <v/>
      </c>
      <c r="P271" s="124">
        <f>+'Invullen groen'!BD281</f>
        <v/>
      </c>
      <c r="Q271" s="124" t="n"/>
      <c r="R271" s="124" t="n"/>
      <c r="S271" s="124" t="n"/>
      <c r="T271" s="124" t="n"/>
      <c r="U271" s="124" t="n"/>
      <c r="V271" s="124" t="n"/>
      <c r="W271" s="124" t="n"/>
      <c r="X271" s="124" t="n"/>
      <c r="Y271" s="124" t="n"/>
      <c r="Z271" s="124" t="n"/>
      <c r="AA271" s="124" t="n"/>
      <c r="AB271" s="124" t="n"/>
      <c r="AC271" s="124" t="n"/>
      <c r="AD271" s="124" t="n"/>
      <c r="AE271" s="124" t="n"/>
      <c r="AF271" s="124" t="n"/>
      <c r="AG271" s="124" t="n"/>
      <c r="AH271" s="124" t="n"/>
      <c r="AI271" s="124" t="n"/>
      <c r="AJ271" s="124" t="n"/>
      <c r="AK271" s="124" t="n"/>
      <c r="AL271" s="124" t="n"/>
      <c r="AM271" s="124" t="n"/>
      <c r="AN271" s="124" t="n"/>
      <c r="AO271" s="124" t="n"/>
      <c r="AP271" s="124" t="n"/>
      <c r="AQ271" s="124" t="n"/>
      <c r="AR271" s="124" t="n"/>
      <c r="AS271" s="124" t="n"/>
      <c r="AT271" s="124" t="n"/>
      <c r="AU271" s="124" t="n"/>
      <c r="AV271" s="124" t="n"/>
      <c r="AW271" s="124" t="n"/>
      <c r="AX271" s="124" t="n"/>
      <c r="AY271" s="124" t="n"/>
      <c r="AZ271" s="124" t="n"/>
      <c r="BA271" s="124" t="n"/>
      <c r="BB271" s="124" t="n"/>
      <c r="BC271" s="124" t="n"/>
      <c r="BD271" s="124" t="n"/>
      <c r="BE271" s="124" t="n"/>
      <c r="BF271" s="124" t="n"/>
      <c r="BG271" s="124" t="n"/>
      <c r="BH271" s="124" t="n"/>
      <c r="BI271" s="124" t="n"/>
      <c r="BJ271" s="124" t="n"/>
      <c r="BK271" s="124" t="n"/>
      <c r="BL271" s="124" t="n"/>
      <c r="BM271" s="124" t="n"/>
      <c r="BN271" s="124" t="n"/>
      <c r="BO271" s="124" t="n"/>
    </row>
    <row r="272">
      <c r="A272" s="31" t="inlineStr">
        <is>
          <t>De Gemeenteraad,</t>
        </is>
      </c>
      <c r="B272" s="153" t="n"/>
      <c r="C272" s="26" t="n"/>
      <c r="D272" s="113" t="n"/>
      <c r="E272" s="114" t="n"/>
      <c r="F272" s="114" t="n"/>
      <c r="G272" s="114" t="n"/>
      <c r="H272" s="114" t="n"/>
      <c r="I272" s="124" t="n"/>
      <c r="J272" s="124">
        <f>+'Invullen groen'!AX282</f>
        <v/>
      </c>
      <c r="K272" s="124">
        <f>+'Invullen groen'!AY282</f>
        <v/>
      </c>
      <c r="L272" s="124">
        <f>+'Invullen groen'!AZ282</f>
        <v/>
      </c>
      <c r="M272" s="124">
        <f>+'Invullen groen'!BA282</f>
        <v/>
      </c>
      <c r="N272" s="124">
        <f>+'Invullen groen'!BB282</f>
        <v/>
      </c>
      <c r="O272" s="124">
        <f>+'Invullen groen'!BC282</f>
        <v/>
      </c>
      <c r="P272" s="124">
        <f>+'Invullen groen'!BD282</f>
        <v/>
      </c>
    </row>
    <row r="273">
      <c r="A273" s="31" t="n"/>
      <c r="B273" s="153" t="n"/>
      <c r="C273" s="26" t="n"/>
      <c r="D273" s="113" t="n"/>
      <c r="E273" s="114" t="n"/>
      <c r="F273" s="114" t="n"/>
      <c r="G273" s="114" t="n"/>
      <c r="H273" s="114" t="n"/>
      <c r="I273" s="124" t="n"/>
      <c r="J273" s="124">
        <f>+'Invullen groen'!AX283</f>
        <v/>
      </c>
      <c r="K273" s="124">
        <f>+'Invullen groen'!AY283</f>
        <v/>
      </c>
      <c r="L273" s="124">
        <f>+'Invullen groen'!AZ283</f>
        <v/>
      </c>
      <c r="M273" s="124">
        <f>+'Invullen groen'!BA283</f>
        <v/>
      </c>
      <c r="N273" s="124">
        <f>+'Invullen groen'!BB283</f>
        <v/>
      </c>
      <c r="O273" s="124">
        <f>+'Invullen groen'!BC283</f>
        <v/>
      </c>
      <c r="P273" s="124">
        <f>+'Invullen groen'!BD283</f>
        <v/>
      </c>
    </row>
    <row r="274">
      <c r="A274" s="31" t="inlineStr">
        <is>
          <t>De Griffier,</t>
        </is>
      </c>
      <c r="B274" s="153" t="n"/>
      <c r="C274" s="33" t="inlineStr">
        <is>
          <t>De voorzitter,</t>
        </is>
      </c>
      <c r="D274" s="113" t="n"/>
      <c r="E274" s="114" t="n"/>
      <c r="F274" s="114" t="n"/>
      <c r="G274" s="114" t="n"/>
      <c r="H274" s="114" t="n"/>
      <c r="I274" s="124" t="n"/>
      <c r="J274" s="124">
        <f>+'Invullen groen'!AX284</f>
        <v/>
      </c>
      <c r="K274" s="124">
        <f>+'Invullen groen'!AY284</f>
        <v/>
      </c>
      <c r="L274" s="124">
        <f>+'Invullen groen'!AZ284</f>
        <v/>
      </c>
      <c r="M274" s="124">
        <f>+'Invullen groen'!BA284</f>
        <v/>
      </c>
      <c r="N274" s="124">
        <f>+'Invullen groen'!BB284</f>
        <v/>
      </c>
      <c r="O274" s="124">
        <f>+'Invullen groen'!BC284</f>
        <v/>
      </c>
      <c r="P274" s="124">
        <f>+'Invullen groen'!BD284</f>
        <v/>
      </c>
    </row>
    <row r="275">
      <c r="A275" s="31" t="n"/>
      <c r="B275" s="153" t="n"/>
      <c r="C275" s="26" t="n"/>
      <c r="D275" s="113" t="n"/>
      <c r="E275" s="114" t="n"/>
      <c r="F275" s="114" t="n"/>
      <c r="G275" s="114" t="n"/>
      <c r="H275" s="114" t="n"/>
      <c r="I275" s="124" t="n"/>
      <c r="J275" s="124">
        <f>+'Invullen groen'!AX285</f>
        <v/>
      </c>
      <c r="K275" s="124">
        <f>+'Invullen groen'!AY285</f>
        <v/>
      </c>
      <c r="L275" s="124">
        <f>+'Invullen groen'!AZ285</f>
        <v/>
      </c>
      <c r="M275" s="124">
        <f>+'Invullen groen'!BA285</f>
        <v/>
      </c>
      <c r="N275" s="124">
        <f>+'Invullen groen'!BB285</f>
        <v/>
      </c>
      <c r="O275" s="124">
        <f>+'Invullen groen'!BC285</f>
        <v/>
      </c>
      <c r="P275" s="124">
        <f>+'Invullen groen'!BD285</f>
        <v/>
      </c>
    </row>
    <row r="276">
      <c r="A276" s="31" t="n"/>
      <c r="B276" s="153" t="n"/>
      <c r="C276" s="26" t="n"/>
      <c r="D276" s="113" t="n"/>
      <c r="E276" s="114" t="n"/>
      <c r="F276" s="114" t="n"/>
      <c r="G276" s="114" t="n"/>
      <c r="H276" s="114" t="n"/>
      <c r="I276" s="124" t="n"/>
      <c r="J276" s="124">
        <f>+'Invullen groen'!AX286</f>
        <v/>
      </c>
      <c r="K276" s="124">
        <f>+'Invullen groen'!AY286</f>
        <v/>
      </c>
      <c r="L276" s="124">
        <f>+'Invullen groen'!AZ286</f>
        <v/>
      </c>
      <c r="M276" s="124">
        <f>+'Invullen groen'!BA286</f>
        <v/>
      </c>
      <c r="N276" s="124">
        <f>+'Invullen groen'!BB286</f>
        <v/>
      </c>
      <c r="O276" s="124">
        <f>+'Invullen groen'!BC286</f>
        <v/>
      </c>
      <c r="P276" s="124">
        <f>+'Invullen groen'!BD286</f>
        <v/>
      </c>
    </row>
    <row r="277">
      <c r="A277" s="31" t="n"/>
      <c r="B277" s="153" t="n"/>
      <c r="C277" s="26" t="n"/>
      <c r="D277" s="113" t="n"/>
      <c r="E277" s="114" t="n"/>
      <c r="F277" s="114" t="n"/>
      <c r="G277" s="114" t="n"/>
      <c r="H277" s="114" t="n"/>
      <c r="I277" s="124" t="n"/>
      <c r="J277" s="124">
        <f>+'Invullen groen'!AX287</f>
        <v/>
      </c>
      <c r="K277" s="124">
        <f>+'Invullen groen'!AY287</f>
        <v/>
      </c>
      <c r="L277" s="124">
        <f>+'Invullen groen'!AZ287</f>
        <v/>
      </c>
      <c r="M277" s="124">
        <f>+'Invullen groen'!BA287</f>
        <v/>
      </c>
      <c r="N277" s="124">
        <f>+'Invullen groen'!BB287</f>
        <v/>
      </c>
      <c r="O277" s="124">
        <f>+'Invullen groen'!BC287</f>
        <v/>
      </c>
      <c r="P277" s="124">
        <f>+'Invullen groen'!BD287</f>
        <v/>
      </c>
    </row>
    <row r="278">
      <c r="A278" s="31" t="n"/>
      <c r="B278" s="153" t="n"/>
      <c r="C278" s="26" t="n"/>
      <c r="D278" s="113" t="n"/>
      <c r="E278" s="114" t="n"/>
      <c r="F278" s="114" t="n"/>
      <c r="G278" s="114" t="n"/>
      <c r="H278" s="114" t="n"/>
      <c r="I278" s="124" t="n"/>
      <c r="J278" s="124">
        <f>+'Invullen groen'!AX288</f>
        <v/>
      </c>
      <c r="K278" s="124">
        <f>+'Invullen groen'!AY288</f>
        <v/>
      </c>
      <c r="L278" s="124">
        <f>+'Invullen groen'!AZ288</f>
        <v/>
      </c>
      <c r="M278" s="124">
        <f>+'Invullen groen'!BA288</f>
        <v/>
      </c>
      <c r="N278" s="124">
        <f>+'Invullen groen'!BB288</f>
        <v/>
      </c>
      <c r="O278" s="124">
        <f>+'Invullen groen'!BC288</f>
        <v/>
      </c>
      <c r="P278" s="124">
        <f>+'Invullen groen'!BD288</f>
        <v/>
      </c>
    </row>
    <row r="279">
      <c r="A279" s="31" t="n"/>
      <c r="B279" s="153" t="n"/>
      <c r="C279" s="26" t="n"/>
      <c r="D279" s="113" t="n"/>
      <c r="E279" s="114" t="n"/>
      <c r="F279" s="114" t="n"/>
      <c r="G279" s="114" t="n"/>
      <c r="H279" s="114" t="n"/>
      <c r="I279" s="124" t="n"/>
      <c r="J279" s="124">
        <f>+'Invullen groen'!AX289</f>
        <v/>
      </c>
      <c r="K279" s="124">
        <f>+'Invullen groen'!AY289</f>
        <v/>
      </c>
      <c r="L279" s="124">
        <f>+'Invullen groen'!AZ289</f>
        <v/>
      </c>
      <c r="M279" s="124">
        <f>+'Invullen groen'!BA289</f>
        <v/>
      </c>
      <c r="N279" s="124">
        <f>+'Invullen groen'!BB289</f>
        <v/>
      </c>
      <c r="O279" s="124">
        <f>+'Invullen groen'!BC289</f>
        <v/>
      </c>
      <c r="P279" s="124">
        <f>+'Invullen groen'!BD289</f>
        <v/>
      </c>
    </row>
    <row r="280">
      <c r="A280" s="31" t="inlineStr">
        <is>
          <t>R. Swinkels- van de Laar</t>
        </is>
      </c>
      <c r="B280" s="153" t="n"/>
      <c r="C280" s="26" t="inlineStr">
        <is>
          <t>R. Donders- de Leest</t>
        </is>
      </c>
      <c r="D280" s="113" t="n"/>
      <c r="E280" s="114" t="n"/>
      <c r="F280" s="114" t="n"/>
      <c r="G280" s="114" t="n"/>
      <c r="H280" s="114" t="n"/>
      <c r="I280" s="124" t="n"/>
      <c r="J280" s="124">
        <f>+'Invullen groen'!AX290</f>
        <v/>
      </c>
      <c r="K280" s="124">
        <f>+'Invullen groen'!AY290</f>
        <v/>
      </c>
      <c r="L280" s="124">
        <f>+'Invullen groen'!AZ290</f>
        <v/>
      </c>
      <c r="M280" s="124">
        <f>+'Invullen groen'!BA290</f>
        <v/>
      </c>
      <c r="N280" s="124">
        <f>+'Invullen groen'!BB290</f>
        <v/>
      </c>
      <c r="O280" s="124">
        <f>+'Invullen groen'!BC290</f>
        <v/>
      </c>
      <c r="P280" s="124">
        <f>+'Invullen groen'!BD290</f>
        <v/>
      </c>
    </row>
    <row r="281">
      <c r="A281" s="31" t="n"/>
      <c r="B281" s="153" t="n"/>
      <c r="C281" s="26" t="n"/>
      <c r="D281" s="113" t="n"/>
      <c r="E281" s="114" t="n"/>
      <c r="F281" s="114" t="n"/>
      <c r="G281" s="114" t="n"/>
      <c r="H281" s="114" t="n"/>
      <c r="I281" s="124" t="n"/>
      <c r="J281" s="124">
        <f>+'Invullen groen'!AX291</f>
        <v/>
      </c>
      <c r="K281" s="124">
        <f>+'Invullen groen'!AY291</f>
        <v/>
      </c>
      <c r="L281" s="124">
        <f>+'Invullen groen'!AZ291</f>
        <v/>
      </c>
      <c r="M281" s="124">
        <f>+'Invullen groen'!BA291</f>
        <v/>
      </c>
      <c r="N281" s="124">
        <f>+'Invullen groen'!BB291</f>
        <v/>
      </c>
      <c r="O281" s="124">
        <f>+'Invullen groen'!BC291</f>
        <v/>
      </c>
      <c r="P281" s="124">
        <f>+'Invullen groen'!BD291</f>
        <v/>
      </c>
    </row>
    <row r="282">
      <c r="A282" s="31" t="n"/>
      <c r="B282" s="153" t="n"/>
      <c r="C282" s="26" t="n"/>
      <c r="D282" s="113" t="n"/>
      <c r="E282" s="114" t="n"/>
      <c r="F282" s="114" t="n"/>
      <c r="G282" s="114" t="n"/>
      <c r="H282" s="114" t="n"/>
      <c r="I282" s="124" t="n"/>
      <c r="J282" s="124">
        <f>+'Invullen groen'!AX292</f>
        <v/>
      </c>
      <c r="K282" s="124">
        <f>+'Invullen groen'!AY292</f>
        <v/>
      </c>
      <c r="L282" s="124">
        <f>+'Invullen groen'!AZ292</f>
        <v/>
      </c>
      <c r="M282" s="124">
        <f>+'Invullen groen'!BA292</f>
        <v/>
      </c>
      <c r="N282" s="124">
        <f>+'Invullen groen'!BB292</f>
        <v/>
      </c>
      <c r="O282" s="124">
        <f>+'Invullen groen'!BC292</f>
        <v/>
      </c>
      <c r="P282" s="124">
        <f>+'Invullen groen'!BD292</f>
        <v/>
      </c>
    </row>
    <row r="283">
      <c r="A283" s="31" t="n"/>
      <c r="B283" s="153" t="n"/>
      <c r="C283" s="26" t="n"/>
      <c r="D283" s="113" t="n"/>
      <c r="E283" s="114" t="n"/>
      <c r="F283" s="114" t="n"/>
      <c r="G283" s="114" t="n"/>
      <c r="H283" s="114" t="n"/>
      <c r="I283" s="124" t="n"/>
      <c r="J283" s="124">
        <f>+'Invullen groen'!AX293</f>
        <v/>
      </c>
      <c r="K283" s="124">
        <f>+'Invullen groen'!AY293</f>
        <v/>
      </c>
      <c r="L283" s="124">
        <f>+'Invullen groen'!AZ293</f>
        <v/>
      </c>
      <c r="M283" s="124">
        <f>+'Invullen groen'!BA293</f>
        <v/>
      </c>
      <c r="N283" s="124">
        <f>+'Invullen groen'!BB293</f>
        <v/>
      </c>
      <c r="O283" s="124">
        <f>+'Invullen groen'!BC293</f>
        <v/>
      </c>
      <c r="P283" s="124">
        <f>+'Invullen groen'!BD293</f>
        <v/>
      </c>
    </row>
    <row r="284">
      <c r="A284" s="32" t="n"/>
      <c r="B284" s="27" t="n"/>
      <c r="C284" s="28" t="n"/>
      <c r="D284" s="113" t="n"/>
      <c r="E284" s="114" t="n"/>
      <c r="F284" s="114" t="n"/>
      <c r="G284" s="114" t="n"/>
      <c r="H284" s="114" t="n"/>
      <c r="I284" s="124" t="n"/>
      <c r="J284" s="124">
        <f>+'Invullen groen'!AX294</f>
        <v/>
      </c>
      <c r="K284" s="124">
        <f>+'Invullen groen'!AY294</f>
        <v/>
      </c>
      <c r="L284" s="124">
        <f>+'Invullen groen'!AZ294</f>
        <v/>
      </c>
      <c r="M284" s="124">
        <f>+'Invullen groen'!BA294</f>
        <v/>
      </c>
      <c r="N284" s="124">
        <f>+'Invullen groen'!BB294</f>
        <v/>
      </c>
      <c r="O284" s="124">
        <f>+'Invullen groen'!BC294</f>
        <v/>
      </c>
      <c r="P284" s="124">
        <f>+'Invullen groen'!BD294</f>
        <v/>
      </c>
    </row>
    <row r="285">
      <c r="A285" s="113" t="n"/>
      <c r="B285" s="124" t="n"/>
      <c r="C285" s="124" t="n"/>
      <c r="D285" s="113" t="n"/>
      <c r="E285" s="114" t="n"/>
      <c r="F285" s="114" t="n"/>
      <c r="G285" s="114" t="n"/>
      <c r="H285" s="114" t="n"/>
      <c r="I285" s="124" t="n"/>
      <c r="J285" s="124">
        <f>+'Invullen groen'!AX295</f>
        <v/>
      </c>
      <c r="K285" s="124">
        <f>+'Invullen groen'!AY295</f>
        <v/>
      </c>
      <c r="L285" s="124">
        <f>+'Invullen groen'!AZ295</f>
        <v/>
      </c>
      <c r="M285" s="124">
        <f>+'Invullen groen'!BA295</f>
        <v/>
      </c>
      <c r="N285" s="124">
        <f>+'Invullen groen'!BB295</f>
        <v/>
      </c>
      <c r="O285" s="124">
        <f>+'Invullen groen'!BC295</f>
        <v/>
      </c>
      <c r="P285" s="124">
        <f>+'Invullen groen'!BD295</f>
        <v/>
      </c>
    </row>
    <row r="286">
      <c r="A286" s="113" t="n"/>
      <c r="B286" s="124" t="n"/>
      <c r="C286" s="124" t="n"/>
      <c r="D286" s="113" t="n"/>
      <c r="E286" s="114" t="n"/>
      <c r="F286" s="114" t="n"/>
      <c r="G286" s="114" t="n"/>
      <c r="H286" s="114" t="n"/>
      <c r="I286" s="124" t="n"/>
      <c r="J286" s="124">
        <f>+'Invullen groen'!AX296</f>
        <v/>
      </c>
      <c r="K286" s="124">
        <f>+'Invullen groen'!AY296</f>
        <v/>
      </c>
      <c r="L286" s="124">
        <f>+'Invullen groen'!AZ296</f>
        <v/>
      </c>
      <c r="M286" s="124">
        <f>+'Invullen groen'!BA296</f>
        <v/>
      </c>
      <c r="N286" s="124">
        <f>+'Invullen groen'!BB296</f>
        <v/>
      </c>
      <c r="O286" s="124">
        <f>+'Invullen groen'!BC296</f>
        <v/>
      </c>
      <c r="P286" s="124">
        <f>+'Invullen groen'!BD296</f>
        <v/>
      </c>
    </row>
    <row r="287">
      <c r="A287" s="113" t="n"/>
      <c r="B287" s="124" t="n"/>
      <c r="C287" s="124" t="n"/>
      <c r="D287" s="113" t="n"/>
      <c r="E287" s="114" t="n"/>
      <c r="F287" s="114" t="n"/>
      <c r="G287" s="114" t="n"/>
      <c r="H287" s="114" t="n"/>
      <c r="I287" s="124" t="n"/>
      <c r="J287" s="124">
        <f>+'Invullen groen'!AX297</f>
        <v/>
      </c>
      <c r="K287" s="124">
        <f>+'Invullen groen'!AY297</f>
        <v/>
      </c>
      <c r="L287" s="124">
        <f>+'Invullen groen'!AZ297</f>
        <v/>
      </c>
      <c r="M287" s="124">
        <f>+'Invullen groen'!BA297</f>
        <v/>
      </c>
      <c r="N287" s="124">
        <f>+'Invullen groen'!BB297</f>
        <v/>
      </c>
      <c r="O287" s="124">
        <f>+'Invullen groen'!BC297</f>
        <v/>
      </c>
      <c r="P287" s="124">
        <f>+'Invullen groen'!BD297</f>
        <v/>
      </c>
    </row>
    <row r="288">
      <c r="A288" s="113" t="n"/>
      <c r="B288" s="124" t="n"/>
      <c r="C288" s="124" t="n"/>
      <c r="D288" s="113" t="n"/>
      <c r="E288" s="114" t="n"/>
      <c r="F288" s="114" t="n"/>
      <c r="G288" s="114" t="n"/>
      <c r="H288" s="114" t="n"/>
      <c r="I288" s="124" t="n"/>
      <c r="J288" s="124">
        <f>+'Invullen groen'!AX298</f>
        <v/>
      </c>
      <c r="K288" s="124">
        <f>+'Invullen groen'!AY298</f>
        <v/>
      </c>
      <c r="L288" s="124">
        <f>+'Invullen groen'!AZ298</f>
        <v/>
      </c>
      <c r="M288" s="124">
        <f>+'Invullen groen'!BA298</f>
        <v/>
      </c>
      <c r="N288" s="124">
        <f>+'Invullen groen'!BB298</f>
        <v/>
      </c>
      <c r="O288" s="124">
        <f>+'Invullen groen'!BC298</f>
        <v/>
      </c>
      <c r="P288" s="124">
        <f>+'Invullen groen'!BD298</f>
        <v/>
      </c>
    </row>
    <row r="289">
      <c r="A289" s="113">
        <f>+'Invullen groen'!A299</f>
        <v/>
      </c>
      <c r="B289" s="124">
        <f>+'Invullen groen'!C299</f>
        <v/>
      </c>
      <c r="C289" s="124">
        <f>+'Invullen groen'!G299</f>
        <v/>
      </c>
      <c r="D289" s="113">
        <f>+'Invullen groen'!M299</f>
        <v/>
      </c>
      <c r="E289" s="114">
        <f>+'Invullen groen'!H299</f>
        <v/>
      </c>
      <c r="F289" s="114">
        <f>+'Invullen groen'!I299</f>
        <v/>
      </c>
      <c r="G289" s="114">
        <f>+'Invullen groen'!J299</f>
        <v/>
      </c>
      <c r="H289" s="114">
        <f>+'Invullen groen'!K299</f>
        <v/>
      </c>
      <c r="I289" s="124">
        <f>+'Invullen groen'!AW299</f>
        <v/>
      </c>
      <c r="J289" s="124">
        <f>+'Invullen groen'!AX299</f>
        <v/>
      </c>
      <c r="K289" s="124">
        <f>+'Invullen groen'!AY299</f>
        <v/>
      </c>
      <c r="L289" s="124">
        <f>+'Invullen groen'!AZ299</f>
        <v/>
      </c>
      <c r="M289" s="124">
        <f>+'Invullen groen'!BA299</f>
        <v/>
      </c>
      <c r="N289" s="124">
        <f>+'Invullen groen'!BB299</f>
        <v/>
      </c>
      <c r="O289" s="124">
        <f>+'Invullen groen'!BC299</f>
        <v/>
      </c>
      <c r="P289" s="124">
        <f>+'Invullen groen'!BD299</f>
        <v/>
      </c>
    </row>
    <row r="290">
      <c r="A290" s="113">
        <f>+'Invullen groen'!A300</f>
        <v/>
      </c>
      <c r="B290" s="124">
        <f>+'Invullen groen'!C300</f>
        <v/>
      </c>
      <c r="C290" s="124">
        <f>+'Invullen groen'!G300</f>
        <v/>
      </c>
      <c r="D290" s="113">
        <f>+'Invullen groen'!M300</f>
        <v/>
      </c>
      <c r="E290" s="114">
        <f>+'Invullen groen'!H300</f>
        <v/>
      </c>
      <c r="F290" s="114">
        <f>+'Invullen groen'!I300</f>
        <v/>
      </c>
      <c r="G290" s="114">
        <f>+'Invullen groen'!J300</f>
        <v/>
      </c>
      <c r="H290" s="114">
        <f>+'Invullen groen'!K300</f>
        <v/>
      </c>
      <c r="I290" s="124">
        <f>+'Invullen groen'!AW300</f>
        <v/>
      </c>
      <c r="J290" s="124">
        <f>+'Invullen groen'!AX300</f>
        <v/>
      </c>
      <c r="K290" s="124">
        <f>+'Invullen groen'!AY300</f>
        <v/>
      </c>
      <c r="L290" s="124">
        <f>+'Invullen groen'!AZ300</f>
        <v/>
      </c>
      <c r="M290" s="124">
        <f>+'Invullen groen'!BA300</f>
        <v/>
      </c>
      <c r="N290" s="124">
        <f>+'Invullen groen'!BB300</f>
        <v/>
      </c>
      <c r="O290" s="124">
        <f>+'Invullen groen'!BC300</f>
        <v/>
      </c>
      <c r="P290" s="124">
        <f>+'Invullen groen'!BD300</f>
        <v/>
      </c>
    </row>
    <row r="291">
      <c r="A291" s="113">
        <f>+'Invullen groen'!A301</f>
        <v/>
      </c>
      <c r="B291" s="154">
        <f>+'Invullen groen'!C301</f>
        <v/>
      </c>
      <c r="C291" s="124">
        <f>+'Invullen groen'!G301</f>
        <v/>
      </c>
      <c r="D291" s="113">
        <f>+'Invullen groen'!M301</f>
        <v/>
      </c>
      <c r="E291" s="114">
        <f>+'Invullen groen'!H301</f>
        <v/>
      </c>
      <c r="F291" s="114">
        <f>+'Invullen groen'!I301</f>
        <v/>
      </c>
      <c r="G291" s="114">
        <f>+'Invullen groen'!J301</f>
        <v/>
      </c>
      <c r="H291" s="114">
        <f>+'Invullen groen'!K301</f>
        <v/>
      </c>
      <c r="I291" s="124">
        <f>+'Invullen groen'!AW301</f>
        <v/>
      </c>
      <c r="J291" s="124">
        <f>+'Invullen groen'!AX301</f>
        <v/>
      </c>
      <c r="K291" s="124">
        <f>+'Invullen groen'!AY301</f>
        <v/>
      </c>
      <c r="L291" s="124">
        <f>+'Invullen groen'!AZ301</f>
        <v/>
      </c>
      <c r="M291" s="124">
        <f>+'Invullen groen'!BA301</f>
        <v/>
      </c>
      <c r="N291" s="124">
        <f>+'Invullen groen'!BB301</f>
        <v/>
      </c>
      <c r="O291" s="124">
        <f>+'Invullen groen'!BC301</f>
        <v/>
      </c>
      <c r="P291" s="124">
        <f>+'Invullen groen'!BD301</f>
        <v/>
      </c>
    </row>
    <row r="292">
      <c r="A292" s="113">
        <f>+'Invullen groen'!A302</f>
        <v/>
      </c>
      <c r="B292" s="154">
        <f>+'Invullen groen'!C302</f>
        <v/>
      </c>
      <c r="C292" s="124">
        <f>+'Invullen groen'!G302</f>
        <v/>
      </c>
      <c r="D292" s="113">
        <f>+'Invullen groen'!M302</f>
        <v/>
      </c>
      <c r="E292" s="114">
        <f>+'Invullen groen'!H302</f>
        <v/>
      </c>
      <c r="F292" s="114">
        <f>+'Invullen groen'!I302</f>
        <v/>
      </c>
      <c r="G292" s="114">
        <f>+'Invullen groen'!J302</f>
        <v/>
      </c>
      <c r="H292" s="114">
        <f>+'Invullen groen'!K302</f>
        <v/>
      </c>
      <c r="I292" s="124">
        <f>+'Invullen groen'!AW302</f>
        <v/>
      </c>
      <c r="J292" s="124">
        <f>+'Invullen groen'!AX302</f>
        <v/>
      </c>
      <c r="K292" s="124">
        <f>+'Invullen groen'!AY302</f>
        <v/>
      </c>
      <c r="L292" s="124">
        <f>+'Invullen groen'!AZ302</f>
        <v/>
      </c>
      <c r="M292" s="124">
        <f>+'Invullen groen'!BA302</f>
        <v/>
      </c>
      <c r="N292" s="124">
        <f>+'Invullen groen'!BB302</f>
        <v/>
      </c>
      <c r="O292" s="124">
        <f>+'Invullen groen'!BC302</f>
        <v/>
      </c>
      <c r="P292" s="124">
        <f>+'Invullen groen'!BD302</f>
        <v/>
      </c>
    </row>
    <row r="293">
      <c r="A293" s="113">
        <f>+'Invullen groen'!A303</f>
        <v/>
      </c>
      <c r="B293" s="154">
        <f>+'Invullen groen'!C303</f>
        <v/>
      </c>
      <c r="C293" s="124">
        <f>+'Invullen groen'!G303</f>
        <v/>
      </c>
      <c r="D293" s="113">
        <f>+'Invullen groen'!M303</f>
        <v/>
      </c>
      <c r="E293" s="114">
        <f>+'Invullen groen'!H303</f>
        <v/>
      </c>
      <c r="F293" s="114">
        <f>+'Invullen groen'!I303</f>
        <v/>
      </c>
      <c r="G293" s="114">
        <f>+'Invullen groen'!J303</f>
        <v/>
      </c>
      <c r="H293" s="114">
        <f>+'Invullen groen'!K303</f>
        <v/>
      </c>
      <c r="I293" s="124">
        <f>+'Invullen groen'!AW303</f>
        <v/>
      </c>
      <c r="J293" s="124">
        <f>+'Invullen groen'!AX303</f>
        <v/>
      </c>
      <c r="K293" s="124">
        <f>+'Invullen groen'!AY303</f>
        <v/>
      </c>
      <c r="L293" s="124">
        <f>+'Invullen groen'!AZ303</f>
        <v/>
      </c>
      <c r="M293" s="124">
        <f>+'Invullen groen'!BA303</f>
        <v/>
      </c>
      <c r="N293" s="124">
        <f>+'Invullen groen'!BB303</f>
        <v/>
      </c>
      <c r="O293" s="124">
        <f>+'Invullen groen'!BC303</f>
        <v/>
      </c>
      <c r="P293" s="124">
        <f>+'Invullen groen'!BD303</f>
        <v/>
      </c>
    </row>
    <row r="294">
      <c r="A294" s="113">
        <f>+'Invullen groen'!A304</f>
        <v/>
      </c>
      <c r="B294" s="154">
        <f>+'Invullen groen'!C304</f>
        <v/>
      </c>
      <c r="C294" s="124">
        <f>+'Invullen groen'!G304</f>
        <v/>
      </c>
      <c r="D294" s="113">
        <f>+'Invullen groen'!M304</f>
        <v/>
      </c>
      <c r="E294" s="114">
        <f>+'Invullen groen'!H304</f>
        <v/>
      </c>
      <c r="F294" s="114">
        <f>+'Invullen groen'!I304</f>
        <v/>
      </c>
      <c r="G294" s="114">
        <f>+'Invullen groen'!J304</f>
        <v/>
      </c>
      <c r="H294" s="114">
        <f>+'Invullen groen'!K304</f>
        <v/>
      </c>
      <c r="I294" s="124">
        <f>+'Invullen groen'!AW304</f>
        <v/>
      </c>
      <c r="J294" s="124">
        <f>+'Invullen groen'!AX304</f>
        <v/>
      </c>
      <c r="K294" s="124">
        <f>+'Invullen groen'!AY304</f>
        <v/>
      </c>
      <c r="L294" s="124">
        <f>+'Invullen groen'!AZ304</f>
        <v/>
      </c>
      <c r="M294" s="124">
        <f>+'Invullen groen'!BA304</f>
        <v/>
      </c>
      <c r="N294" s="124">
        <f>+'Invullen groen'!BB304</f>
        <v/>
      </c>
      <c r="O294" s="124">
        <f>+'Invullen groen'!BC304</f>
        <v/>
      </c>
      <c r="P294" s="124">
        <f>+'Invullen groen'!BD304</f>
        <v/>
      </c>
    </row>
    <row r="295">
      <c r="A295" s="113">
        <f>+'Invullen groen'!A305</f>
        <v/>
      </c>
      <c r="B295" s="154">
        <f>+'Invullen groen'!C305</f>
        <v/>
      </c>
      <c r="C295" s="124">
        <f>+'Invullen groen'!G305</f>
        <v/>
      </c>
      <c r="D295" s="113">
        <f>+'Invullen groen'!M305</f>
        <v/>
      </c>
      <c r="E295" s="114">
        <f>+'Invullen groen'!H305</f>
        <v/>
      </c>
      <c r="F295" s="114">
        <f>+'Invullen groen'!I305</f>
        <v/>
      </c>
      <c r="G295" s="114">
        <f>+'Invullen groen'!J305</f>
        <v/>
      </c>
      <c r="H295" s="114">
        <f>+'Invullen groen'!K305</f>
        <v/>
      </c>
      <c r="I295" s="124">
        <f>+'Invullen groen'!AW305</f>
        <v/>
      </c>
      <c r="J295" s="124">
        <f>+'Invullen groen'!AX305</f>
        <v/>
      </c>
      <c r="K295" s="124">
        <f>+'Invullen groen'!AY305</f>
        <v/>
      </c>
      <c r="L295" s="124">
        <f>+'Invullen groen'!AZ305</f>
        <v/>
      </c>
      <c r="M295" s="124">
        <f>+'Invullen groen'!BA305</f>
        <v/>
      </c>
      <c r="N295" s="124">
        <f>+'Invullen groen'!BB305</f>
        <v/>
      </c>
      <c r="O295" s="124">
        <f>+'Invullen groen'!BC305</f>
        <v/>
      </c>
      <c r="P295" s="124">
        <f>+'Invullen groen'!BD305</f>
        <v/>
      </c>
    </row>
    <row r="296">
      <c r="A296" s="113">
        <f>+'Invullen groen'!A306</f>
        <v/>
      </c>
      <c r="B296" s="154">
        <f>+'Invullen groen'!C306</f>
        <v/>
      </c>
      <c r="C296" s="124">
        <f>+'Invullen groen'!G306</f>
        <v/>
      </c>
      <c r="D296" s="113">
        <f>+'Invullen groen'!M306</f>
        <v/>
      </c>
      <c r="E296" s="114">
        <f>+'Invullen groen'!H306</f>
        <v/>
      </c>
      <c r="F296" s="114">
        <f>+'Invullen groen'!I306</f>
        <v/>
      </c>
      <c r="G296" s="114">
        <f>+'Invullen groen'!J306</f>
        <v/>
      </c>
      <c r="H296" s="114">
        <f>+'Invullen groen'!K306</f>
        <v/>
      </c>
      <c r="I296" s="124">
        <f>+'Invullen groen'!AW306</f>
        <v/>
      </c>
      <c r="J296" s="124">
        <f>+'Invullen groen'!AX306</f>
        <v/>
      </c>
      <c r="K296" s="124">
        <f>+'Invullen groen'!AY306</f>
        <v/>
      </c>
      <c r="L296" s="124">
        <f>+'Invullen groen'!AZ306</f>
        <v/>
      </c>
      <c r="M296" s="124">
        <f>+'Invullen groen'!BA306</f>
        <v/>
      </c>
      <c r="N296" s="124">
        <f>+'Invullen groen'!BB306</f>
        <v/>
      </c>
      <c r="O296" s="124">
        <f>+'Invullen groen'!BC306</f>
        <v/>
      </c>
      <c r="P296" s="124">
        <f>+'Invullen groen'!BD306</f>
        <v/>
      </c>
    </row>
    <row r="297">
      <c r="A297" s="113">
        <f>+'Invullen groen'!A307</f>
        <v/>
      </c>
      <c r="B297" s="154">
        <f>+'Invullen groen'!C307</f>
        <v/>
      </c>
      <c r="C297" s="124">
        <f>+'Invullen groen'!G307</f>
        <v/>
      </c>
      <c r="D297" s="113">
        <f>+'Invullen groen'!M307</f>
        <v/>
      </c>
      <c r="E297" s="114">
        <f>+'Invullen groen'!H307</f>
        <v/>
      </c>
      <c r="F297" s="114">
        <f>+'Invullen groen'!I307</f>
        <v/>
      </c>
      <c r="G297" s="114">
        <f>+'Invullen groen'!J307</f>
        <v/>
      </c>
      <c r="H297" s="114">
        <f>+'Invullen groen'!K307</f>
        <v/>
      </c>
      <c r="I297" s="124">
        <f>+'Invullen groen'!AW307</f>
        <v/>
      </c>
      <c r="J297" s="124">
        <f>+'Invullen groen'!AX307</f>
        <v/>
      </c>
      <c r="K297" s="124">
        <f>+'Invullen groen'!AY307</f>
        <v/>
      </c>
      <c r="L297" s="124">
        <f>+'Invullen groen'!AZ307</f>
        <v/>
      </c>
      <c r="M297" s="124">
        <f>+'Invullen groen'!BA307</f>
        <v/>
      </c>
      <c r="N297" s="124">
        <f>+'Invullen groen'!BB307</f>
        <v/>
      </c>
      <c r="O297" s="124">
        <f>+'Invullen groen'!BC307</f>
        <v/>
      </c>
      <c r="P297" s="124">
        <f>+'Invullen groen'!BD307</f>
        <v/>
      </c>
    </row>
    <row r="298">
      <c r="A298" s="113">
        <f>+'Invullen groen'!A308</f>
        <v/>
      </c>
      <c r="B298" s="154">
        <f>+'Invullen groen'!C308</f>
        <v/>
      </c>
      <c r="C298" s="124">
        <f>+'Invullen groen'!G308</f>
        <v/>
      </c>
      <c r="D298" s="113">
        <f>+'Invullen groen'!M308</f>
        <v/>
      </c>
      <c r="E298" s="114">
        <f>+'Invullen groen'!H308</f>
        <v/>
      </c>
      <c r="F298" s="114">
        <f>+'Invullen groen'!I308</f>
        <v/>
      </c>
      <c r="G298" s="114">
        <f>+'Invullen groen'!J308</f>
        <v/>
      </c>
      <c r="H298" s="114">
        <f>+'Invullen groen'!K308</f>
        <v/>
      </c>
      <c r="I298" s="124">
        <f>+'Invullen groen'!AW308</f>
        <v/>
      </c>
      <c r="J298" s="124">
        <f>+'Invullen groen'!AX308</f>
        <v/>
      </c>
      <c r="K298" s="124">
        <f>+'Invullen groen'!AY308</f>
        <v/>
      </c>
      <c r="L298" s="124">
        <f>+'Invullen groen'!AZ308</f>
        <v/>
      </c>
      <c r="M298" s="124">
        <f>+'Invullen groen'!BA308</f>
        <v/>
      </c>
      <c r="N298" s="124">
        <f>+'Invullen groen'!BB308</f>
        <v/>
      </c>
      <c r="O298" s="124">
        <f>+'Invullen groen'!BC308</f>
        <v/>
      </c>
      <c r="P298" s="124">
        <f>+'Invullen groen'!BD308</f>
        <v/>
      </c>
    </row>
    <row r="299">
      <c r="A299" s="113">
        <f>+'Invullen groen'!A309</f>
        <v/>
      </c>
      <c r="B299" s="154">
        <f>+'Invullen groen'!C309</f>
        <v/>
      </c>
      <c r="C299" s="124">
        <f>+'Invullen groen'!G309</f>
        <v/>
      </c>
      <c r="D299" s="113">
        <f>+'Invullen groen'!M309</f>
        <v/>
      </c>
      <c r="E299" s="114">
        <f>+'Invullen groen'!H309</f>
        <v/>
      </c>
      <c r="F299" s="114">
        <f>+'Invullen groen'!I309</f>
        <v/>
      </c>
      <c r="G299" s="114">
        <f>+'Invullen groen'!J309</f>
        <v/>
      </c>
      <c r="H299" s="114">
        <f>+'Invullen groen'!K309</f>
        <v/>
      </c>
      <c r="I299" s="124">
        <f>+'Invullen groen'!AW309</f>
        <v/>
      </c>
      <c r="J299" s="124">
        <f>+'Invullen groen'!AX309</f>
        <v/>
      </c>
      <c r="K299" s="124">
        <f>+'Invullen groen'!AY309</f>
        <v/>
      </c>
      <c r="L299" s="124">
        <f>+'Invullen groen'!AZ309</f>
        <v/>
      </c>
      <c r="M299" s="124">
        <f>+'Invullen groen'!BA309</f>
        <v/>
      </c>
      <c r="N299" s="124">
        <f>+'Invullen groen'!BB309</f>
        <v/>
      </c>
      <c r="O299" s="124">
        <f>+'Invullen groen'!BC309</f>
        <v/>
      </c>
      <c r="P299" s="124">
        <f>+'Invullen groen'!BD309</f>
        <v/>
      </c>
    </row>
    <row r="300">
      <c r="A300" s="113">
        <f>+'Invullen groen'!A310</f>
        <v/>
      </c>
      <c r="B300" s="154">
        <f>+'Invullen groen'!C310</f>
        <v/>
      </c>
      <c r="C300" s="124">
        <f>+'Invullen groen'!G310</f>
        <v/>
      </c>
      <c r="D300" s="113">
        <f>+'Invullen groen'!M310</f>
        <v/>
      </c>
      <c r="E300" s="114">
        <f>+'Invullen groen'!H310</f>
        <v/>
      </c>
      <c r="F300" s="114">
        <f>+'Invullen groen'!I310</f>
        <v/>
      </c>
      <c r="G300" s="114">
        <f>+'Invullen groen'!J310</f>
        <v/>
      </c>
      <c r="H300" s="114">
        <f>+'Invullen groen'!K310</f>
        <v/>
      </c>
      <c r="I300" s="124">
        <f>+'Invullen groen'!AW310</f>
        <v/>
      </c>
      <c r="J300" s="124">
        <f>+'Invullen groen'!AX310</f>
        <v/>
      </c>
      <c r="K300" s="124">
        <f>+'Invullen groen'!AY310</f>
        <v/>
      </c>
      <c r="L300" s="124">
        <f>+'Invullen groen'!AZ310</f>
        <v/>
      </c>
      <c r="M300" s="124">
        <f>+'Invullen groen'!BA310</f>
        <v/>
      </c>
      <c r="N300" s="124">
        <f>+'Invullen groen'!BB310</f>
        <v/>
      </c>
      <c r="O300" s="124">
        <f>+'Invullen groen'!BC310</f>
        <v/>
      </c>
      <c r="P300" s="124">
        <f>+'Invullen groen'!BD310</f>
        <v/>
      </c>
    </row>
    <row r="301">
      <c r="A301" s="113">
        <f>+'Invullen groen'!A311</f>
        <v/>
      </c>
      <c r="B301" s="154">
        <f>+'Invullen groen'!C311</f>
        <v/>
      </c>
      <c r="C301" s="124">
        <f>+'Invullen groen'!G311</f>
        <v/>
      </c>
      <c r="D301" s="113">
        <f>+'Invullen groen'!M311</f>
        <v/>
      </c>
      <c r="E301" s="114">
        <f>+'Invullen groen'!H311</f>
        <v/>
      </c>
      <c r="F301" s="114">
        <f>+'Invullen groen'!I311</f>
        <v/>
      </c>
      <c r="G301" s="114">
        <f>+'Invullen groen'!J311</f>
        <v/>
      </c>
      <c r="H301" s="114">
        <f>+'Invullen groen'!K311</f>
        <v/>
      </c>
      <c r="I301" s="124">
        <f>+'Invullen groen'!AW311</f>
        <v/>
      </c>
      <c r="J301" s="124">
        <f>+'Invullen groen'!AX311</f>
        <v/>
      </c>
      <c r="K301" s="124">
        <f>+'Invullen groen'!AY311</f>
        <v/>
      </c>
      <c r="L301" s="124">
        <f>+'Invullen groen'!AZ311</f>
        <v/>
      </c>
      <c r="M301" s="124">
        <f>+'Invullen groen'!BA311</f>
        <v/>
      </c>
      <c r="N301" s="124">
        <f>+'Invullen groen'!BB311</f>
        <v/>
      </c>
      <c r="O301" s="124">
        <f>+'Invullen groen'!BC311</f>
        <v/>
      </c>
      <c r="P301" s="124">
        <f>+'Invullen groen'!BD311</f>
        <v/>
      </c>
    </row>
    <row r="302">
      <c r="A302" s="113">
        <f>+'Invullen groen'!A312</f>
        <v/>
      </c>
      <c r="B302" s="154">
        <f>+'Invullen groen'!C312</f>
        <v/>
      </c>
      <c r="C302" s="124">
        <f>+'Invullen groen'!G312</f>
        <v/>
      </c>
      <c r="D302" s="113">
        <f>+'Invullen groen'!M312</f>
        <v/>
      </c>
      <c r="E302" s="114">
        <f>+'Invullen groen'!H312</f>
        <v/>
      </c>
      <c r="F302" s="114">
        <f>+'Invullen groen'!I312</f>
        <v/>
      </c>
      <c r="G302" s="114">
        <f>+'Invullen groen'!J312</f>
        <v/>
      </c>
      <c r="H302" s="114">
        <f>+'Invullen groen'!K312</f>
        <v/>
      </c>
      <c r="I302" s="124">
        <f>+'Invullen groen'!AW312</f>
        <v/>
      </c>
      <c r="J302" s="124">
        <f>+'Invullen groen'!AX312</f>
        <v/>
      </c>
      <c r="K302" s="124">
        <f>+'Invullen groen'!AY312</f>
        <v/>
      </c>
      <c r="L302" s="124">
        <f>+'Invullen groen'!AZ312</f>
        <v/>
      </c>
      <c r="M302" s="124">
        <f>+'Invullen groen'!BA312</f>
        <v/>
      </c>
      <c r="N302" s="124">
        <f>+'Invullen groen'!BB312</f>
        <v/>
      </c>
      <c r="O302" s="124">
        <f>+'Invullen groen'!BC312</f>
        <v/>
      </c>
      <c r="P302" s="124">
        <f>+'Invullen groen'!BD312</f>
        <v/>
      </c>
    </row>
    <row r="303">
      <c r="A303" s="113">
        <f>+'Invullen groen'!A313</f>
        <v/>
      </c>
      <c r="B303" s="154">
        <f>+'Invullen groen'!C313</f>
        <v/>
      </c>
      <c r="C303" s="124">
        <f>+'Invullen groen'!G313</f>
        <v/>
      </c>
      <c r="D303" s="113">
        <f>+'Invullen groen'!M313</f>
        <v/>
      </c>
      <c r="E303" s="114">
        <f>+'Invullen groen'!H313</f>
        <v/>
      </c>
      <c r="F303" s="114">
        <f>+'Invullen groen'!I313</f>
        <v/>
      </c>
      <c r="G303" s="114">
        <f>+'Invullen groen'!J313</f>
        <v/>
      </c>
      <c r="H303" s="114">
        <f>+'Invullen groen'!K313</f>
        <v/>
      </c>
      <c r="I303" s="124">
        <f>+'Invullen groen'!AW313</f>
        <v/>
      </c>
      <c r="J303" s="124">
        <f>+'Invullen groen'!AX313</f>
        <v/>
      </c>
      <c r="K303" s="124">
        <f>+'Invullen groen'!AY313</f>
        <v/>
      </c>
      <c r="L303" s="124">
        <f>+'Invullen groen'!AZ313</f>
        <v/>
      </c>
      <c r="M303" s="124">
        <f>+'Invullen groen'!BA313</f>
        <v/>
      </c>
      <c r="N303" s="124">
        <f>+'Invullen groen'!BB313</f>
        <v/>
      </c>
      <c r="O303" s="124">
        <f>+'Invullen groen'!BC313</f>
        <v/>
      </c>
      <c r="P303" s="124">
        <f>+'Invullen groen'!BD313</f>
        <v/>
      </c>
    </row>
    <row r="304">
      <c r="A304" s="113">
        <f>+'Invullen groen'!A314</f>
        <v/>
      </c>
      <c r="B304" s="154">
        <f>+'Invullen groen'!C314</f>
        <v/>
      </c>
      <c r="C304" s="124">
        <f>+'Invullen groen'!G314</f>
        <v/>
      </c>
      <c r="D304" s="113">
        <f>+'Invullen groen'!M314</f>
        <v/>
      </c>
      <c r="E304" s="114">
        <f>+'Invullen groen'!H314</f>
        <v/>
      </c>
      <c r="F304" s="114">
        <f>+'Invullen groen'!I314</f>
        <v/>
      </c>
      <c r="G304" s="114">
        <f>+'Invullen groen'!J314</f>
        <v/>
      </c>
      <c r="H304" s="114">
        <f>+'Invullen groen'!K314</f>
        <v/>
      </c>
      <c r="I304" s="124">
        <f>+'Invullen groen'!AW314</f>
        <v/>
      </c>
      <c r="J304" s="124">
        <f>+'Invullen groen'!AX314</f>
        <v/>
      </c>
      <c r="K304" s="124">
        <f>+'Invullen groen'!AY314</f>
        <v/>
      </c>
      <c r="L304" s="124">
        <f>+'Invullen groen'!AZ314</f>
        <v/>
      </c>
      <c r="M304" s="124">
        <f>+'Invullen groen'!BA314</f>
        <v/>
      </c>
      <c r="N304" s="124">
        <f>+'Invullen groen'!BB314</f>
        <v/>
      </c>
      <c r="O304" s="124">
        <f>+'Invullen groen'!BC314</f>
        <v/>
      </c>
      <c r="P304" s="124">
        <f>+'Invullen groen'!BD314</f>
        <v/>
      </c>
    </row>
    <row r="305">
      <c r="A305" s="113">
        <f>+'Invullen groen'!A315</f>
        <v/>
      </c>
      <c r="B305" s="154">
        <f>+'Invullen groen'!C315</f>
        <v/>
      </c>
      <c r="C305" s="124">
        <f>+'Invullen groen'!G315</f>
        <v/>
      </c>
      <c r="D305" s="113">
        <f>+'Invullen groen'!M315</f>
        <v/>
      </c>
      <c r="E305" s="114">
        <f>+'Invullen groen'!H315</f>
        <v/>
      </c>
      <c r="F305" s="114">
        <f>+'Invullen groen'!I315</f>
        <v/>
      </c>
      <c r="G305" s="114">
        <f>+'Invullen groen'!J315</f>
        <v/>
      </c>
      <c r="H305" s="114">
        <f>+'Invullen groen'!K315</f>
        <v/>
      </c>
      <c r="I305" s="124">
        <f>+'Invullen groen'!AW315</f>
        <v/>
      </c>
      <c r="J305" s="124">
        <f>+'Invullen groen'!AX315</f>
        <v/>
      </c>
      <c r="K305" s="124">
        <f>+'Invullen groen'!AY315</f>
        <v/>
      </c>
      <c r="L305" s="124">
        <f>+'Invullen groen'!AZ315</f>
        <v/>
      </c>
      <c r="M305" s="124">
        <f>+'Invullen groen'!BA315</f>
        <v/>
      </c>
      <c r="N305" s="124">
        <f>+'Invullen groen'!BB315</f>
        <v/>
      </c>
      <c r="O305" s="124">
        <f>+'Invullen groen'!BC315</f>
        <v/>
      </c>
      <c r="P305" s="124">
        <f>+'Invullen groen'!BD315</f>
        <v/>
      </c>
    </row>
    <row r="306">
      <c r="A306" s="113">
        <f>+'Invullen groen'!A316</f>
        <v/>
      </c>
      <c r="B306" s="154">
        <f>+'Invullen groen'!C316</f>
        <v/>
      </c>
      <c r="C306" s="124">
        <f>+'Invullen groen'!G316</f>
        <v/>
      </c>
      <c r="D306" s="113">
        <f>+'Invullen groen'!M316</f>
        <v/>
      </c>
      <c r="E306" s="114">
        <f>+'Invullen groen'!H316</f>
        <v/>
      </c>
      <c r="F306" s="114">
        <f>+'Invullen groen'!I316</f>
        <v/>
      </c>
      <c r="G306" s="114">
        <f>+'Invullen groen'!J316</f>
        <v/>
      </c>
      <c r="H306" s="114">
        <f>+'Invullen groen'!K316</f>
        <v/>
      </c>
      <c r="I306" s="124">
        <f>+'Invullen groen'!AW316</f>
        <v/>
      </c>
      <c r="J306" s="124">
        <f>+'Invullen groen'!AX316</f>
        <v/>
      </c>
      <c r="K306" s="124">
        <f>+'Invullen groen'!AY316</f>
        <v/>
      </c>
      <c r="L306" s="124">
        <f>+'Invullen groen'!AZ316</f>
        <v/>
      </c>
      <c r="M306" s="124">
        <f>+'Invullen groen'!BA316</f>
        <v/>
      </c>
      <c r="N306" s="124">
        <f>+'Invullen groen'!BB316</f>
        <v/>
      </c>
      <c r="O306" s="124">
        <f>+'Invullen groen'!BC316</f>
        <v/>
      </c>
      <c r="P306" s="124">
        <f>+'Invullen groen'!BD316</f>
        <v/>
      </c>
    </row>
    <row r="307">
      <c r="A307" s="113">
        <f>+'Invullen groen'!A317</f>
        <v/>
      </c>
      <c r="B307" s="154">
        <f>+'Invullen groen'!C317</f>
        <v/>
      </c>
      <c r="C307" s="124">
        <f>+'Invullen groen'!G317</f>
        <v/>
      </c>
      <c r="D307" s="113">
        <f>+'Invullen groen'!M317</f>
        <v/>
      </c>
      <c r="E307" s="114">
        <f>+'Invullen groen'!H317</f>
        <v/>
      </c>
      <c r="F307" s="114">
        <f>+'Invullen groen'!I317</f>
        <v/>
      </c>
      <c r="G307" s="114">
        <f>+'Invullen groen'!J317</f>
        <v/>
      </c>
      <c r="H307" s="114">
        <f>+'Invullen groen'!K317</f>
        <v/>
      </c>
      <c r="I307" s="124">
        <f>+'Invullen groen'!AW317</f>
        <v/>
      </c>
      <c r="J307" s="124">
        <f>+'Invullen groen'!AX317</f>
        <v/>
      </c>
      <c r="K307" s="124">
        <f>+'Invullen groen'!AY317</f>
        <v/>
      </c>
      <c r="L307" s="124">
        <f>+'Invullen groen'!AZ317</f>
        <v/>
      </c>
      <c r="M307" s="124">
        <f>+'Invullen groen'!BA317</f>
        <v/>
      </c>
      <c r="N307" s="124">
        <f>+'Invullen groen'!BB317</f>
        <v/>
      </c>
      <c r="O307" s="124">
        <f>+'Invullen groen'!BC317</f>
        <v/>
      </c>
      <c r="P307" s="124">
        <f>+'Invullen groen'!BD317</f>
        <v/>
      </c>
    </row>
    <row r="308">
      <c r="A308" s="113">
        <f>+'Invullen groen'!A318</f>
        <v/>
      </c>
      <c r="B308" s="154">
        <f>+'Invullen groen'!C318</f>
        <v/>
      </c>
      <c r="C308" s="124">
        <f>+'Invullen groen'!G318</f>
        <v/>
      </c>
      <c r="D308" s="113">
        <f>+'Invullen groen'!M318</f>
        <v/>
      </c>
      <c r="E308" s="114">
        <f>+'Invullen groen'!H318</f>
        <v/>
      </c>
      <c r="F308" s="114">
        <f>+'Invullen groen'!I318</f>
        <v/>
      </c>
      <c r="G308" s="114">
        <f>+'Invullen groen'!J318</f>
        <v/>
      </c>
      <c r="H308" s="114">
        <f>+'Invullen groen'!K318</f>
        <v/>
      </c>
      <c r="I308" s="124">
        <f>+'Invullen groen'!AW318</f>
        <v/>
      </c>
      <c r="J308" s="124">
        <f>+'Invullen groen'!AX318</f>
        <v/>
      </c>
      <c r="K308" s="124">
        <f>+'Invullen groen'!AY318</f>
        <v/>
      </c>
      <c r="L308" s="124">
        <f>+'Invullen groen'!AZ318</f>
        <v/>
      </c>
      <c r="M308" s="124">
        <f>+'Invullen groen'!BA318</f>
        <v/>
      </c>
      <c r="N308" s="124">
        <f>+'Invullen groen'!BB318</f>
        <v/>
      </c>
      <c r="O308" s="124">
        <f>+'Invullen groen'!BC318</f>
        <v/>
      </c>
      <c r="P308" s="124">
        <f>+'Invullen groen'!BD318</f>
        <v/>
      </c>
    </row>
    <row r="309">
      <c r="A309" s="113">
        <f>+'Invullen groen'!A319</f>
        <v/>
      </c>
      <c r="B309" s="154">
        <f>+'Invullen groen'!C319</f>
        <v/>
      </c>
      <c r="C309" s="124">
        <f>+'Invullen groen'!G319</f>
        <v/>
      </c>
      <c r="D309" s="113">
        <f>+'Invullen groen'!M319</f>
        <v/>
      </c>
      <c r="E309" s="114">
        <f>+'Invullen groen'!H319</f>
        <v/>
      </c>
      <c r="F309" s="114">
        <f>+'Invullen groen'!I319</f>
        <v/>
      </c>
      <c r="G309" s="114">
        <f>+'Invullen groen'!J319</f>
        <v/>
      </c>
      <c r="H309" s="114">
        <f>+'Invullen groen'!K319</f>
        <v/>
      </c>
      <c r="I309" s="124">
        <f>+'Invullen groen'!AW319</f>
        <v/>
      </c>
      <c r="J309" s="124">
        <f>+'Invullen groen'!AX319</f>
        <v/>
      </c>
      <c r="K309" s="124">
        <f>+'Invullen groen'!AY319</f>
        <v/>
      </c>
      <c r="L309" s="124">
        <f>+'Invullen groen'!AZ319</f>
        <v/>
      </c>
      <c r="M309" s="124">
        <f>+'Invullen groen'!BA319</f>
        <v/>
      </c>
      <c r="N309" s="124">
        <f>+'Invullen groen'!BB319</f>
        <v/>
      </c>
      <c r="O309" s="124">
        <f>+'Invullen groen'!BC319</f>
        <v/>
      </c>
      <c r="P309" s="124">
        <f>+'Invullen groen'!BD319</f>
        <v/>
      </c>
    </row>
    <row r="310">
      <c r="A310" s="113">
        <f>+'Invullen groen'!A320</f>
        <v/>
      </c>
      <c r="B310" s="154">
        <f>+'Invullen groen'!C320</f>
        <v/>
      </c>
      <c r="C310" s="124">
        <f>+'Invullen groen'!G320</f>
        <v/>
      </c>
      <c r="D310" s="113">
        <f>+'Invullen groen'!M320</f>
        <v/>
      </c>
      <c r="E310" s="114">
        <f>+'Invullen groen'!H320</f>
        <v/>
      </c>
      <c r="F310" s="114">
        <f>+'Invullen groen'!I320</f>
        <v/>
      </c>
      <c r="G310" s="114">
        <f>+'Invullen groen'!J320</f>
        <v/>
      </c>
      <c r="H310" s="114">
        <f>+'Invullen groen'!K320</f>
        <v/>
      </c>
      <c r="I310" s="124">
        <f>+'Invullen groen'!AW320</f>
        <v/>
      </c>
      <c r="J310" s="124">
        <f>+'Invullen groen'!AX320</f>
        <v/>
      </c>
      <c r="K310" s="124">
        <f>+'Invullen groen'!AY320</f>
        <v/>
      </c>
      <c r="L310" s="124">
        <f>+'Invullen groen'!AZ320</f>
        <v/>
      </c>
      <c r="M310" s="124">
        <f>+'Invullen groen'!BA320</f>
        <v/>
      </c>
      <c r="N310" s="124">
        <f>+'Invullen groen'!BB320</f>
        <v/>
      </c>
      <c r="O310" s="124">
        <f>+'Invullen groen'!BC320</f>
        <v/>
      </c>
      <c r="P310" s="124">
        <f>+'Invullen groen'!BD320</f>
        <v/>
      </c>
    </row>
    <row r="311">
      <c r="A311" s="113">
        <f>+'Invullen groen'!A321</f>
        <v/>
      </c>
      <c r="B311" s="154">
        <f>+'Invullen groen'!C321</f>
        <v/>
      </c>
      <c r="C311" s="124">
        <f>+'Invullen groen'!G321</f>
        <v/>
      </c>
      <c r="D311" s="113">
        <f>+'Invullen groen'!M321</f>
        <v/>
      </c>
      <c r="E311" s="114">
        <f>+'Invullen groen'!H321</f>
        <v/>
      </c>
      <c r="F311" s="114">
        <f>+'Invullen groen'!I321</f>
        <v/>
      </c>
      <c r="G311" s="114">
        <f>+'Invullen groen'!J321</f>
        <v/>
      </c>
      <c r="H311" s="114">
        <f>+'Invullen groen'!K321</f>
        <v/>
      </c>
      <c r="I311" s="124">
        <f>+'Invullen groen'!AW321</f>
        <v/>
      </c>
      <c r="J311" s="124">
        <f>+'Invullen groen'!AX321</f>
        <v/>
      </c>
      <c r="K311" s="124">
        <f>+'Invullen groen'!AY321</f>
        <v/>
      </c>
      <c r="L311" s="124">
        <f>+'Invullen groen'!AZ321</f>
        <v/>
      </c>
      <c r="M311" s="124">
        <f>+'Invullen groen'!BA321</f>
        <v/>
      </c>
      <c r="N311" s="124">
        <f>+'Invullen groen'!BB321</f>
        <v/>
      </c>
      <c r="O311" s="124">
        <f>+'Invullen groen'!BC321</f>
        <v/>
      </c>
      <c r="P311" s="124">
        <f>+'Invullen groen'!BD321</f>
        <v/>
      </c>
    </row>
    <row r="312">
      <c r="A312" s="113">
        <f>+'Invullen groen'!A322</f>
        <v/>
      </c>
      <c r="B312" s="154">
        <f>+'Invullen groen'!C322</f>
        <v/>
      </c>
      <c r="C312" s="124">
        <f>+'Invullen groen'!G322</f>
        <v/>
      </c>
      <c r="D312" s="113">
        <f>+'Invullen groen'!M322</f>
        <v/>
      </c>
      <c r="E312" s="114">
        <f>+'Invullen groen'!H322</f>
        <v/>
      </c>
      <c r="F312" s="114">
        <f>+'Invullen groen'!I322</f>
        <v/>
      </c>
      <c r="G312" s="114">
        <f>+'Invullen groen'!J322</f>
        <v/>
      </c>
      <c r="H312" s="114">
        <f>+'Invullen groen'!K322</f>
        <v/>
      </c>
      <c r="I312" s="124">
        <f>+'Invullen groen'!AW322</f>
        <v/>
      </c>
      <c r="J312" s="124">
        <f>+'Invullen groen'!AX322</f>
        <v/>
      </c>
      <c r="K312" s="124">
        <f>+'Invullen groen'!AY322</f>
        <v/>
      </c>
      <c r="L312" s="124">
        <f>+'Invullen groen'!AZ322</f>
        <v/>
      </c>
      <c r="M312" s="124">
        <f>+'Invullen groen'!BA322</f>
        <v/>
      </c>
      <c r="N312" s="124">
        <f>+'Invullen groen'!BB322</f>
        <v/>
      </c>
      <c r="O312" s="124">
        <f>+'Invullen groen'!BC322</f>
        <v/>
      </c>
      <c r="P312" s="124">
        <f>+'Invullen groen'!BD322</f>
        <v/>
      </c>
    </row>
    <row r="313">
      <c r="A313" s="113">
        <f>+'Invullen groen'!A323</f>
        <v/>
      </c>
      <c r="B313" s="154">
        <f>+'Invullen groen'!C323</f>
        <v/>
      </c>
      <c r="C313" s="124">
        <f>+'Invullen groen'!G323</f>
        <v/>
      </c>
      <c r="D313" s="113">
        <f>+'Invullen groen'!M323</f>
        <v/>
      </c>
      <c r="E313" s="114">
        <f>+'Invullen groen'!H323</f>
        <v/>
      </c>
      <c r="F313" s="114">
        <f>+'Invullen groen'!I323</f>
        <v/>
      </c>
      <c r="G313" s="114">
        <f>+'Invullen groen'!J323</f>
        <v/>
      </c>
      <c r="H313" s="114">
        <f>+'Invullen groen'!K323</f>
        <v/>
      </c>
      <c r="I313" s="124">
        <f>+'Invullen groen'!AW323</f>
        <v/>
      </c>
      <c r="J313" s="124">
        <f>+'Invullen groen'!AX323</f>
        <v/>
      </c>
      <c r="K313" s="124">
        <f>+'Invullen groen'!AY323</f>
        <v/>
      </c>
      <c r="L313" s="124">
        <f>+'Invullen groen'!AZ323</f>
        <v/>
      </c>
      <c r="M313" s="124">
        <f>+'Invullen groen'!BA323</f>
        <v/>
      </c>
      <c r="N313" s="124">
        <f>+'Invullen groen'!BB323</f>
        <v/>
      </c>
      <c r="O313" s="124">
        <f>+'Invullen groen'!BC323</f>
        <v/>
      </c>
      <c r="P313" s="124">
        <f>+'Invullen groen'!BD323</f>
        <v/>
      </c>
    </row>
    <row r="314">
      <c r="A314" s="113">
        <f>+'Invullen groen'!A324</f>
        <v/>
      </c>
      <c r="B314" s="154">
        <f>+'Invullen groen'!C324</f>
        <v/>
      </c>
      <c r="C314" s="124">
        <f>+'Invullen groen'!G324</f>
        <v/>
      </c>
      <c r="D314" s="113">
        <f>+'Invullen groen'!M324</f>
        <v/>
      </c>
      <c r="E314" s="114">
        <f>+'Invullen groen'!H324</f>
        <v/>
      </c>
      <c r="F314" s="114">
        <f>+'Invullen groen'!I324</f>
        <v/>
      </c>
      <c r="G314" s="114">
        <f>+'Invullen groen'!J324</f>
        <v/>
      </c>
      <c r="H314" s="114">
        <f>+'Invullen groen'!K324</f>
        <v/>
      </c>
      <c r="I314" s="124">
        <f>+'Invullen groen'!AW324</f>
        <v/>
      </c>
      <c r="J314" s="124">
        <f>+'Invullen groen'!AX324</f>
        <v/>
      </c>
      <c r="K314" s="124">
        <f>+'Invullen groen'!AY324</f>
        <v/>
      </c>
      <c r="L314" s="124">
        <f>+'Invullen groen'!AZ324</f>
        <v/>
      </c>
      <c r="M314" s="124">
        <f>+'Invullen groen'!BA324</f>
        <v/>
      </c>
      <c r="N314" s="124">
        <f>+'Invullen groen'!BB324</f>
        <v/>
      </c>
      <c r="O314" s="124">
        <f>+'Invullen groen'!BC324</f>
        <v/>
      </c>
      <c r="P314" s="124">
        <f>+'Invullen groen'!BD324</f>
        <v/>
      </c>
    </row>
    <row r="315">
      <c r="A315" s="113">
        <f>+'Invullen groen'!A325</f>
        <v/>
      </c>
      <c r="B315" s="154">
        <f>+'Invullen groen'!C325</f>
        <v/>
      </c>
      <c r="C315" s="124">
        <f>+'Invullen groen'!G325</f>
        <v/>
      </c>
      <c r="D315" s="113">
        <f>+'Invullen groen'!M325</f>
        <v/>
      </c>
      <c r="E315" s="114">
        <f>+'Invullen groen'!H325</f>
        <v/>
      </c>
      <c r="F315" s="114">
        <f>+'Invullen groen'!I325</f>
        <v/>
      </c>
      <c r="G315" s="114">
        <f>+'Invullen groen'!J325</f>
        <v/>
      </c>
      <c r="H315" s="114">
        <f>+'Invullen groen'!K325</f>
        <v/>
      </c>
      <c r="I315" s="124">
        <f>+'Invullen groen'!AW325</f>
        <v/>
      </c>
      <c r="J315" s="124">
        <f>+'Invullen groen'!AX325</f>
        <v/>
      </c>
      <c r="K315" s="124">
        <f>+'Invullen groen'!AY325</f>
        <v/>
      </c>
      <c r="L315" s="124">
        <f>+'Invullen groen'!AZ325</f>
        <v/>
      </c>
      <c r="M315" s="124">
        <f>+'Invullen groen'!BA325</f>
        <v/>
      </c>
      <c r="N315" s="124">
        <f>+'Invullen groen'!BB325</f>
        <v/>
      </c>
      <c r="O315" s="124">
        <f>+'Invullen groen'!BC325</f>
        <v/>
      </c>
      <c r="P315" s="124">
        <f>+'Invullen groen'!BD325</f>
        <v/>
      </c>
    </row>
    <row r="316">
      <c r="A316" s="113">
        <f>+'Invullen groen'!A326</f>
        <v/>
      </c>
      <c r="B316" s="154">
        <f>+'Invullen groen'!C326</f>
        <v/>
      </c>
      <c r="C316" s="124">
        <f>+'Invullen groen'!G326</f>
        <v/>
      </c>
      <c r="D316" s="113">
        <f>+'Invullen groen'!M326</f>
        <v/>
      </c>
      <c r="E316" s="114">
        <f>+'Invullen groen'!H326</f>
        <v/>
      </c>
      <c r="F316" s="114">
        <f>+'Invullen groen'!I326</f>
        <v/>
      </c>
      <c r="G316" s="114">
        <f>+'Invullen groen'!J326</f>
        <v/>
      </c>
      <c r="H316" s="114">
        <f>+'Invullen groen'!K326</f>
        <v/>
      </c>
      <c r="I316" s="124">
        <f>+'Invullen groen'!AW326</f>
        <v/>
      </c>
      <c r="J316" s="124">
        <f>+'Invullen groen'!AX326</f>
        <v/>
      </c>
      <c r="K316" s="124">
        <f>+'Invullen groen'!AY326</f>
        <v/>
      </c>
      <c r="L316" s="124">
        <f>+'Invullen groen'!AZ326</f>
        <v/>
      </c>
      <c r="M316" s="124">
        <f>+'Invullen groen'!BA326</f>
        <v/>
      </c>
      <c r="N316" s="124">
        <f>+'Invullen groen'!BB326</f>
        <v/>
      </c>
      <c r="O316" s="124">
        <f>+'Invullen groen'!BC326</f>
        <v/>
      </c>
      <c r="P316" s="124">
        <f>+'Invullen groen'!BD326</f>
        <v/>
      </c>
    </row>
    <row r="317">
      <c r="A317" s="113">
        <f>+'Invullen groen'!A327</f>
        <v/>
      </c>
      <c r="B317" s="154">
        <f>+'Invullen groen'!C327</f>
        <v/>
      </c>
      <c r="C317" s="124">
        <f>+'Invullen groen'!G327</f>
        <v/>
      </c>
      <c r="D317" s="113">
        <f>+'Invullen groen'!M327</f>
        <v/>
      </c>
      <c r="E317" s="114">
        <f>+'Invullen groen'!H327</f>
        <v/>
      </c>
      <c r="F317" s="114">
        <f>+'Invullen groen'!I327</f>
        <v/>
      </c>
      <c r="G317" s="114">
        <f>+'Invullen groen'!J327</f>
        <v/>
      </c>
      <c r="H317" s="114">
        <f>+'Invullen groen'!K327</f>
        <v/>
      </c>
      <c r="I317" s="124">
        <f>+'Invullen groen'!AW327</f>
        <v/>
      </c>
      <c r="J317" s="124">
        <f>+'Invullen groen'!AX327</f>
        <v/>
      </c>
      <c r="K317" s="124">
        <f>+'Invullen groen'!AY327</f>
        <v/>
      </c>
      <c r="L317" s="124">
        <f>+'Invullen groen'!AZ327</f>
        <v/>
      </c>
      <c r="M317" s="124">
        <f>+'Invullen groen'!BA327</f>
        <v/>
      </c>
      <c r="N317" s="124">
        <f>+'Invullen groen'!BB327</f>
        <v/>
      </c>
      <c r="O317" s="124">
        <f>+'Invullen groen'!BC327</f>
        <v/>
      </c>
      <c r="P317" s="124">
        <f>+'Invullen groen'!BD327</f>
        <v/>
      </c>
    </row>
    <row r="318">
      <c r="A318" s="113">
        <f>+'Invullen groen'!A328</f>
        <v/>
      </c>
      <c r="B318" s="154">
        <f>+'Invullen groen'!C328</f>
        <v/>
      </c>
      <c r="C318" s="124">
        <f>+'Invullen groen'!G328</f>
        <v/>
      </c>
      <c r="D318" s="113">
        <f>+'Invullen groen'!M328</f>
        <v/>
      </c>
      <c r="E318" s="114">
        <f>+'Invullen groen'!H328</f>
        <v/>
      </c>
      <c r="F318" s="114">
        <f>+'Invullen groen'!I328</f>
        <v/>
      </c>
      <c r="G318" s="114">
        <f>+'Invullen groen'!J328</f>
        <v/>
      </c>
      <c r="H318" s="114">
        <f>+'Invullen groen'!K328</f>
        <v/>
      </c>
      <c r="I318" s="124">
        <f>+'Invullen groen'!AW328</f>
        <v/>
      </c>
      <c r="J318" s="124">
        <f>+'Invullen groen'!AX328</f>
        <v/>
      </c>
      <c r="K318" s="124">
        <f>+'Invullen groen'!AY328</f>
        <v/>
      </c>
      <c r="L318" s="124">
        <f>+'Invullen groen'!AZ328</f>
        <v/>
      </c>
      <c r="M318" s="124">
        <f>+'Invullen groen'!BA328</f>
        <v/>
      </c>
      <c r="N318" s="124">
        <f>+'Invullen groen'!BB328</f>
        <v/>
      </c>
      <c r="O318" s="124">
        <f>+'Invullen groen'!BC328</f>
        <v/>
      </c>
      <c r="P318" s="124">
        <f>+'Invullen groen'!BD328</f>
        <v/>
      </c>
    </row>
    <row r="319">
      <c r="A319" s="113">
        <f>+'Invullen groen'!A329</f>
        <v/>
      </c>
      <c r="B319" s="154">
        <f>+'Invullen groen'!C329</f>
        <v/>
      </c>
      <c r="C319" s="124">
        <f>+'Invullen groen'!G329</f>
        <v/>
      </c>
      <c r="D319" s="113">
        <f>+'Invullen groen'!M329</f>
        <v/>
      </c>
      <c r="E319" s="114">
        <f>+'Invullen groen'!H329</f>
        <v/>
      </c>
      <c r="F319" s="114">
        <f>+'Invullen groen'!I329</f>
        <v/>
      </c>
      <c r="G319" s="114">
        <f>+'Invullen groen'!J329</f>
        <v/>
      </c>
      <c r="H319" s="114">
        <f>+'Invullen groen'!K329</f>
        <v/>
      </c>
      <c r="I319" s="124">
        <f>+'Invullen groen'!AW329</f>
        <v/>
      </c>
      <c r="J319" s="124">
        <f>+'Invullen groen'!AX329</f>
        <v/>
      </c>
      <c r="K319" s="124">
        <f>+'Invullen groen'!AY329</f>
        <v/>
      </c>
      <c r="L319" s="124">
        <f>+'Invullen groen'!AZ329</f>
        <v/>
      </c>
      <c r="M319" s="124">
        <f>+'Invullen groen'!BA329</f>
        <v/>
      </c>
      <c r="N319" s="124">
        <f>+'Invullen groen'!BB329</f>
        <v/>
      </c>
      <c r="O319" s="124">
        <f>+'Invullen groen'!BC329</f>
        <v/>
      </c>
      <c r="P319" s="124">
        <f>+'Invullen groen'!BD329</f>
        <v/>
      </c>
    </row>
    <row r="320">
      <c r="A320" s="113">
        <f>+'Invullen groen'!A330</f>
        <v/>
      </c>
      <c r="B320" s="154">
        <f>+'Invullen groen'!C330</f>
        <v/>
      </c>
      <c r="C320" s="124">
        <f>+'Invullen groen'!G330</f>
        <v/>
      </c>
      <c r="D320" s="113">
        <f>+'Invullen groen'!M330</f>
        <v/>
      </c>
      <c r="E320" s="114">
        <f>+'Invullen groen'!H330</f>
        <v/>
      </c>
      <c r="F320" s="114">
        <f>+'Invullen groen'!I330</f>
        <v/>
      </c>
      <c r="G320" s="114">
        <f>+'Invullen groen'!J330</f>
        <v/>
      </c>
      <c r="H320" s="114">
        <f>+'Invullen groen'!K330</f>
        <v/>
      </c>
      <c r="I320" s="124">
        <f>+'Invullen groen'!AW330</f>
        <v/>
      </c>
      <c r="J320" s="124">
        <f>+'Invullen groen'!AX330</f>
        <v/>
      </c>
      <c r="K320" s="124">
        <f>+'Invullen groen'!AY330</f>
        <v/>
      </c>
      <c r="L320" s="124">
        <f>+'Invullen groen'!AZ330</f>
        <v/>
      </c>
      <c r="M320" s="124">
        <f>+'Invullen groen'!BA330</f>
        <v/>
      </c>
      <c r="N320" s="124">
        <f>+'Invullen groen'!BB330</f>
        <v/>
      </c>
      <c r="O320" s="124">
        <f>+'Invullen groen'!BC330</f>
        <v/>
      </c>
      <c r="P320" s="124">
        <f>+'Invullen groen'!BD330</f>
        <v/>
      </c>
    </row>
    <row r="321">
      <c r="A321" s="113">
        <f>+'Invullen groen'!A331</f>
        <v/>
      </c>
      <c r="B321" s="154">
        <f>+'Invullen groen'!C331</f>
        <v/>
      </c>
      <c r="C321" s="124">
        <f>+'Invullen groen'!G331</f>
        <v/>
      </c>
      <c r="D321" s="113">
        <f>+'Invullen groen'!M331</f>
        <v/>
      </c>
      <c r="E321" s="114">
        <f>+'Invullen groen'!H331</f>
        <v/>
      </c>
      <c r="F321" s="114">
        <f>+'Invullen groen'!I331</f>
        <v/>
      </c>
      <c r="G321" s="114">
        <f>+'Invullen groen'!J331</f>
        <v/>
      </c>
      <c r="H321" s="114">
        <f>+'Invullen groen'!K331</f>
        <v/>
      </c>
      <c r="I321" s="124">
        <f>+'Invullen groen'!AW331</f>
        <v/>
      </c>
      <c r="J321" s="124">
        <f>+'Invullen groen'!AX331</f>
        <v/>
      </c>
      <c r="K321" s="124">
        <f>+'Invullen groen'!AY331</f>
        <v/>
      </c>
      <c r="L321" s="124">
        <f>+'Invullen groen'!AZ331</f>
        <v/>
      </c>
      <c r="M321" s="124">
        <f>+'Invullen groen'!BA331</f>
        <v/>
      </c>
      <c r="N321" s="124">
        <f>+'Invullen groen'!BB331</f>
        <v/>
      </c>
      <c r="O321" s="124">
        <f>+'Invullen groen'!BC331</f>
        <v/>
      </c>
      <c r="P321" s="124">
        <f>+'Invullen groen'!BD331</f>
        <v/>
      </c>
    </row>
    <row r="322">
      <c r="A322" s="113">
        <f>+'Invullen groen'!A332</f>
        <v/>
      </c>
      <c r="B322" s="154">
        <f>+'Invullen groen'!C332</f>
        <v/>
      </c>
      <c r="C322" s="124">
        <f>+'Invullen groen'!G332</f>
        <v/>
      </c>
      <c r="D322" s="113">
        <f>+'Invullen groen'!M332</f>
        <v/>
      </c>
      <c r="E322" s="114">
        <f>+'Invullen groen'!H332</f>
        <v/>
      </c>
      <c r="F322" s="114">
        <f>+'Invullen groen'!I332</f>
        <v/>
      </c>
      <c r="G322" s="114">
        <f>+'Invullen groen'!J332</f>
        <v/>
      </c>
      <c r="H322" s="114">
        <f>+'Invullen groen'!K332</f>
        <v/>
      </c>
      <c r="I322" s="124">
        <f>+'Invullen groen'!AW332</f>
        <v/>
      </c>
      <c r="J322" s="124">
        <f>+'Invullen groen'!AX332</f>
        <v/>
      </c>
      <c r="K322" s="124">
        <f>+'Invullen groen'!AY332</f>
        <v/>
      </c>
      <c r="L322" s="124">
        <f>+'Invullen groen'!AZ332</f>
        <v/>
      </c>
      <c r="M322" s="124">
        <f>+'Invullen groen'!BA332</f>
        <v/>
      </c>
      <c r="N322" s="124">
        <f>+'Invullen groen'!BB332</f>
        <v/>
      </c>
      <c r="O322" s="124">
        <f>+'Invullen groen'!BC332</f>
        <v/>
      </c>
      <c r="P322" s="124">
        <f>+'Invullen groen'!BD332</f>
        <v/>
      </c>
    </row>
    <row r="323">
      <c r="A323" s="113">
        <f>+'Invullen groen'!A333</f>
        <v/>
      </c>
      <c r="B323" s="154">
        <f>+'Invullen groen'!C333</f>
        <v/>
      </c>
      <c r="C323" s="124">
        <f>+'Invullen groen'!G333</f>
        <v/>
      </c>
      <c r="D323" s="113">
        <f>+'Invullen groen'!M333</f>
        <v/>
      </c>
      <c r="E323" s="114">
        <f>+'Invullen groen'!H333</f>
        <v/>
      </c>
      <c r="F323" s="114">
        <f>+'Invullen groen'!I333</f>
        <v/>
      </c>
      <c r="G323" s="114">
        <f>+'Invullen groen'!J333</f>
        <v/>
      </c>
      <c r="H323" s="114">
        <f>+'Invullen groen'!K333</f>
        <v/>
      </c>
      <c r="I323" s="124">
        <f>+'Invullen groen'!AW333</f>
        <v/>
      </c>
      <c r="J323" s="124">
        <f>+'Invullen groen'!AX333</f>
        <v/>
      </c>
      <c r="K323" s="124">
        <f>+'Invullen groen'!AY333</f>
        <v/>
      </c>
      <c r="L323" s="124">
        <f>+'Invullen groen'!AZ333</f>
        <v/>
      </c>
      <c r="M323" s="124">
        <f>+'Invullen groen'!BA333</f>
        <v/>
      </c>
      <c r="N323" s="124">
        <f>+'Invullen groen'!BB333</f>
        <v/>
      </c>
      <c r="O323" s="124">
        <f>+'Invullen groen'!BC333</f>
        <v/>
      </c>
      <c r="P323" s="124">
        <f>+'Invullen groen'!BD333</f>
        <v/>
      </c>
    </row>
    <row r="324">
      <c r="A324" s="113">
        <f>+'Invullen groen'!A334</f>
        <v/>
      </c>
      <c r="B324" s="154">
        <f>+'Invullen groen'!C334</f>
        <v/>
      </c>
      <c r="C324" s="124">
        <f>+'Invullen groen'!G334</f>
        <v/>
      </c>
      <c r="D324" s="113">
        <f>+'Invullen groen'!M334</f>
        <v/>
      </c>
      <c r="E324" s="114">
        <f>+'Invullen groen'!H334</f>
        <v/>
      </c>
      <c r="F324" s="114">
        <f>+'Invullen groen'!I334</f>
        <v/>
      </c>
      <c r="G324" s="114">
        <f>+'Invullen groen'!J334</f>
        <v/>
      </c>
      <c r="H324" s="114">
        <f>+'Invullen groen'!K334</f>
        <v/>
      </c>
      <c r="I324" s="124">
        <f>+'Invullen groen'!AW334</f>
        <v/>
      </c>
      <c r="J324" s="124">
        <f>+'Invullen groen'!AX334</f>
        <v/>
      </c>
      <c r="K324" s="124">
        <f>+'Invullen groen'!AY334</f>
        <v/>
      </c>
      <c r="L324" s="124">
        <f>+'Invullen groen'!AZ334</f>
        <v/>
      </c>
      <c r="M324" s="124">
        <f>+'Invullen groen'!BA334</f>
        <v/>
      </c>
      <c r="N324" s="124">
        <f>+'Invullen groen'!BB334</f>
        <v/>
      </c>
      <c r="O324" s="124">
        <f>+'Invullen groen'!BC334</f>
        <v/>
      </c>
      <c r="P324" s="124">
        <f>+'Invullen groen'!BD334</f>
        <v/>
      </c>
    </row>
    <row r="325">
      <c r="A325" s="113">
        <f>+'Invullen groen'!A335</f>
        <v/>
      </c>
      <c r="B325" s="154">
        <f>+'Invullen groen'!C335</f>
        <v/>
      </c>
      <c r="C325" s="124">
        <f>+'Invullen groen'!G335</f>
        <v/>
      </c>
      <c r="D325" s="113">
        <f>+'Invullen groen'!M335</f>
        <v/>
      </c>
      <c r="E325" s="114">
        <f>+'Invullen groen'!H335</f>
        <v/>
      </c>
      <c r="F325" s="114">
        <f>+'Invullen groen'!I335</f>
        <v/>
      </c>
      <c r="G325" s="114">
        <f>+'Invullen groen'!J335</f>
        <v/>
      </c>
      <c r="H325" s="114">
        <f>+'Invullen groen'!K335</f>
        <v/>
      </c>
      <c r="I325" s="124">
        <f>+'Invullen groen'!AW335</f>
        <v/>
      </c>
      <c r="J325" s="124">
        <f>+'Invullen groen'!AX335</f>
        <v/>
      </c>
      <c r="K325" s="124">
        <f>+'Invullen groen'!AY335</f>
        <v/>
      </c>
      <c r="L325" s="124">
        <f>+'Invullen groen'!AZ335</f>
        <v/>
      </c>
      <c r="M325" s="124">
        <f>+'Invullen groen'!BA335</f>
        <v/>
      </c>
      <c r="N325" s="124">
        <f>+'Invullen groen'!BB335</f>
        <v/>
      </c>
      <c r="O325" s="124">
        <f>+'Invullen groen'!BC335</f>
        <v/>
      </c>
      <c r="P325" s="124">
        <f>+'Invullen groen'!BD335</f>
        <v/>
      </c>
    </row>
    <row r="326">
      <c r="A326" s="113">
        <f>+'Invullen groen'!A336</f>
        <v/>
      </c>
      <c r="B326" s="154">
        <f>+'Invullen groen'!C336</f>
        <v/>
      </c>
      <c r="C326" s="124">
        <f>+'Invullen groen'!G336</f>
        <v/>
      </c>
      <c r="D326" s="113">
        <f>+'Invullen groen'!M336</f>
        <v/>
      </c>
      <c r="E326" s="114">
        <f>+'Invullen groen'!H336</f>
        <v/>
      </c>
      <c r="F326" s="114">
        <f>+'Invullen groen'!I336</f>
        <v/>
      </c>
      <c r="G326" s="114">
        <f>+'Invullen groen'!J336</f>
        <v/>
      </c>
      <c r="H326" s="114">
        <f>+'Invullen groen'!K336</f>
        <v/>
      </c>
      <c r="I326" s="124">
        <f>+'Invullen groen'!AW336</f>
        <v/>
      </c>
      <c r="J326" s="124">
        <f>+'Invullen groen'!AX336</f>
        <v/>
      </c>
      <c r="K326" s="124">
        <f>+'Invullen groen'!AY336</f>
        <v/>
      </c>
      <c r="L326" s="124">
        <f>+'Invullen groen'!AZ336</f>
        <v/>
      </c>
      <c r="M326" s="124">
        <f>+'Invullen groen'!BA336</f>
        <v/>
      </c>
      <c r="N326" s="124">
        <f>+'Invullen groen'!BB336</f>
        <v/>
      </c>
      <c r="O326" s="124">
        <f>+'Invullen groen'!BC336</f>
        <v/>
      </c>
      <c r="P326" s="124">
        <f>+'Invullen groen'!BD336</f>
        <v/>
      </c>
    </row>
    <row r="327">
      <c r="A327" s="113">
        <f>+'Invullen groen'!A337</f>
        <v/>
      </c>
      <c r="B327" s="154">
        <f>+'Invullen groen'!C337</f>
        <v/>
      </c>
      <c r="C327" s="124">
        <f>+'Invullen groen'!G337</f>
        <v/>
      </c>
      <c r="D327" s="113">
        <f>+'Invullen groen'!M337</f>
        <v/>
      </c>
      <c r="E327" s="114">
        <f>+'Invullen groen'!H337</f>
        <v/>
      </c>
      <c r="F327" s="114">
        <f>+'Invullen groen'!I337</f>
        <v/>
      </c>
      <c r="G327" s="114">
        <f>+'Invullen groen'!J337</f>
        <v/>
      </c>
      <c r="H327" s="114">
        <f>+'Invullen groen'!K337</f>
        <v/>
      </c>
      <c r="I327" s="124">
        <f>+'Invullen groen'!AW337</f>
        <v/>
      </c>
      <c r="J327" s="124">
        <f>+'Invullen groen'!AX337</f>
        <v/>
      </c>
      <c r="K327" s="124">
        <f>+'Invullen groen'!AY337</f>
        <v/>
      </c>
      <c r="L327" s="124">
        <f>+'Invullen groen'!AZ337</f>
        <v/>
      </c>
      <c r="M327" s="124">
        <f>+'Invullen groen'!BA337</f>
        <v/>
      </c>
      <c r="N327" s="124">
        <f>+'Invullen groen'!BB337</f>
        <v/>
      </c>
      <c r="O327" s="124">
        <f>+'Invullen groen'!BC337</f>
        <v/>
      </c>
      <c r="P327" s="124">
        <f>+'Invullen groen'!BD337</f>
        <v/>
      </c>
    </row>
    <row r="328">
      <c r="A328" s="113">
        <f>+'Invullen groen'!A338</f>
        <v/>
      </c>
      <c r="B328" s="154">
        <f>+'Invullen groen'!C338</f>
        <v/>
      </c>
      <c r="C328" s="124">
        <f>+'Invullen groen'!G338</f>
        <v/>
      </c>
      <c r="D328" s="113">
        <f>+'Invullen groen'!M338</f>
        <v/>
      </c>
      <c r="E328" s="114">
        <f>+'Invullen groen'!H338</f>
        <v/>
      </c>
      <c r="F328" s="114">
        <f>+'Invullen groen'!I338</f>
        <v/>
      </c>
      <c r="G328" s="114">
        <f>+'Invullen groen'!J338</f>
        <v/>
      </c>
      <c r="H328" s="114">
        <f>+'Invullen groen'!K338</f>
        <v/>
      </c>
      <c r="I328" s="124">
        <f>+'Invullen groen'!AW338</f>
        <v/>
      </c>
      <c r="J328" s="124">
        <f>+'Invullen groen'!AX338</f>
        <v/>
      </c>
      <c r="K328" s="124">
        <f>+'Invullen groen'!AY338</f>
        <v/>
      </c>
      <c r="L328" s="124">
        <f>+'Invullen groen'!AZ338</f>
        <v/>
      </c>
      <c r="M328" s="124">
        <f>+'Invullen groen'!BA338</f>
        <v/>
      </c>
      <c r="N328" s="124">
        <f>+'Invullen groen'!BB338</f>
        <v/>
      </c>
      <c r="O328" s="124">
        <f>+'Invullen groen'!BC338</f>
        <v/>
      </c>
      <c r="P328" s="124">
        <f>+'Invullen groen'!BD338</f>
        <v/>
      </c>
    </row>
    <row r="329">
      <c r="A329" s="113">
        <f>+'Invullen groen'!A339</f>
        <v/>
      </c>
      <c r="B329" s="154">
        <f>+'Invullen groen'!C339</f>
        <v/>
      </c>
      <c r="C329" s="124">
        <f>+'Invullen groen'!G339</f>
        <v/>
      </c>
      <c r="D329" s="113">
        <f>+'Invullen groen'!M339</f>
        <v/>
      </c>
      <c r="E329" s="114">
        <f>+'Invullen groen'!H339</f>
        <v/>
      </c>
      <c r="F329" s="114">
        <f>+'Invullen groen'!I339</f>
        <v/>
      </c>
      <c r="G329" s="114">
        <f>+'Invullen groen'!J339</f>
        <v/>
      </c>
      <c r="H329" s="114">
        <f>+'Invullen groen'!K339</f>
        <v/>
      </c>
      <c r="I329" s="124">
        <f>+'Invullen groen'!AW339</f>
        <v/>
      </c>
      <c r="J329" s="124">
        <f>+'Invullen groen'!AX339</f>
        <v/>
      </c>
      <c r="K329" s="124">
        <f>+'Invullen groen'!AY339</f>
        <v/>
      </c>
      <c r="L329" s="124">
        <f>+'Invullen groen'!AZ339</f>
        <v/>
      </c>
      <c r="M329" s="124">
        <f>+'Invullen groen'!BA339</f>
        <v/>
      </c>
      <c r="N329" s="124">
        <f>+'Invullen groen'!BB339</f>
        <v/>
      </c>
      <c r="O329" s="124">
        <f>+'Invullen groen'!BC339</f>
        <v/>
      </c>
      <c r="P329" s="124">
        <f>+'Invullen groen'!BD339</f>
        <v/>
      </c>
    </row>
    <row r="330">
      <c r="A330" s="113">
        <f>+'Invullen groen'!A340</f>
        <v/>
      </c>
      <c r="B330" s="154">
        <f>+'Invullen groen'!C340</f>
        <v/>
      </c>
      <c r="C330" s="124">
        <f>+'Invullen groen'!G340</f>
        <v/>
      </c>
      <c r="D330" s="113">
        <f>+'Invullen groen'!M340</f>
        <v/>
      </c>
      <c r="E330" s="114">
        <f>+'Invullen groen'!H340</f>
        <v/>
      </c>
      <c r="F330" s="114">
        <f>+'Invullen groen'!I340</f>
        <v/>
      </c>
      <c r="G330" s="114">
        <f>+'Invullen groen'!J340</f>
        <v/>
      </c>
      <c r="H330" s="114">
        <f>+'Invullen groen'!K340</f>
        <v/>
      </c>
      <c r="I330" s="124">
        <f>+'Invullen groen'!AW340</f>
        <v/>
      </c>
      <c r="J330" s="124">
        <f>+'Invullen groen'!AX340</f>
        <v/>
      </c>
      <c r="K330" s="124">
        <f>+'Invullen groen'!AY340</f>
        <v/>
      </c>
      <c r="L330" s="124">
        <f>+'Invullen groen'!AZ340</f>
        <v/>
      </c>
      <c r="M330" s="124">
        <f>+'Invullen groen'!BA340</f>
        <v/>
      </c>
      <c r="N330" s="124">
        <f>+'Invullen groen'!BB340</f>
        <v/>
      </c>
      <c r="O330" s="124">
        <f>+'Invullen groen'!BC340</f>
        <v/>
      </c>
      <c r="P330" s="124">
        <f>+'Invullen groen'!BD340</f>
        <v/>
      </c>
    </row>
    <row r="331">
      <c r="A331" s="113">
        <f>+'Invullen groen'!A341</f>
        <v/>
      </c>
      <c r="B331" s="154">
        <f>+'Invullen groen'!C341</f>
        <v/>
      </c>
      <c r="C331" s="124">
        <f>+'Invullen groen'!G341</f>
        <v/>
      </c>
      <c r="D331" s="113">
        <f>+'Invullen groen'!M341</f>
        <v/>
      </c>
      <c r="E331" s="114">
        <f>+'Invullen groen'!H341</f>
        <v/>
      </c>
      <c r="F331" s="114">
        <f>+'Invullen groen'!I341</f>
        <v/>
      </c>
      <c r="G331" s="114">
        <f>+'Invullen groen'!J341</f>
        <v/>
      </c>
      <c r="H331" s="114">
        <f>+'Invullen groen'!K341</f>
        <v/>
      </c>
      <c r="I331" s="124">
        <f>+'Invullen groen'!AW341</f>
        <v/>
      </c>
      <c r="J331" s="124">
        <f>+'Invullen groen'!AX341</f>
        <v/>
      </c>
      <c r="K331" s="124">
        <f>+'Invullen groen'!AY341</f>
        <v/>
      </c>
      <c r="L331" s="124">
        <f>+'Invullen groen'!AZ341</f>
        <v/>
      </c>
      <c r="M331" s="124">
        <f>+'Invullen groen'!BA341</f>
        <v/>
      </c>
      <c r="N331" s="124">
        <f>+'Invullen groen'!BB341</f>
        <v/>
      </c>
      <c r="O331" s="124">
        <f>+'Invullen groen'!BC341</f>
        <v/>
      </c>
      <c r="P331" s="124">
        <f>+'Invullen groen'!BD341</f>
        <v/>
      </c>
    </row>
    <row r="332">
      <c r="A332" s="113">
        <f>+'Invullen groen'!A342</f>
        <v/>
      </c>
      <c r="B332" s="154">
        <f>+'Invullen groen'!C342</f>
        <v/>
      </c>
      <c r="C332" s="124">
        <f>+'Invullen groen'!G342</f>
        <v/>
      </c>
      <c r="D332" s="113">
        <f>+'Invullen groen'!M342</f>
        <v/>
      </c>
      <c r="E332" s="114">
        <f>+'Invullen groen'!H342</f>
        <v/>
      </c>
      <c r="F332" s="114">
        <f>+'Invullen groen'!I342</f>
        <v/>
      </c>
      <c r="G332" s="114">
        <f>+'Invullen groen'!J342</f>
        <v/>
      </c>
      <c r="H332" s="114">
        <f>+'Invullen groen'!K342</f>
        <v/>
      </c>
      <c r="I332" s="124">
        <f>+'Invullen groen'!AW342</f>
        <v/>
      </c>
      <c r="J332" s="124">
        <f>+'Invullen groen'!AX342</f>
        <v/>
      </c>
      <c r="K332" s="124">
        <f>+'Invullen groen'!AY342</f>
        <v/>
      </c>
      <c r="L332" s="124">
        <f>+'Invullen groen'!AZ342</f>
        <v/>
      </c>
      <c r="M332" s="124">
        <f>+'Invullen groen'!BA342</f>
        <v/>
      </c>
      <c r="N332" s="124">
        <f>+'Invullen groen'!BB342</f>
        <v/>
      </c>
      <c r="O332" s="124">
        <f>+'Invullen groen'!BC342</f>
        <v/>
      </c>
      <c r="P332" s="124">
        <f>+'Invullen groen'!BD342</f>
        <v/>
      </c>
    </row>
    <row r="333">
      <c r="A333" s="113">
        <f>+'Invullen groen'!A343</f>
        <v/>
      </c>
      <c r="B333" s="154">
        <f>+'Invullen groen'!C343</f>
        <v/>
      </c>
      <c r="C333" s="124">
        <f>+'Invullen groen'!G343</f>
        <v/>
      </c>
      <c r="D333" s="113">
        <f>+'Invullen groen'!M343</f>
        <v/>
      </c>
      <c r="E333" s="114">
        <f>+'Invullen groen'!H343</f>
        <v/>
      </c>
      <c r="F333" s="114">
        <f>+'Invullen groen'!I343</f>
        <v/>
      </c>
      <c r="G333" s="114">
        <f>+'Invullen groen'!J343</f>
        <v/>
      </c>
      <c r="H333" s="114">
        <f>+'Invullen groen'!K343</f>
        <v/>
      </c>
      <c r="I333" s="124">
        <f>+'Invullen groen'!AW343</f>
        <v/>
      </c>
      <c r="J333" s="124">
        <f>+'Invullen groen'!AX343</f>
        <v/>
      </c>
      <c r="K333" s="124">
        <f>+'Invullen groen'!AY343</f>
        <v/>
      </c>
      <c r="L333" s="124">
        <f>+'Invullen groen'!AZ343</f>
        <v/>
      </c>
      <c r="M333" s="124">
        <f>+'Invullen groen'!BA343</f>
        <v/>
      </c>
      <c r="N333" s="124">
        <f>+'Invullen groen'!BB343</f>
        <v/>
      </c>
      <c r="O333" s="124">
        <f>+'Invullen groen'!BC343</f>
        <v/>
      </c>
      <c r="P333" s="124">
        <f>+'Invullen groen'!BD343</f>
        <v/>
      </c>
    </row>
    <row r="334">
      <c r="A334" s="113">
        <f>+'Invullen groen'!A344</f>
        <v/>
      </c>
      <c r="B334" s="154">
        <f>+'Invullen groen'!C344</f>
        <v/>
      </c>
      <c r="C334" s="124">
        <f>+'Invullen groen'!G344</f>
        <v/>
      </c>
      <c r="D334" s="113">
        <f>+'Invullen groen'!M344</f>
        <v/>
      </c>
      <c r="E334" s="114">
        <f>+'Invullen groen'!H344</f>
        <v/>
      </c>
      <c r="F334" s="114">
        <f>+'Invullen groen'!I344</f>
        <v/>
      </c>
      <c r="G334" s="114">
        <f>+'Invullen groen'!J344</f>
        <v/>
      </c>
      <c r="H334" s="114">
        <f>+'Invullen groen'!K344</f>
        <v/>
      </c>
      <c r="I334" s="124">
        <f>+'Invullen groen'!AW344</f>
        <v/>
      </c>
      <c r="J334" s="124">
        <f>+'Invullen groen'!AX344</f>
        <v/>
      </c>
      <c r="K334" s="124">
        <f>+'Invullen groen'!AY344</f>
        <v/>
      </c>
      <c r="L334" s="124">
        <f>+'Invullen groen'!AZ344</f>
        <v/>
      </c>
      <c r="M334" s="124">
        <f>+'Invullen groen'!BA344</f>
        <v/>
      </c>
      <c r="N334" s="124">
        <f>+'Invullen groen'!BB344</f>
        <v/>
      </c>
      <c r="O334" s="124">
        <f>+'Invullen groen'!BC344</f>
        <v/>
      </c>
      <c r="P334" s="124">
        <f>+'Invullen groen'!BD344</f>
        <v/>
      </c>
    </row>
    <row r="335">
      <c r="A335" s="113">
        <f>+'Invullen groen'!A345</f>
        <v/>
      </c>
      <c r="B335" s="154">
        <f>+'Invullen groen'!C345</f>
        <v/>
      </c>
      <c r="C335" s="124">
        <f>+'Invullen groen'!G345</f>
        <v/>
      </c>
      <c r="D335" s="113">
        <f>+'Invullen groen'!M345</f>
        <v/>
      </c>
      <c r="E335" s="114">
        <f>+'Invullen groen'!H345</f>
        <v/>
      </c>
      <c r="F335" s="114">
        <f>+'Invullen groen'!I345</f>
        <v/>
      </c>
      <c r="G335" s="114">
        <f>+'Invullen groen'!J345</f>
        <v/>
      </c>
      <c r="H335" s="114">
        <f>+'Invullen groen'!K345</f>
        <v/>
      </c>
      <c r="I335" s="124">
        <f>+'Invullen groen'!AW345</f>
        <v/>
      </c>
      <c r="J335" s="124">
        <f>+'Invullen groen'!AX345</f>
        <v/>
      </c>
      <c r="K335" s="124">
        <f>+'Invullen groen'!AY345</f>
        <v/>
      </c>
      <c r="L335" s="124">
        <f>+'Invullen groen'!AZ345</f>
        <v/>
      </c>
      <c r="M335" s="124">
        <f>+'Invullen groen'!BA345</f>
        <v/>
      </c>
      <c r="N335" s="124">
        <f>+'Invullen groen'!BB345</f>
        <v/>
      </c>
      <c r="O335" s="124">
        <f>+'Invullen groen'!BC345</f>
        <v/>
      </c>
      <c r="P335" s="124">
        <f>+'Invullen groen'!BD345</f>
        <v/>
      </c>
    </row>
    <row r="336">
      <c r="A336" s="113">
        <f>+'Invullen groen'!A346</f>
        <v/>
      </c>
      <c r="B336" s="154">
        <f>+'Invullen groen'!C346</f>
        <v/>
      </c>
      <c r="C336" s="124">
        <f>+'Invullen groen'!G346</f>
        <v/>
      </c>
      <c r="D336" s="113">
        <f>+'Invullen groen'!M346</f>
        <v/>
      </c>
      <c r="E336" s="114">
        <f>+'Invullen groen'!H346</f>
        <v/>
      </c>
      <c r="F336" s="114">
        <f>+'Invullen groen'!I346</f>
        <v/>
      </c>
      <c r="G336" s="114">
        <f>+'Invullen groen'!J346</f>
        <v/>
      </c>
      <c r="H336" s="114">
        <f>+'Invullen groen'!K346</f>
        <v/>
      </c>
      <c r="I336" s="124">
        <f>+'Invullen groen'!AW346</f>
        <v/>
      </c>
      <c r="J336" s="124">
        <f>+'Invullen groen'!AX346</f>
        <v/>
      </c>
      <c r="K336" s="124">
        <f>+'Invullen groen'!AY346</f>
        <v/>
      </c>
      <c r="L336" s="124">
        <f>+'Invullen groen'!AZ346</f>
        <v/>
      </c>
      <c r="M336" s="124">
        <f>+'Invullen groen'!BA346</f>
        <v/>
      </c>
      <c r="N336" s="124">
        <f>+'Invullen groen'!BB346</f>
        <v/>
      </c>
      <c r="O336" s="124">
        <f>+'Invullen groen'!BC346</f>
        <v/>
      </c>
      <c r="P336" s="124">
        <f>+'Invullen groen'!BD346</f>
        <v/>
      </c>
    </row>
    <row r="337">
      <c r="A337" s="113">
        <f>+'Invullen groen'!A347</f>
        <v/>
      </c>
      <c r="B337" s="154">
        <f>+'Invullen groen'!C347</f>
        <v/>
      </c>
      <c r="C337" s="124">
        <f>+'Invullen groen'!G347</f>
        <v/>
      </c>
      <c r="D337" s="113">
        <f>+'Invullen groen'!M347</f>
        <v/>
      </c>
      <c r="E337" s="114">
        <f>+'Invullen groen'!H347</f>
        <v/>
      </c>
      <c r="F337" s="114">
        <f>+'Invullen groen'!I347</f>
        <v/>
      </c>
      <c r="G337" s="114">
        <f>+'Invullen groen'!J347</f>
        <v/>
      </c>
      <c r="H337" s="114">
        <f>+'Invullen groen'!K347</f>
        <v/>
      </c>
      <c r="I337" s="124">
        <f>+'Invullen groen'!AW347</f>
        <v/>
      </c>
      <c r="J337" s="124">
        <f>+'Invullen groen'!AX347</f>
        <v/>
      </c>
      <c r="K337" s="124">
        <f>+'Invullen groen'!AY347</f>
        <v/>
      </c>
      <c r="L337" s="124">
        <f>+'Invullen groen'!AZ347</f>
        <v/>
      </c>
      <c r="M337" s="124">
        <f>+'Invullen groen'!BA347</f>
        <v/>
      </c>
      <c r="N337" s="124">
        <f>+'Invullen groen'!BB347</f>
        <v/>
      </c>
      <c r="O337" s="124">
        <f>+'Invullen groen'!BC347</f>
        <v/>
      </c>
      <c r="P337" s="124">
        <f>+'Invullen groen'!BD347</f>
        <v/>
      </c>
    </row>
    <row r="338">
      <c r="A338" s="113">
        <f>+'Invullen groen'!A348</f>
        <v/>
      </c>
      <c r="B338" s="154">
        <f>+'Invullen groen'!C348</f>
        <v/>
      </c>
      <c r="C338" s="124">
        <f>+'Invullen groen'!G348</f>
        <v/>
      </c>
      <c r="D338" s="113">
        <f>+'Invullen groen'!M348</f>
        <v/>
      </c>
      <c r="E338" s="114">
        <f>+'Invullen groen'!H348</f>
        <v/>
      </c>
      <c r="F338" s="114">
        <f>+'Invullen groen'!I348</f>
        <v/>
      </c>
      <c r="G338" s="114">
        <f>+'Invullen groen'!J348</f>
        <v/>
      </c>
      <c r="H338" s="114">
        <f>+'Invullen groen'!K348</f>
        <v/>
      </c>
      <c r="I338" s="124">
        <f>+'Invullen groen'!AW348</f>
        <v/>
      </c>
      <c r="J338" s="124">
        <f>+'Invullen groen'!AX348</f>
        <v/>
      </c>
      <c r="K338" s="124">
        <f>+'Invullen groen'!AY348</f>
        <v/>
      </c>
      <c r="L338" s="124">
        <f>+'Invullen groen'!AZ348</f>
        <v/>
      </c>
      <c r="M338" s="124">
        <f>+'Invullen groen'!BA348</f>
        <v/>
      </c>
      <c r="N338" s="124">
        <f>+'Invullen groen'!BB348</f>
        <v/>
      </c>
      <c r="O338" s="124">
        <f>+'Invullen groen'!BC348</f>
        <v/>
      </c>
      <c r="P338" s="124">
        <f>+'Invullen groen'!BD348</f>
        <v/>
      </c>
    </row>
    <row r="339">
      <c r="A339" s="113">
        <f>+'Invullen groen'!A349</f>
        <v/>
      </c>
      <c r="B339" s="154">
        <f>+'Invullen groen'!C349</f>
        <v/>
      </c>
      <c r="C339" s="124">
        <f>+'Invullen groen'!G349</f>
        <v/>
      </c>
      <c r="D339" s="113">
        <f>+'Invullen groen'!M349</f>
        <v/>
      </c>
      <c r="E339" s="114">
        <f>+'Invullen groen'!H349</f>
        <v/>
      </c>
      <c r="F339" s="114">
        <f>+'Invullen groen'!I349</f>
        <v/>
      </c>
      <c r="G339" s="114">
        <f>+'Invullen groen'!J349</f>
        <v/>
      </c>
      <c r="H339" s="114">
        <f>+'Invullen groen'!K349</f>
        <v/>
      </c>
      <c r="I339" s="124">
        <f>+'Invullen groen'!AW349</f>
        <v/>
      </c>
      <c r="J339" s="124">
        <f>+'Invullen groen'!AX349</f>
        <v/>
      </c>
      <c r="K339" s="124">
        <f>+'Invullen groen'!AY349</f>
        <v/>
      </c>
      <c r="L339" s="124">
        <f>+'Invullen groen'!AZ349</f>
        <v/>
      </c>
      <c r="M339" s="124">
        <f>+'Invullen groen'!BA349</f>
        <v/>
      </c>
      <c r="N339" s="124">
        <f>+'Invullen groen'!BB349</f>
        <v/>
      </c>
      <c r="O339" s="124">
        <f>+'Invullen groen'!BC349</f>
        <v/>
      </c>
      <c r="P339" s="124">
        <f>+'Invullen groen'!BD349</f>
        <v/>
      </c>
    </row>
    <row r="340">
      <c r="A340" s="113">
        <f>+'Invullen groen'!A350</f>
        <v/>
      </c>
      <c r="B340" s="154">
        <f>+'Invullen groen'!C350</f>
        <v/>
      </c>
      <c r="C340" s="124">
        <f>+'Invullen groen'!G350</f>
        <v/>
      </c>
      <c r="D340" s="113">
        <f>+'Invullen groen'!M350</f>
        <v/>
      </c>
      <c r="E340" s="114">
        <f>+'Invullen groen'!H350</f>
        <v/>
      </c>
      <c r="F340" s="114">
        <f>+'Invullen groen'!I350</f>
        <v/>
      </c>
      <c r="G340" s="114">
        <f>+'Invullen groen'!J350</f>
        <v/>
      </c>
      <c r="H340" s="114">
        <f>+'Invullen groen'!K350</f>
        <v/>
      </c>
      <c r="I340" s="124">
        <f>+'Invullen groen'!AW350</f>
        <v/>
      </c>
      <c r="J340" s="124">
        <f>+'Invullen groen'!AX350</f>
        <v/>
      </c>
      <c r="K340" s="124">
        <f>+'Invullen groen'!AY350</f>
        <v/>
      </c>
      <c r="L340" s="124">
        <f>+'Invullen groen'!AZ350</f>
        <v/>
      </c>
      <c r="M340" s="124">
        <f>+'Invullen groen'!BA350</f>
        <v/>
      </c>
      <c r="N340" s="124">
        <f>+'Invullen groen'!BB350</f>
        <v/>
      </c>
      <c r="O340" s="124">
        <f>+'Invullen groen'!BC350</f>
        <v/>
      </c>
      <c r="P340" s="124">
        <f>+'Invullen groen'!BD350</f>
        <v/>
      </c>
    </row>
    <row r="341">
      <c r="A341" s="113">
        <f>+'Invullen groen'!A351</f>
        <v/>
      </c>
      <c r="B341" s="154">
        <f>+'Invullen groen'!C351</f>
        <v/>
      </c>
      <c r="C341" s="124">
        <f>+'Invullen groen'!G351</f>
        <v/>
      </c>
      <c r="D341" s="113">
        <f>+'Invullen groen'!M351</f>
        <v/>
      </c>
      <c r="E341" s="114">
        <f>+'Invullen groen'!H351</f>
        <v/>
      </c>
      <c r="F341" s="114">
        <f>+'Invullen groen'!I351</f>
        <v/>
      </c>
      <c r="G341" s="114">
        <f>+'Invullen groen'!J351</f>
        <v/>
      </c>
      <c r="H341" s="114">
        <f>+'Invullen groen'!K351</f>
        <v/>
      </c>
      <c r="I341" s="124">
        <f>+'Invullen groen'!AW351</f>
        <v/>
      </c>
      <c r="J341" s="124">
        <f>+'Invullen groen'!AX351</f>
        <v/>
      </c>
      <c r="K341" s="124">
        <f>+'Invullen groen'!AY351</f>
        <v/>
      </c>
      <c r="L341" s="124">
        <f>+'Invullen groen'!AZ351</f>
        <v/>
      </c>
      <c r="M341" s="124">
        <f>+'Invullen groen'!BA351</f>
        <v/>
      </c>
      <c r="N341" s="124">
        <f>+'Invullen groen'!BB351</f>
        <v/>
      </c>
      <c r="O341" s="124">
        <f>+'Invullen groen'!BC351</f>
        <v/>
      </c>
      <c r="P341" s="124">
        <f>+'Invullen groen'!BD351</f>
        <v/>
      </c>
    </row>
    <row r="342">
      <c r="A342" s="113">
        <f>+'Invullen groen'!A352</f>
        <v/>
      </c>
      <c r="B342" s="154">
        <f>+'Invullen groen'!C352</f>
        <v/>
      </c>
      <c r="C342" s="124">
        <f>+'Invullen groen'!G352</f>
        <v/>
      </c>
      <c r="D342" s="113">
        <f>+'Invullen groen'!M352</f>
        <v/>
      </c>
      <c r="E342" s="114">
        <f>+'Invullen groen'!H352</f>
        <v/>
      </c>
      <c r="F342" s="114">
        <f>+'Invullen groen'!I352</f>
        <v/>
      </c>
      <c r="G342" s="114">
        <f>+'Invullen groen'!J352</f>
        <v/>
      </c>
      <c r="H342" s="114">
        <f>+'Invullen groen'!K352</f>
        <v/>
      </c>
      <c r="I342" s="124">
        <f>+'Invullen groen'!AW352</f>
        <v/>
      </c>
      <c r="J342" s="124">
        <f>+'Invullen groen'!AX352</f>
        <v/>
      </c>
      <c r="K342" s="124">
        <f>+'Invullen groen'!AY352</f>
        <v/>
      </c>
      <c r="L342" s="124">
        <f>+'Invullen groen'!AZ352</f>
        <v/>
      </c>
      <c r="M342" s="124">
        <f>+'Invullen groen'!BA352</f>
        <v/>
      </c>
      <c r="N342" s="124">
        <f>+'Invullen groen'!BB352</f>
        <v/>
      </c>
      <c r="O342" s="124">
        <f>+'Invullen groen'!BC352</f>
        <v/>
      </c>
      <c r="P342" s="124">
        <f>+'Invullen groen'!BD352</f>
        <v/>
      </c>
    </row>
    <row r="343">
      <c r="A343" s="113">
        <f>+'Invullen groen'!A353</f>
        <v/>
      </c>
      <c r="B343" s="154">
        <f>+'Invullen groen'!C353</f>
        <v/>
      </c>
      <c r="C343" s="124">
        <f>+'Invullen groen'!G353</f>
        <v/>
      </c>
      <c r="D343" s="113">
        <f>+'Invullen groen'!M353</f>
        <v/>
      </c>
      <c r="E343" s="114">
        <f>+'Invullen groen'!H353</f>
        <v/>
      </c>
      <c r="F343" s="114">
        <f>+'Invullen groen'!I353</f>
        <v/>
      </c>
      <c r="G343" s="114">
        <f>+'Invullen groen'!J353</f>
        <v/>
      </c>
      <c r="H343" s="114">
        <f>+'Invullen groen'!K353</f>
        <v/>
      </c>
      <c r="I343" s="124">
        <f>+'Invullen groen'!AW353</f>
        <v/>
      </c>
      <c r="J343" s="124">
        <f>+'Invullen groen'!AX353</f>
        <v/>
      </c>
      <c r="K343" s="124">
        <f>+'Invullen groen'!AY353</f>
        <v/>
      </c>
      <c r="L343" s="124">
        <f>+'Invullen groen'!AZ353</f>
        <v/>
      </c>
      <c r="M343" s="124">
        <f>+'Invullen groen'!BA353</f>
        <v/>
      </c>
      <c r="N343" s="124">
        <f>+'Invullen groen'!BB353</f>
        <v/>
      </c>
      <c r="O343" s="124">
        <f>+'Invullen groen'!BC353</f>
        <v/>
      </c>
      <c r="P343" s="124">
        <f>+'Invullen groen'!BD353</f>
        <v/>
      </c>
    </row>
    <row r="344">
      <c r="A344" s="113">
        <f>+'Invullen groen'!A354</f>
        <v/>
      </c>
      <c r="B344" s="154">
        <f>+'Invullen groen'!C354</f>
        <v/>
      </c>
      <c r="C344" s="124">
        <f>+'Invullen groen'!G354</f>
        <v/>
      </c>
      <c r="D344" s="113">
        <f>+'Invullen groen'!M354</f>
        <v/>
      </c>
      <c r="E344" s="114">
        <f>+'Invullen groen'!H354</f>
        <v/>
      </c>
      <c r="F344" s="114">
        <f>+'Invullen groen'!I354</f>
        <v/>
      </c>
      <c r="G344" s="114">
        <f>+'Invullen groen'!J354</f>
        <v/>
      </c>
      <c r="H344" s="114">
        <f>+'Invullen groen'!K354</f>
        <v/>
      </c>
      <c r="I344" s="124">
        <f>+'Invullen groen'!AW354</f>
        <v/>
      </c>
      <c r="J344" s="124">
        <f>+'Invullen groen'!AX354</f>
        <v/>
      </c>
      <c r="K344" s="124">
        <f>+'Invullen groen'!AY354</f>
        <v/>
      </c>
      <c r="L344" s="124">
        <f>+'Invullen groen'!AZ354</f>
        <v/>
      </c>
      <c r="M344" s="124">
        <f>+'Invullen groen'!BA354</f>
        <v/>
      </c>
      <c r="N344" s="124">
        <f>+'Invullen groen'!BB354</f>
        <v/>
      </c>
      <c r="O344" s="124">
        <f>+'Invullen groen'!BC354</f>
        <v/>
      </c>
      <c r="P344" s="124">
        <f>+'Invullen groen'!BD354</f>
        <v/>
      </c>
    </row>
    <row r="345">
      <c r="A345" s="113">
        <f>+'Invullen groen'!A355</f>
        <v/>
      </c>
      <c r="B345" s="154">
        <f>+'Invullen groen'!C355</f>
        <v/>
      </c>
      <c r="C345" s="124">
        <f>+'Invullen groen'!G355</f>
        <v/>
      </c>
      <c r="D345" s="113">
        <f>+'Invullen groen'!M355</f>
        <v/>
      </c>
      <c r="E345" s="114">
        <f>+'Invullen groen'!H355</f>
        <v/>
      </c>
      <c r="F345" s="114">
        <f>+'Invullen groen'!I355</f>
        <v/>
      </c>
      <c r="G345" s="114">
        <f>+'Invullen groen'!J355</f>
        <v/>
      </c>
      <c r="H345" s="114">
        <f>+'Invullen groen'!K355</f>
        <v/>
      </c>
      <c r="I345" s="124">
        <f>+'Invullen groen'!AW355</f>
        <v/>
      </c>
      <c r="J345" s="124">
        <f>+'Invullen groen'!AX355</f>
        <v/>
      </c>
      <c r="K345" s="124">
        <f>+'Invullen groen'!AY355</f>
        <v/>
      </c>
      <c r="L345" s="124">
        <f>+'Invullen groen'!AZ355</f>
        <v/>
      </c>
      <c r="M345" s="124">
        <f>+'Invullen groen'!BA355</f>
        <v/>
      </c>
      <c r="N345" s="124">
        <f>+'Invullen groen'!BB355</f>
        <v/>
      </c>
      <c r="O345" s="124">
        <f>+'Invullen groen'!BC355</f>
        <v/>
      </c>
      <c r="P345" s="124">
        <f>+'Invullen groen'!BD355</f>
        <v/>
      </c>
    </row>
    <row r="346">
      <c r="A346" s="113">
        <f>+'Invullen groen'!A356</f>
        <v/>
      </c>
      <c r="B346" s="154">
        <f>+'Invullen groen'!C356</f>
        <v/>
      </c>
      <c r="C346" s="124">
        <f>+'Invullen groen'!G356</f>
        <v/>
      </c>
      <c r="D346" s="113">
        <f>+'Invullen groen'!M356</f>
        <v/>
      </c>
      <c r="E346" s="114">
        <f>+'Invullen groen'!H356</f>
        <v/>
      </c>
      <c r="F346" s="114">
        <f>+'Invullen groen'!I356</f>
        <v/>
      </c>
      <c r="G346" s="114">
        <f>+'Invullen groen'!J356</f>
        <v/>
      </c>
      <c r="H346" s="114">
        <f>+'Invullen groen'!K356</f>
        <v/>
      </c>
      <c r="I346" s="124">
        <f>+'Invullen groen'!AW356</f>
        <v/>
      </c>
      <c r="J346" s="124">
        <f>+'Invullen groen'!AX356</f>
        <v/>
      </c>
      <c r="K346" s="124">
        <f>+'Invullen groen'!AY356</f>
        <v/>
      </c>
      <c r="L346" s="124">
        <f>+'Invullen groen'!AZ356</f>
        <v/>
      </c>
      <c r="M346" s="124">
        <f>+'Invullen groen'!BA356</f>
        <v/>
      </c>
      <c r="N346" s="124">
        <f>+'Invullen groen'!BB356</f>
        <v/>
      </c>
      <c r="O346" s="124">
        <f>+'Invullen groen'!BC356</f>
        <v/>
      </c>
      <c r="P346" s="124">
        <f>+'Invullen groen'!BD356</f>
        <v/>
      </c>
    </row>
    <row r="347">
      <c r="A347" s="113">
        <f>+'Invullen groen'!A357</f>
        <v/>
      </c>
      <c r="B347" s="154">
        <f>+'Invullen groen'!C357</f>
        <v/>
      </c>
      <c r="C347" s="124">
        <f>+'Invullen groen'!G357</f>
        <v/>
      </c>
      <c r="D347" s="113">
        <f>+'Invullen groen'!M357</f>
        <v/>
      </c>
      <c r="E347" s="114">
        <f>+'Invullen groen'!H357</f>
        <v/>
      </c>
      <c r="F347" s="114">
        <f>+'Invullen groen'!I357</f>
        <v/>
      </c>
      <c r="G347" s="114">
        <f>+'Invullen groen'!J357</f>
        <v/>
      </c>
      <c r="H347" s="114">
        <f>+'Invullen groen'!K357</f>
        <v/>
      </c>
      <c r="I347" s="124">
        <f>+'Invullen groen'!AW357</f>
        <v/>
      </c>
      <c r="J347" s="124">
        <f>+'Invullen groen'!AX357</f>
        <v/>
      </c>
      <c r="K347" s="124">
        <f>+'Invullen groen'!AY357</f>
        <v/>
      </c>
      <c r="L347" s="124">
        <f>+'Invullen groen'!AZ357</f>
        <v/>
      </c>
      <c r="M347" s="124">
        <f>+'Invullen groen'!BA357</f>
        <v/>
      </c>
      <c r="N347" s="124">
        <f>+'Invullen groen'!BB357</f>
        <v/>
      </c>
      <c r="O347" s="124">
        <f>+'Invullen groen'!BC357</f>
        <v/>
      </c>
      <c r="P347" s="124">
        <f>+'Invullen groen'!BD357</f>
        <v/>
      </c>
    </row>
    <row r="348">
      <c r="A348" s="113">
        <f>+'Invullen groen'!A358</f>
        <v/>
      </c>
      <c r="B348" s="154">
        <f>+'Invullen groen'!C358</f>
        <v/>
      </c>
      <c r="C348" s="124">
        <f>+'Invullen groen'!G358</f>
        <v/>
      </c>
      <c r="D348" s="113">
        <f>+'Invullen groen'!M358</f>
        <v/>
      </c>
      <c r="E348" s="114">
        <f>+'Invullen groen'!H358</f>
        <v/>
      </c>
      <c r="F348" s="114">
        <f>+'Invullen groen'!I358</f>
        <v/>
      </c>
      <c r="G348" s="114">
        <f>+'Invullen groen'!J358</f>
        <v/>
      </c>
      <c r="H348" s="114">
        <f>+'Invullen groen'!K358</f>
        <v/>
      </c>
      <c r="I348" s="124">
        <f>+'Invullen groen'!AW358</f>
        <v/>
      </c>
      <c r="J348" s="124">
        <f>+'Invullen groen'!AX358</f>
        <v/>
      </c>
      <c r="K348" s="124">
        <f>+'Invullen groen'!AY358</f>
        <v/>
      </c>
      <c r="L348" s="124">
        <f>+'Invullen groen'!AZ358</f>
        <v/>
      </c>
      <c r="M348" s="124">
        <f>+'Invullen groen'!BA358</f>
        <v/>
      </c>
      <c r="N348" s="124">
        <f>+'Invullen groen'!BB358</f>
        <v/>
      </c>
      <c r="O348" s="124">
        <f>+'Invullen groen'!BC358</f>
        <v/>
      </c>
      <c r="P348" s="124">
        <f>+'Invullen groen'!BD358</f>
        <v/>
      </c>
    </row>
    <row r="349">
      <c r="A349" s="113">
        <f>+'Invullen groen'!A359</f>
        <v/>
      </c>
      <c r="B349" s="154">
        <f>+'Invullen groen'!C359</f>
        <v/>
      </c>
      <c r="C349" s="124">
        <f>+'Invullen groen'!G359</f>
        <v/>
      </c>
      <c r="D349" s="113">
        <f>+'Invullen groen'!M359</f>
        <v/>
      </c>
      <c r="E349" s="114">
        <f>+'Invullen groen'!H359</f>
        <v/>
      </c>
      <c r="F349" s="114">
        <f>+'Invullen groen'!I359</f>
        <v/>
      </c>
      <c r="G349" s="114">
        <f>+'Invullen groen'!J359</f>
        <v/>
      </c>
      <c r="H349" s="114">
        <f>+'Invullen groen'!K359</f>
        <v/>
      </c>
      <c r="I349" s="124">
        <f>+'Invullen groen'!AW359</f>
        <v/>
      </c>
      <c r="J349" s="124">
        <f>+'Invullen groen'!AX359</f>
        <v/>
      </c>
      <c r="K349" s="124">
        <f>+'Invullen groen'!AY359</f>
        <v/>
      </c>
      <c r="L349" s="124">
        <f>+'Invullen groen'!AZ359</f>
        <v/>
      </c>
      <c r="M349" s="124">
        <f>+'Invullen groen'!BA359</f>
        <v/>
      </c>
      <c r="N349" s="124">
        <f>+'Invullen groen'!BB359</f>
        <v/>
      </c>
      <c r="O349" s="124">
        <f>+'Invullen groen'!BC359</f>
        <v/>
      </c>
      <c r="P349" s="124">
        <f>+'Invullen groen'!BD359</f>
        <v/>
      </c>
    </row>
    <row r="350">
      <c r="A350" s="113">
        <f>+'Invullen groen'!A360</f>
        <v/>
      </c>
      <c r="B350" s="154">
        <f>+'Invullen groen'!C360</f>
        <v/>
      </c>
      <c r="C350" s="124">
        <f>+'Invullen groen'!G360</f>
        <v/>
      </c>
      <c r="D350" s="113">
        <f>+'Invullen groen'!M360</f>
        <v/>
      </c>
      <c r="E350" s="114">
        <f>+'Invullen groen'!H360</f>
        <v/>
      </c>
      <c r="F350" s="114">
        <f>+'Invullen groen'!I360</f>
        <v/>
      </c>
      <c r="G350" s="114">
        <f>+'Invullen groen'!J360</f>
        <v/>
      </c>
      <c r="H350" s="114">
        <f>+'Invullen groen'!K360</f>
        <v/>
      </c>
      <c r="I350" s="124">
        <f>+'Invullen groen'!AW360</f>
        <v/>
      </c>
      <c r="J350" s="124">
        <f>+'Invullen groen'!AX360</f>
        <v/>
      </c>
      <c r="K350" s="124">
        <f>+'Invullen groen'!AY360</f>
        <v/>
      </c>
      <c r="L350" s="124">
        <f>+'Invullen groen'!AZ360</f>
        <v/>
      </c>
      <c r="M350" s="124">
        <f>+'Invullen groen'!BA360</f>
        <v/>
      </c>
      <c r="N350" s="124">
        <f>+'Invullen groen'!BB360</f>
        <v/>
      </c>
      <c r="O350" s="124">
        <f>+'Invullen groen'!BC360</f>
        <v/>
      </c>
      <c r="P350" s="124">
        <f>+'Invullen groen'!BD360</f>
        <v/>
      </c>
    </row>
    <row r="351">
      <c r="A351" s="113">
        <f>+'Invullen groen'!A361</f>
        <v/>
      </c>
      <c r="B351" s="154">
        <f>+'Invullen groen'!C361</f>
        <v/>
      </c>
      <c r="C351" s="124">
        <f>+'Invullen groen'!G361</f>
        <v/>
      </c>
      <c r="D351" s="113">
        <f>+'Invullen groen'!M361</f>
        <v/>
      </c>
      <c r="E351" s="114">
        <f>+'Invullen groen'!H361</f>
        <v/>
      </c>
      <c r="F351" s="114">
        <f>+'Invullen groen'!I361</f>
        <v/>
      </c>
      <c r="G351" s="114">
        <f>+'Invullen groen'!J361</f>
        <v/>
      </c>
      <c r="H351" s="114">
        <f>+'Invullen groen'!K361</f>
        <v/>
      </c>
      <c r="I351" s="124">
        <f>+'Invullen groen'!AW361</f>
        <v/>
      </c>
      <c r="J351" s="124">
        <f>+'Invullen groen'!AX361</f>
        <v/>
      </c>
      <c r="K351" s="124">
        <f>+'Invullen groen'!AY361</f>
        <v/>
      </c>
      <c r="L351" s="124">
        <f>+'Invullen groen'!AZ361</f>
        <v/>
      </c>
      <c r="M351" s="124">
        <f>+'Invullen groen'!BA361</f>
        <v/>
      </c>
      <c r="N351" s="124">
        <f>+'Invullen groen'!BB361</f>
        <v/>
      </c>
      <c r="O351" s="124">
        <f>+'Invullen groen'!BC361</f>
        <v/>
      </c>
      <c r="P351" s="124">
        <f>+'Invullen groen'!BD361</f>
        <v/>
      </c>
    </row>
    <row r="352">
      <c r="A352" s="113">
        <f>+'Invullen groen'!A362</f>
        <v/>
      </c>
      <c r="B352" s="154">
        <f>+'Invullen groen'!C362</f>
        <v/>
      </c>
      <c r="C352" s="124">
        <f>+'Invullen groen'!G362</f>
        <v/>
      </c>
      <c r="D352" s="113">
        <f>+'Invullen groen'!M362</f>
        <v/>
      </c>
      <c r="E352" s="114">
        <f>+'Invullen groen'!H362</f>
        <v/>
      </c>
      <c r="F352" s="114">
        <f>+'Invullen groen'!I362</f>
        <v/>
      </c>
      <c r="G352" s="114">
        <f>+'Invullen groen'!J362</f>
        <v/>
      </c>
      <c r="H352" s="114">
        <f>+'Invullen groen'!K362</f>
        <v/>
      </c>
      <c r="I352" s="124">
        <f>+'Invullen groen'!AW362</f>
        <v/>
      </c>
      <c r="J352" s="124">
        <f>+'Invullen groen'!AX362</f>
        <v/>
      </c>
      <c r="K352" s="124">
        <f>+'Invullen groen'!AY362</f>
        <v/>
      </c>
      <c r="L352" s="124">
        <f>+'Invullen groen'!AZ362</f>
        <v/>
      </c>
      <c r="M352" s="124">
        <f>+'Invullen groen'!BA362</f>
        <v/>
      </c>
      <c r="N352" s="124">
        <f>+'Invullen groen'!BB362</f>
        <v/>
      </c>
      <c r="O352" s="124">
        <f>+'Invullen groen'!BC362</f>
        <v/>
      </c>
      <c r="P352" s="124">
        <f>+'Invullen groen'!BD362</f>
        <v/>
      </c>
    </row>
    <row r="353">
      <c r="A353" s="113">
        <f>+'Invullen groen'!A363</f>
        <v/>
      </c>
      <c r="B353" s="154">
        <f>+'Invullen groen'!C363</f>
        <v/>
      </c>
      <c r="C353" s="124">
        <f>+'Invullen groen'!G363</f>
        <v/>
      </c>
      <c r="D353" s="113">
        <f>+'Invullen groen'!M363</f>
        <v/>
      </c>
      <c r="E353" s="114">
        <f>+'Invullen groen'!H363</f>
        <v/>
      </c>
      <c r="F353" s="114">
        <f>+'Invullen groen'!I363</f>
        <v/>
      </c>
      <c r="G353" s="114">
        <f>+'Invullen groen'!J363</f>
        <v/>
      </c>
      <c r="H353" s="114">
        <f>+'Invullen groen'!K363</f>
        <v/>
      </c>
      <c r="I353" s="124">
        <f>+'Invullen groen'!AW363</f>
        <v/>
      </c>
      <c r="J353" s="124">
        <f>+'Invullen groen'!AX363</f>
        <v/>
      </c>
      <c r="K353" s="124">
        <f>+'Invullen groen'!AY363</f>
        <v/>
      </c>
      <c r="L353" s="124">
        <f>+'Invullen groen'!AZ363</f>
        <v/>
      </c>
      <c r="M353" s="124">
        <f>+'Invullen groen'!BA363</f>
        <v/>
      </c>
      <c r="N353" s="124">
        <f>+'Invullen groen'!BB363</f>
        <v/>
      </c>
      <c r="O353" s="124">
        <f>+'Invullen groen'!BC363</f>
        <v/>
      </c>
      <c r="P353" s="124">
        <f>+'Invullen groen'!BD363</f>
        <v/>
      </c>
    </row>
    <row r="354">
      <c r="A354" s="113">
        <f>+'Invullen groen'!A364</f>
        <v/>
      </c>
      <c r="B354" s="154">
        <f>+'Invullen groen'!C364</f>
        <v/>
      </c>
      <c r="C354" s="124">
        <f>+'Invullen groen'!G364</f>
        <v/>
      </c>
      <c r="D354" s="113">
        <f>+'Invullen groen'!M364</f>
        <v/>
      </c>
      <c r="E354" s="114">
        <f>+'Invullen groen'!H364</f>
        <v/>
      </c>
      <c r="F354" s="114">
        <f>+'Invullen groen'!I364</f>
        <v/>
      </c>
      <c r="G354" s="114">
        <f>+'Invullen groen'!J364</f>
        <v/>
      </c>
      <c r="H354" s="114">
        <f>+'Invullen groen'!K364</f>
        <v/>
      </c>
      <c r="I354" s="124">
        <f>+'Invullen groen'!AW364</f>
        <v/>
      </c>
      <c r="J354" s="124">
        <f>+'Invullen groen'!AX364</f>
        <v/>
      </c>
      <c r="K354" s="124">
        <f>+'Invullen groen'!AY364</f>
        <v/>
      </c>
      <c r="L354" s="124">
        <f>+'Invullen groen'!AZ364</f>
        <v/>
      </c>
      <c r="M354" s="124">
        <f>+'Invullen groen'!BA364</f>
        <v/>
      </c>
      <c r="N354" s="124">
        <f>+'Invullen groen'!BB364</f>
        <v/>
      </c>
      <c r="O354" s="124">
        <f>+'Invullen groen'!BC364</f>
        <v/>
      </c>
      <c r="P354" s="124">
        <f>+'Invullen groen'!BD364</f>
        <v/>
      </c>
    </row>
    <row r="355">
      <c r="A355" s="113">
        <f>+'Invullen groen'!A365</f>
        <v/>
      </c>
      <c r="B355" s="154">
        <f>+'Invullen groen'!C365</f>
        <v/>
      </c>
      <c r="C355" s="124">
        <f>+'Invullen groen'!G365</f>
        <v/>
      </c>
      <c r="D355" s="113">
        <f>+'Invullen groen'!M365</f>
        <v/>
      </c>
      <c r="E355" s="114">
        <f>+'Invullen groen'!H365</f>
        <v/>
      </c>
      <c r="F355" s="114">
        <f>+'Invullen groen'!I365</f>
        <v/>
      </c>
      <c r="G355" s="114">
        <f>+'Invullen groen'!J365</f>
        <v/>
      </c>
      <c r="H355" s="114">
        <f>+'Invullen groen'!K365</f>
        <v/>
      </c>
      <c r="I355" s="124">
        <f>+'Invullen groen'!AW365</f>
        <v/>
      </c>
      <c r="J355" s="124">
        <f>+'Invullen groen'!AX365</f>
        <v/>
      </c>
      <c r="K355" s="124">
        <f>+'Invullen groen'!AY365</f>
        <v/>
      </c>
      <c r="L355" s="124">
        <f>+'Invullen groen'!AZ365</f>
        <v/>
      </c>
      <c r="M355" s="124">
        <f>+'Invullen groen'!BA365</f>
        <v/>
      </c>
      <c r="N355" s="124">
        <f>+'Invullen groen'!BB365</f>
        <v/>
      </c>
      <c r="O355" s="124">
        <f>+'Invullen groen'!BC365</f>
        <v/>
      </c>
      <c r="P355" s="124">
        <f>+'Invullen groen'!BD365</f>
        <v/>
      </c>
    </row>
    <row r="356">
      <c r="A356" s="113">
        <f>+'Invullen groen'!A366</f>
        <v/>
      </c>
      <c r="B356" s="154">
        <f>+'Invullen groen'!C366</f>
        <v/>
      </c>
      <c r="C356" s="124">
        <f>+'Invullen groen'!G366</f>
        <v/>
      </c>
      <c r="D356" s="113">
        <f>+'Invullen groen'!M366</f>
        <v/>
      </c>
      <c r="E356" s="114">
        <f>+'Invullen groen'!H366</f>
        <v/>
      </c>
      <c r="F356" s="114">
        <f>+'Invullen groen'!I366</f>
        <v/>
      </c>
      <c r="G356" s="114">
        <f>+'Invullen groen'!J366</f>
        <v/>
      </c>
      <c r="H356" s="114">
        <f>+'Invullen groen'!K366</f>
        <v/>
      </c>
      <c r="I356" s="124">
        <f>+'Invullen groen'!AW366</f>
        <v/>
      </c>
      <c r="J356" s="124">
        <f>+'Invullen groen'!AX366</f>
        <v/>
      </c>
      <c r="K356" s="124">
        <f>+'Invullen groen'!AY366</f>
        <v/>
      </c>
      <c r="L356" s="124">
        <f>+'Invullen groen'!AZ366</f>
        <v/>
      </c>
      <c r="M356" s="124">
        <f>+'Invullen groen'!BA366</f>
        <v/>
      </c>
      <c r="N356" s="124">
        <f>+'Invullen groen'!BB366</f>
        <v/>
      </c>
      <c r="O356" s="124">
        <f>+'Invullen groen'!BC366</f>
        <v/>
      </c>
      <c r="P356" s="124">
        <f>+'Invullen groen'!BD366</f>
        <v/>
      </c>
    </row>
    <row r="357">
      <c r="A357" s="113">
        <f>+'Invullen groen'!A367</f>
        <v/>
      </c>
      <c r="B357" s="154">
        <f>+'Invullen groen'!C367</f>
        <v/>
      </c>
      <c r="C357" s="124">
        <f>+'Invullen groen'!G367</f>
        <v/>
      </c>
      <c r="D357" s="113">
        <f>+'Invullen groen'!M367</f>
        <v/>
      </c>
      <c r="E357" s="114">
        <f>+'Invullen groen'!H367</f>
        <v/>
      </c>
      <c r="F357" s="114">
        <f>+'Invullen groen'!I367</f>
        <v/>
      </c>
      <c r="G357" s="114">
        <f>+'Invullen groen'!J367</f>
        <v/>
      </c>
      <c r="H357" s="114">
        <f>+'Invullen groen'!K367</f>
        <v/>
      </c>
      <c r="I357" s="124">
        <f>+'Invullen groen'!AW367</f>
        <v/>
      </c>
      <c r="J357" s="124">
        <f>+'Invullen groen'!AX367</f>
        <v/>
      </c>
      <c r="K357" s="124">
        <f>+'Invullen groen'!AY367</f>
        <v/>
      </c>
      <c r="L357" s="124">
        <f>+'Invullen groen'!AZ367</f>
        <v/>
      </c>
      <c r="M357" s="124">
        <f>+'Invullen groen'!BA367</f>
        <v/>
      </c>
      <c r="N357" s="124">
        <f>+'Invullen groen'!BB367</f>
        <v/>
      </c>
      <c r="O357" s="124">
        <f>+'Invullen groen'!BC367</f>
        <v/>
      </c>
      <c r="P357" s="124">
        <f>+'Invullen groen'!BD367</f>
        <v/>
      </c>
    </row>
    <row r="358">
      <c r="A358" s="113">
        <f>+'Invullen groen'!A368</f>
        <v/>
      </c>
      <c r="B358" s="154">
        <f>+'Invullen groen'!C368</f>
        <v/>
      </c>
      <c r="C358" s="124">
        <f>+'Invullen groen'!G368</f>
        <v/>
      </c>
      <c r="D358" s="113">
        <f>+'Invullen groen'!M368</f>
        <v/>
      </c>
      <c r="E358" s="114">
        <f>+'Invullen groen'!H368</f>
        <v/>
      </c>
      <c r="F358" s="114">
        <f>+'Invullen groen'!I368</f>
        <v/>
      </c>
      <c r="G358" s="114">
        <f>+'Invullen groen'!J368</f>
        <v/>
      </c>
      <c r="H358" s="114">
        <f>+'Invullen groen'!K368</f>
        <v/>
      </c>
      <c r="I358" s="124">
        <f>+'Invullen groen'!AW368</f>
        <v/>
      </c>
      <c r="J358" s="124">
        <f>+'Invullen groen'!AX368</f>
        <v/>
      </c>
      <c r="K358" s="124">
        <f>+'Invullen groen'!AY368</f>
        <v/>
      </c>
      <c r="L358" s="124">
        <f>+'Invullen groen'!AZ368</f>
        <v/>
      </c>
      <c r="M358" s="124">
        <f>+'Invullen groen'!BA368</f>
        <v/>
      </c>
      <c r="N358" s="124">
        <f>+'Invullen groen'!BB368</f>
        <v/>
      </c>
      <c r="O358" s="124">
        <f>+'Invullen groen'!BC368</f>
        <v/>
      </c>
      <c r="P358" s="124">
        <f>+'Invullen groen'!BD368</f>
        <v/>
      </c>
    </row>
    <row r="359">
      <c r="A359" s="113">
        <f>+'Invullen groen'!A369</f>
        <v/>
      </c>
      <c r="B359" s="154">
        <f>+'Invullen groen'!C369</f>
        <v/>
      </c>
      <c r="C359" s="124">
        <f>+'Invullen groen'!G369</f>
        <v/>
      </c>
      <c r="D359" s="113">
        <f>+'Invullen groen'!M369</f>
        <v/>
      </c>
      <c r="E359" s="114">
        <f>+'Invullen groen'!H369</f>
        <v/>
      </c>
      <c r="F359" s="114">
        <f>+'Invullen groen'!I369</f>
        <v/>
      </c>
      <c r="G359" s="114">
        <f>+'Invullen groen'!J369</f>
        <v/>
      </c>
      <c r="H359" s="114">
        <f>+'Invullen groen'!K369</f>
        <v/>
      </c>
      <c r="I359" s="124">
        <f>+'Invullen groen'!AW369</f>
        <v/>
      </c>
      <c r="J359" s="124">
        <f>+'Invullen groen'!AX369</f>
        <v/>
      </c>
      <c r="K359" s="124">
        <f>+'Invullen groen'!AY369</f>
        <v/>
      </c>
      <c r="L359" s="124">
        <f>+'Invullen groen'!AZ369</f>
        <v/>
      </c>
      <c r="M359" s="124">
        <f>+'Invullen groen'!BA369</f>
        <v/>
      </c>
      <c r="N359" s="124">
        <f>+'Invullen groen'!BB369</f>
        <v/>
      </c>
      <c r="O359" s="124">
        <f>+'Invullen groen'!BC369</f>
        <v/>
      </c>
      <c r="P359" s="124">
        <f>+'Invullen groen'!BD369</f>
        <v/>
      </c>
    </row>
    <row r="360">
      <c r="A360" s="113">
        <f>+'Invullen groen'!A370</f>
        <v/>
      </c>
      <c r="B360" s="154">
        <f>+'Invullen groen'!C370</f>
        <v/>
      </c>
      <c r="C360" s="124">
        <f>+'Invullen groen'!G370</f>
        <v/>
      </c>
      <c r="D360" s="113">
        <f>+'Invullen groen'!M370</f>
        <v/>
      </c>
      <c r="E360" s="114">
        <f>+'Invullen groen'!H370</f>
        <v/>
      </c>
      <c r="F360" s="114">
        <f>+'Invullen groen'!I370</f>
        <v/>
      </c>
      <c r="G360" s="114">
        <f>+'Invullen groen'!J370</f>
        <v/>
      </c>
      <c r="H360" s="114">
        <f>+'Invullen groen'!K370</f>
        <v/>
      </c>
      <c r="I360" s="124">
        <f>+'Invullen groen'!AW370</f>
        <v/>
      </c>
      <c r="J360" s="124">
        <f>+'Invullen groen'!AX370</f>
        <v/>
      </c>
      <c r="K360" s="124">
        <f>+'Invullen groen'!AY370</f>
        <v/>
      </c>
      <c r="L360" s="124">
        <f>+'Invullen groen'!AZ370</f>
        <v/>
      </c>
      <c r="M360" s="124">
        <f>+'Invullen groen'!BA370</f>
        <v/>
      </c>
      <c r="N360" s="124">
        <f>+'Invullen groen'!BB370</f>
        <v/>
      </c>
      <c r="O360" s="124">
        <f>+'Invullen groen'!BC370</f>
        <v/>
      </c>
      <c r="P360" s="124">
        <f>+'Invullen groen'!BD370</f>
        <v/>
      </c>
    </row>
    <row r="361">
      <c r="A361" s="113">
        <f>+'Invullen groen'!A371</f>
        <v/>
      </c>
      <c r="B361" s="154">
        <f>+'Invullen groen'!C371</f>
        <v/>
      </c>
      <c r="C361" s="124">
        <f>+'Invullen groen'!G371</f>
        <v/>
      </c>
      <c r="D361" s="113">
        <f>+'Invullen groen'!M371</f>
        <v/>
      </c>
      <c r="E361" s="114">
        <f>+'Invullen groen'!H371</f>
        <v/>
      </c>
      <c r="F361" s="114">
        <f>+'Invullen groen'!I371</f>
        <v/>
      </c>
      <c r="G361" s="114">
        <f>+'Invullen groen'!J371</f>
        <v/>
      </c>
      <c r="H361" s="114">
        <f>+'Invullen groen'!K371</f>
        <v/>
      </c>
      <c r="I361" s="124">
        <f>+'Invullen groen'!AW371</f>
        <v/>
      </c>
      <c r="J361" s="124">
        <f>+'Invullen groen'!AX371</f>
        <v/>
      </c>
      <c r="K361" s="124">
        <f>+'Invullen groen'!AY371</f>
        <v/>
      </c>
      <c r="L361" s="124">
        <f>+'Invullen groen'!AZ371</f>
        <v/>
      </c>
      <c r="M361" s="124">
        <f>+'Invullen groen'!BA371</f>
        <v/>
      </c>
      <c r="N361" s="124">
        <f>+'Invullen groen'!BB371</f>
        <v/>
      </c>
      <c r="O361" s="124">
        <f>+'Invullen groen'!BC371</f>
        <v/>
      </c>
      <c r="P361" s="124">
        <f>+'Invullen groen'!BD371</f>
        <v/>
      </c>
    </row>
    <row r="362">
      <c r="A362" s="113">
        <f>+'Invullen groen'!A372</f>
        <v/>
      </c>
      <c r="B362" s="154">
        <f>+'Invullen groen'!C372</f>
        <v/>
      </c>
      <c r="C362" s="124">
        <f>+'Invullen groen'!G372</f>
        <v/>
      </c>
      <c r="D362" s="113">
        <f>+'Invullen groen'!M372</f>
        <v/>
      </c>
      <c r="E362" s="114">
        <f>+'Invullen groen'!H372</f>
        <v/>
      </c>
      <c r="F362" s="114">
        <f>+'Invullen groen'!I372</f>
        <v/>
      </c>
      <c r="G362" s="114">
        <f>+'Invullen groen'!J372</f>
        <v/>
      </c>
      <c r="H362" s="114">
        <f>+'Invullen groen'!K372</f>
        <v/>
      </c>
      <c r="I362" s="124">
        <f>+'Invullen groen'!AW372</f>
        <v/>
      </c>
      <c r="J362" s="124">
        <f>+'Invullen groen'!AX372</f>
        <v/>
      </c>
      <c r="K362" s="124">
        <f>+'Invullen groen'!AY372</f>
        <v/>
      </c>
      <c r="L362" s="124">
        <f>+'Invullen groen'!AZ372</f>
        <v/>
      </c>
      <c r="M362" s="124">
        <f>+'Invullen groen'!BA372</f>
        <v/>
      </c>
      <c r="N362" s="124">
        <f>+'Invullen groen'!BB372</f>
        <v/>
      </c>
      <c r="O362" s="124">
        <f>+'Invullen groen'!BC372</f>
        <v/>
      </c>
      <c r="P362" s="124">
        <f>+'Invullen groen'!BD372</f>
        <v/>
      </c>
    </row>
    <row r="363">
      <c r="A363" s="113">
        <f>+'Invullen groen'!A373</f>
        <v/>
      </c>
      <c r="B363" s="154">
        <f>+'Invullen groen'!C373</f>
        <v/>
      </c>
      <c r="C363" s="124">
        <f>+'Invullen groen'!G373</f>
        <v/>
      </c>
      <c r="D363" s="113">
        <f>+'Invullen groen'!M373</f>
        <v/>
      </c>
      <c r="E363" s="114">
        <f>+'Invullen groen'!H373</f>
        <v/>
      </c>
      <c r="F363" s="114">
        <f>+'Invullen groen'!I373</f>
        <v/>
      </c>
      <c r="G363" s="114">
        <f>+'Invullen groen'!J373</f>
        <v/>
      </c>
      <c r="H363" s="114">
        <f>+'Invullen groen'!K373</f>
        <v/>
      </c>
      <c r="I363" s="124">
        <f>+'Invullen groen'!AW373</f>
        <v/>
      </c>
      <c r="J363" s="124">
        <f>+'Invullen groen'!AX373</f>
        <v/>
      </c>
      <c r="K363" s="124">
        <f>+'Invullen groen'!AY373</f>
        <v/>
      </c>
      <c r="L363" s="124">
        <f>+'Invullen groen'!AZ373</f>
        <v/>
      </c>
      <c r="M363" s="124">
        <f>+'Invullen groen'!BA373</f>
        <v/>
      </c>
      <c r="N363" s="124">
        <f>+'Invullen groen'!BB373</f>
        <v/>
      </c>
      <c r="O363" s="124">
        <f>+'Invullen groen'!BC373</f>
        <v/>
      </c>
      <c r="P363" s="124">
        <f>+'Invullen groen'!BD373</f>
        <v/>
      </c>
    </row>
    <row r="364">
      <c r="A364" s="113">
        <f>+'Invullen groen'!A374</f>
        <v/>
      </c>
      <c r="B364" s="154">
        <f>+'Invullen groen'!C374</f>
        <v/>
      </c>
      <c r="C364" s="124">
        <f>+'Invullen groen'!G374</f>
        <v/>
      </c>
      <c r="D364" s="113">
        <f>+'Invullen groen'!M374</f>
        <v/>
      </c>
      <c r="E364" s="114">
        <f>+'Invullen groen'!H374</f>
        <v/>
      </c>
      <c r="F364" s="114">
        <f>+'Invullen groen'!I374</f>
        <v/>
      </c>
      <c r="G364" s="114">
        <f>+'Invullen groen'!J374</f>
        <v/>
      </c>
      <c r="H364" s="114">
        <f>+'Invullen groen'!K374</f>
        <v/>
      </c>
      <c r="I364" s="124">
        <f>+'Invullen groen'!AW374</f>
        <v/>
      </c>
      <c r="J364" s="124">
        <f>+'Invullen groen'!AX374</f>
        <v/>
      </c>
      <c r="K364" s="124">
        <f>+'Invullen groen'!AY374</f>
        <v/>
      </c>
      <c r="L364" s="124">
        <f>+'Invullen groen'!AZ374</f>
        <v/>
      </c>
      <c r="M364" s="124">
        <f>+'Invullen groen'!BA374</f>
        <v/>
      </c>
      <c r="N364" s="124">
        <f>+'Invullen groen'!BB374</f>
        <v/>
      </c>
      <c r="O364" s="124">
        <f>+'Invullen groen'!BC374</f>
        <v/>
      </c>
      <c r="P364" s="124">
        <f>+'Invullen groen'!BD374</f>
        <v/>
      </c>
    </row>
    <row r="365">
      <c r="A365" s="113">
        <f>+'Invullen groen'!A375</f>
        <v/>
      </c>
      <c r="B365" s="154">
        <f>+'Invullen groen'!C375</f>
        <v/>
      </c>
      <c r="C365" s="124">
        <f>+'Invullen groen'!G375</f>
        <v/>
      </c>
      <c r="D365" s="113">
        <f>+'Invullen groen'!M375</f>
        <v/>
      </c>
      <c r="E365" s="114">
        <f>+'Invullen groen'!H375</f>
        <v/>
      </c>
      <c r="F365" s="114">
        <f>+'Invullen groen'!I375</f>
        <v/>
      </c>
      <c r="G365" s="114">
        <f>+'Invullen groen'!J375</f>
        <v/>
      </c>
      <c r="H365" s="114">
        <f>+'Invullen groen'!K375</f>
        <v/>
      </c>
      <c r="I365" s="124">
        <f>+'Invullen groen'!AW375</f>
        <v/>
      </c>
      <c r="J365" s="124">
        <f>+'Invullen groen'!AX375</f>
        <v/>
      </c>
      <c r="K365" s="124">
        <f>+'Invullen groen'!AY375</f>
        <v/>
      </c>
      <c r="L365" s="124">
        <f>+'Invullen groen'!AZ375</f>
        <v/>
      </c>
      <c r="M365" s="124">
        <f>+'Invullen groen'!BA375</f>
        <v/>
      </c>
      <c r="N365" s="124">
        <f>+'Invullen groen'!BB375</f>
        <v/>
      </c>
      <c r="O365" s="124">
        <f>+'Invullen groen'!BC375</f>
        <v/>
      </c>
      <c r="P365" s="124">
        <f>+'Invullen groen'!BD375</f>
        <v/>
      </c>
    </row>
    <row r="366">
      <c r="A366" s="113">
        <f>+'Invullen groen'!A376</f>
        <v/>
      </c>
      <c r="B366" s="154">
        <f>+'Invullen groen'!C376</f>
        <v/>
      </c>
      <c r="C366" s="124">
        <f>+'Invullen groen'!G376</f>
        <v/>
      </c>
      <c r="D366" s="113">
        <f>+'Invullen groen'!M376</f>
        <v/>
      </c>
      <c r="E366" s="114">
        <f>+'Invullen groen'!H376</f>
        <v/>
      </c>
      <c r="F366" s="114">
        <f>+'Invullen groen'!I376</f>
        <v/>
      </c>
      <c r="G366" s="114">
        <f>+'Invullen groen'!J376</f>
        <v/>
      </c>
      <c r="H366" s="114">
        <f>+'Invullen groen'!K376</f>
        <v/>
      </c>
      <c r="I366" s="124">
        <f>+'Invullen groen'!AW376</f>
        <v/>
      </c>
      <c r="J366" s="124">
        <f>+'Invullen groen'!AX376</f>
        <v/>
      </c>
      <c r="K366" s="124">
        <f>+'Invullen groen'!AY376</f>
        <v/>
      </c>
      <c r="L366" s="124">
        <f>+'Invullen groen'!AZ376</f>
        <v/>
      </c>
      <c r="M366" s="124">
        <f>+'Invullen groen'!BA376</f>
        <v/>
      </c>
      <c r="N366" s="124">
        <f>+'Invullen groen'!BB376</f>
        <v/>
      </c>
      <c r="O366" s="124">
        <f>+'Invullen groen'!BC376</f>
        <v/>
      </c>
      <c r="P366" s="124">
        <f>+'Invullen groen'!BD376</f>
        <v/>
      </c>
    </row>
    <row r="367">
      <c r="A367" s="113">
        <f>+'Invullen groen'!A377</f>
        <v/>
      </c>
      <c r="B367" s="154">
        <f>+'Invullen groen'!C377</f>
        <v/>
      </c>
      <c r="C367" s="124">
        <f>+'Invullen groen'!G377</f>
        <v/>
      </c>
      <c r="D367" s="113">
        <f>+'Invullen groen'!M377</f>
        <v/>
      </c>
      <c r="E367" s="114">
        <f>+'Invullen groen'!H377</f>
        <v/>
      </c>
      <c r="F367" s="114">
        <f>+'Invullen groen'!I377</f>
        <v/>
      </c>
      <c r="G367" s="114">
        <f>+'Invullen groen'!J377</f>
        <v/>
      </c>
      <c r="H367" s="114">
        <f>+'Invullen groen'!K377</f>
        <v/>
      </c>
      <c r="I367" s="124">
        <f>+'Invullen groen'!AW377</f>
        <v/>
      </c>
      <c r="J367" s="124">
        <f>+'Invullen groen'!AX377</f>
        <v/>
      </c>
      <c r="K367" s="124">
        <f>+'Invullen groen'!AY377</f>
        <v/>
      </c>
      <c r="L367" s="124">
        <f>+'Invullen groen'!AZ377</f>
        <v/>
      </c>
      <c r="M367" s="124">
        <f>+'Invullen groen'!BA377</f>
        <v/>
      </c>
      <c r="N367" s="124">
        <f>+'Invullen groen'!BB377</f>
        <v/>
      </c>
      <c r="O367" s="124">
        <f>+'Invullen groen'!BC377</f>
        <v/>
      </c>
      <c r="P367" s="124">
        <f>+'Invullen groen'!BD377</f>
        <v/>
      </c>
    </row>
    <row r="368">
      <c r="A368" s="113">
        <f>+'Invullen groen'!A378</f>
        <v/>
      </c>
      <c r="B368" s="154">
        <f>+'Invullen groen'!C378</f>
        <v/>
      </c>
      <c r="C368" s="124">
        <f>+'Invullen groen'!G378</f>
        <v/>
      </c>
      <c r="D368" s="113">
        <f>+'Invullen groen'!M378</f>
        <v/>
      </c>
      <c r="E368" s="114">
        <f>+'Invullen groen'!H378</f>
        <v/>
      </c>
      <c r="F368" s="114">
        <f>+'Invullen groen'!I378</f>
        <v/>
      </c>
      <c r="G368" s="114">
        <f>+'Invullen groen'!J378</f>
        <v/>
      </c>
      <c r="H368" s="114">
        <f>+'Invullen groen'!K378</f>
        <v/>
      </c>
      <c r="I368" s="124">
        <f>+'Invullen groen'!AW378</f>
        <v/>
      </c>
      <c r="J368" s="124">
        <f>+'Invullen groen'!AX378</f>
        <v/>
      </c>
      <c r="K368" s="124">
        <f>+'Invullen groen'!AY378</f>
        <v/>
      </c>
      <c r="L368" s="124">
        <f>+'Invullen groen'!AZ378</f>
        <v/>
      </c>
      <c r="M368" s="124">
        <f>+'Invullen groen'!BA378</f>
        <v/>
      </c>
      <c r="N368" s="124">
        <f>+'Invullen groen'!BB378</f>
        <v/>
      </c>
      <c r="O368" s="124">
        <f>+'Invullen groen'!BC378</f>
        <v/>
      </c>
      <c r="P368" s="124">
        <f>+'Invullen groen'!BD378</f>
        <v/>
      </c>
    </row>
    <row r="369">
      <c r="A369" s="113">
        <f>+'Invullen groen'!A379</f>
        <v/>
      </c>
      <c r="B369" s="154">
        <f>+'Invullen groen'!C379</f>
        <v/>
      </c>
      <c r="C369" s="124">
        <f>+'Invullen groen'!G379</f>
        <v/>
      </c>
      <c r="D369" s="113">
        <f>+'Invullen groen'!M379</f>
        <v/>
      </c>
      <c r="E369" s="114">
        <f>+'Invullen groen'!H379</f>
        <v/>
      </c>
      <c r="F369" s="114">
        <f>+'Invullen groen'!I379</f>
        <v/>
      </c>
      <c r="G369" s="114">
        <f>+'Invullen groen'!J379</f>
        <v/>
      </c>
      <c r="H369" s="114">
        <f>+'Invullen groen'!K379</f>
        <v/>
      </c>
      <c r="I369" s="124">
        <f>+'Invullen groen'!AW379</f>
        <v/>
      </c>
      <c r="J369" s="124">
        <f>+'Invullen groen'!AX379</f>
        <v/>
      </c>
      <c r="K369" s="124">
        <f>+'Invullen groen'!AY379</f>
        <v/>
      </c>
      <c r="L369" s="124">
        <f>+'Invullen groen'!AZ379</f>
        <v/>
      </c>
      <c r="M369" s="124">
        <f>+'Invullen groen'!BA379</f>
        <v/>
      </c>
      <c r="N369" s="124">
        <f>+'Invullen groen'!BB379</f>
        <v/>
      </c>
      <c r="O369" s="124">
        <f>+'Invullen groen'!BC379</f>
        <v/>
      </c>
      <c r="P369" s="124">
        <f>+'Invullen groen'!BD379</f>
        <v/>
      </c>
    </row>
    <row r="370">
      <c r="A370" s="113">
        <f>+'Invullen groen'!A380</f>
        <v/>
      </c>
      <c r="B370" s="154">
        <f>+'Invullen groen'!C380</f>
        <v/>
      </c>
      <c r="C370" s="124">
        <f>+'Invullen groen'!G380</f>
        <v/>
      </c>
      <c r="D370" s="113">
        <f>+'Invullen groen'!M380</f>
        <v/>
      </c>
      <c r="E370" s="114">
        <f>+'Invullen groen'!H380</f>
        <v/>
      </c>
      <c r="F370" s="114">
        <f>+'Invullen groen'!I380</f>
        <v/>
      </c>
      <c r="G370" s="114">
        <f>+'Invullen groen'!J380</f>
        <v/>
      </c>
      <c r="H370" s="114">
        <f>+'Invullen groen'!K380</f>
        <v/>
      </c>
      <c r="I370" s="124">
        <f>+'Invullen groen'!AW380</f>
        <v/>
      </c>
      <c r="J370" s="124">
        <f>+'Invullen groen'!AX380</f>
        <v/>
      </c>
      <c r="K370" s="124">
        <f>+'Invullen groen'!AY380</f>
        <v/>
      </c>
      <c r="L370" s="124">
        <f>+'Invullen groen'!AZ380</f>
        <v/>
      </c>
      <c r="M370" s="124">
        <f>+'Invullen groen'!BA380</f>
        <v/>
      </c>
      <c r="N370" s="124">
        <f>+'Invullen groen'!BB380</f>
        <v/>
      </c>
      <c r="O370" s="124">
        <f>+'Invullen groen'!BC380</f>
        <v/>
      </c>
      <c r="P370" s="124">
        <f>+'Invullen groen'!BD380</f>
        <v/>
      </c>
    </row>
    <row r="371">
      <c r="A371" s="113">
        <f>+'Invullen groen'!A381</f>
        <v/>
      </c>
      <c r="B371" s="154">
        <f>+'Invullen groen'!C381</f>
        <v/>
      </c>
      <c r="C371" s="124">
        <f>+'Invullen groen'!G381</f>
        <v/>
      </c>
      <c r="D371" s="113">
        <f>+'Invullen groen'!M381</f>
        <v/>
      </c>
      <c r="E371" s="114">
        <f>+'Invullen groen'!H381</f>
        <v/>
      </c>
      <c r="F371" s="114">
        <f>+'Invullen groen'!I381</f>
        <v/>
      </c>
      <c r="G371" s="114">
        <f>+'Invullen groen'!J381</f>
        <v/>
      </c>
      <c r="H371" s="114">
        <f>+'Invullen groen'!K381</f>
        <v/>
      </c>
      <c r="I371" s="124">
        <f>+'Invullen groen'!AW381</f>
        <v/>
      </c>
      <c r="J371" s="124">
        <f>+'Invullen groen'!AX381</f>
        <v/>
      </c>
      <c r="K371" s="124">
        <f>+'Invullen groen'!AY381</f>
        <v/>
      </c>
      <c r="L371" s="124">
        <f>+'Invullen groen'!AZ381</f>
        <v/>
      </c>
      <c r="M371" s="124">
        <f>+'Invullen groen'!BA381</f>
        <v/>
      </c>
      <c r="N371" s="124">
        <f>+'Invullen groen'!BB381</f>
        <v/>
      </c>
      <c r="O371" s="124">
        <f>+'Invullen groen'!BC381</f>
        <v/>
      </c>
      <c r="P371" s="124">
        <f>+'Invullen groen'!BD381</f>
        <v/>
      </c>
    </row>
    <row r="372">
      <c r="A372" s="113">
        <f>+'Invullen groen'!A382</f>
        <v/>
      </c>
      <c r="B372" s="154">
        <f>+'Invullen groen'!C382</f>
        <v/>
      </c>
      <c r="C372" s="124">
        <f>+'Invullen groen'!G382</f>
        <v/>
      </c>
      <c r="D372" s="113">
        <f>+'Invullen groen'!M382</f>
        <v/>
      </c>
      <c r="E372" s="114">
        <f>+'Invullen groen'!H382</f>
        <v/>
      </c>
      <c r="F372" s="114">
        <f>+'Invullen groen'!I382</f>
        <v/>
      </c>
      <c r="G372" s="114">
        <f>+'Invullen groen'!J382</f>
        <v/>
      </c>
      <c r="H372" s="114">
        <f>+'Invullen groen'!K382</f>
        <v/>
      </c>
      <c r="I372" s="124">
        <f>+'Invullen groen'!AW382</f>
        <v/>
      </c>
      <c r="J372" s="124">
        <f>+'Invullen groen'!AX382</f>
        <v/>
      </c>
      <c r="K372" s="124">
        <f>+'Invullen groen'!AY382</f>
        <v/>
      </c>
      <c r="L372" s="124">
        <f>+'Invullen groen'!AZ382</f>
        <v/>
      </c>
      <c r="M372" s="124">
        <f>+'Invullen groen'!BA382</f>
        <v/>
      </c>
      <c r="N372" s="124">
        <f>+'Invullen groen'!BB382</f>
        <v/>
      </c>
      <c r="O372" s="124">
        <f>+'Invullen groen'!BC382</f>
        <v/>
      </c>
      <c r="P372" s="124">
        <f>+'Invullen groen'!BD382</f>
        <v/>
      </c>
    </row>
    <row r="373">
      <c r="A373" s="113">
        <f>+'Invullen groen'!A383</f>
        <v/>
      </c>
      <c r="B373" s="154">
        <f>+'Invullen groen'!C383</f>
        <v/>
      </c>
      <c r="C373" s="124">
        <f>+'Invullen groen'!G383</f>
        <v/>
      </c>
      <c r="D373" s="113">
        <f>+'Invullen groen'!M383</f>
        <v/>
      </c>
      <c r="E373" s="114">
        <f>+'Invullen groen'!H383</f>
        <v/>
      </c>
      <c r="F373" s="114">
        <f>+'Invullen groen'!I383</f>
        <v/>
      </c>
      <c r="G373" s="114">
        <f>+'Invullen groen'!J383</f>
        <v/>
      </c>
      <c r="H373" s="114">
        <f>+'Invullen groen'!K383</f>
        <v/>
      </c>
      <c r="I373" s="124">
        <f>+'Invullen groen'!AW383</f>
        <v/>
      </c>
      <c r="J373" s="124">
        <f>+'Invullen groen'!AX383</f>
        <v/>
      </c>
      <c r="K373" s="124">
        <f>+'Invullen groen'!AY383</f>
        <v/>
      </c>
      <c r="L373" s="124">
        <f>+'Invullen groen'!AZ383</f>
        <v/>
      </c>
      <c r="M373" s="124">
        <f>+'Invullen groen'!BA383</f>
        <v/>
      </c>
      <c r="N373" s="124">
        <f>+'Invullen groen'!BB383</f>
        <v/>
      </c>
      <c r="O373" s="124">
        <f>+'Invullen groen'!BC383</f>
        <v/>
      </c>
      <c r="P373" s="124">
        <f>+'Invullen groen'!BD383</f>
        <v/>
      </c>
    </row>
    <row r="374">
      <c r="A374" s="113">
        <f>+'Invullen groen'!A384</f>
        <v/>
      </c>
      <c r="B374" s="154">
        <f>+'Invullen groen'!C384</f>
        <v/>
      </c>
      <c r="C374" s="124">
        <f>+'Invullen groen'!G384</f>
        <v/>
      </c>
      <c r="D374" s="113">
        <f>+'Invullen groen'!M384</f>
        <v/>
      </c>
      <c r="E374" s="114">
        <f>+'Invullen groen'!H384</f>
        <v/>
      </c>
      <c r="F374" s="114">
        <f>+'Invullen groen'!I384</f>
        <v/>
      </c>
      <c r="G374" s="114">
        <f>+'Invullen groen'!J384</f>
        <v/>
      </c>
      <c r="H374" s="114">
        <f>+'Invullen groen'!K384</f>
        <v/>
      </c>
      <c r="I374" s="124">
        <f>+'Invullen groen'!AW384</f>
        <v/>
      </c>
      <c r="J374" s="124">
        <f>+'Invullen groen'!AX384</f>
        <v/>
      </c>
      <c r="K374" s="124">
        <f>+'Invullen groen'!AY384</f>
        <v/>
      </c>
      <c r="L374" s="124">
        <f>+'Invullen groen'!AZ384</f>
        <v/>
      </c>
      <c r="M374" s="124">
        <f>+'Invullen groen'!BA384</f>
        <v/>
      </c>
      <c r="N374" s="124">
        <f>+'Invullen groen'!BB384</f>
        <v/>
      </c>
      <c r="O374" s="124">
        <f>+'Invullen groen'!BC384</f>
        <v/>
      </c>
      <c r="P374" s="124">
        <f>+'Invullen groen'!BD384</f>
        <v/>
      </c>
    </row>
    <row r="375">
      <c r="A375" s="113">
        <f>+'Invullen groen'!A385</f>
        <v/>
      </c>
      <c r="B375" s="154">
        <f>+'Invullen groen'!C385</f>
        <v/>
      </c>
      <c r="C375" s="124">
        <f>+'Invullen groen'!G385</f>
        <v/>
      </c>
      <c r="D375" s="113">
        <f>+'Invullen groen'!M385</f>
        <v/>
      </c>
      <c r="E375" s="114">
        <f>+'Invullen groen'!H385</f>
        <v/>
      </c>
      <c r="F375" s="114">
        <f>+'Invullen groen'!I385</f>
        <v/>
      </c>
      <c r="G375" s="114">
        <f>+'Invullen groen'!J385</f>
        <v/>
      </c>
      <c r="H375" s="114">
        <f>+'Invullen groen'!K385</f>
        <v/>
      </c>
      <c r="I375" s="124">
        <f>+'Invullen groen'!AW385</f>
        <v/>
      </c>
      <c r="J375" s="124">
        <f>+'Invullen groen'!AX385</f>
        <v/>
      </c>
      <c r="K375" s="124">
        <f>+'Invullen groen'!AY385</f>
        <v/>
      </c>
      <c r="L375" s="124">
        <f>+'Invullen groen'!AZ385</f>
        <v/>
      </c>
      <c r="M375" s="124">
        <f>+'Invullen groen'!BA385</f>
        <v/>
      </c>
      <c r="N375" s="124">
        <f>+'Invullen groen'!BB385</f>
        <v/>
      </c>
      <c r="O375" s="124">
        <f>+'Invullen groen'!BC385</f>
        <v/>
      </c>
      <c r="P375" s="124">
        <f>+'Invullen groen'!BD385</f>
        <v/>
      </c>
    </row>
    <row r="376">
      <c r="A376" s="113">
        <f>+'Invullen groen'!A386</f>
        <v/>
      </c>
      <c r="B376" s="154">
        <f>+'Invullen groen'!C386</f>
        <v/>
      </c>
      <c r="C376" s="124">
        <f>+'Invullen groen'!G386</f>
        <v/>
      </c>
      <c r="D376" s="113">
        <f>+'Invullen groen'!M386</f>
        <v/>
      </c>
      <c r="E376" s="114">
        <f>+'Invullen groen'!H386</f>
        <v/>
      </c>
      <c r="F376" s="114">
        <f>+'Invullen groen'!I386</f>
        <v/>
      </c>
      <c r="G376" s="114">
        <f>+'Invullen groen'!J386</f>
        <v/>
      </c>
      <c r="H376" s="114">
        <f>+'Invullen groen'!K386</f>
        <v/>
      </c>
      <c r="I376" s="124">
        <f>+'Invullen groen'!AW386</f>
        <v/>
      </c>
      <c r="J376" s="124">
        <f>+'Invullen groen'!AX386</f>
        <v/>
      </c>
      <c r="K376" s="124">
        <f>+'Invullen groen'!AY386</f>
        <v/>
      </c>
      <c r="L376" s="124">
        <f>+'Invullen groen'!AZ386</f>
        <v/>
      </c>
      <c r="M376" s="124">
        <f>+'Invullen groen'!BA386</f>
        <v/>
      </c>
      <c r="N376" s="124">
        <f>+'Invullen groen'!BB386</f>
        <v/>
      </c>
      <c r="O376" s="124">
        <f>+'Invullen groen'!BC386</f>
        <v/>
      </c>
      <c r="P376" s="124">
        <f>+'Invullen groen'!BD386</f>
        <v/>
      </c>
    </row>
    <row r="377">
      <c r="A377" s="113">
        <f>+'Invullen groen'!A387</f>
        <v/>
      </c>
      <c r="B377" s="154">
        <f>+'Invullen groen'!C387</f>
        <v/>
      </c>
      <c r="C377" s="124">
        <f>+'Invullen groen'!G387</f>
        <v/>
      </c>
      <c r="D377" s="113">
        <f>+'Invullen groen'!M387</f>
        <v/>
      </c>
      <c r="E377" s="114">
        <f>+'Invullen groen'!H387</f>
        <v/>
      </c>
      <c r="F377" s="114">
        <f>+'Invullen groen'!I387</f>
        <v/>
      </c>
      <c r="G377" s="114">
        <f>+'Invullen groen'!J387</f>
        <v/>
      </c>
      <c r="H377" s="114">
        <f>+'Invullen groen'!K387</f>
        <v/>
      </c>
      <c r="I377" s="124">
        <f>+'Invullen groen'!AW387</f>
        <v/>
      </c>
      <c r="J377" s="124">
        <f>+'Invullen groen'!AX387</f>
        <v/>
      </c>
      <c r="K377" s="124">
        <f>+'Invullen groen'!AY387</f>
        <v/>
      </c>
      <c r="L377" s="124">
        <f>+'Invullen groen'!AZ387</f>
        <v/>
      </c>
      <c r="M377" s="124">
        <f>+'Invullen groen'!BA387</f>
        <v/>
      </c>
      <c r="N377" s="124">
        <f>+'Invullen groen'!BB387</f>
        <v/>
      </c>
      <c r="O377" s="124">
        <f>+'Invullen groen'!BC387</f>
        <v/>
      </c>
      <c r="P377" s="124">
        <f>+'Invullen groen'!BD387</f>
        <v/>
      </c>
    </row>
    <row r="378">
      <c r="A378" s="113">
        <f>+'Invullen groen'!A388</f>
        <v/>
      </c>
      <c r="B378" s="154">
        <f>+'Invullen groen'!C388</f>
        <v/>
      </c>
      <c r="C378" s="124">
        <f>+'Invullen groen'!G388</f>
        <v/>
      </c>
      <c r="D378" s="113">
        <f>+'Invullen groen'!M388</f>
        <v/>
      </c>
      <c r="E378" s="114">
        <f>+'Invullen groen'!H388</f>
        <v/>
      </c>
      <c r="F378" s="114">
        <f>+'Invullen groen'!I388</f>
        <v/>
      </c>
      <c r="G378" s="114">
        <f>+'Invullen groen'!J388</f>
        <v/>
      </c>
      <c r="H378" s="114">
        <f>+'Invullen groen'!K388</f>
        <v/>
      </c>
      <c r="I378" s="124">
        <f>+'Invullen groen'!AW388</f>
        <v/>
      </c>
      <c r="J378" s="124">
        <f>+'Invullen groen'!AX388</f>
        <v/>
      </c>
      <c r="K378" s="124">
        <f>+'Invullen groen'!AY388</f>
        <v/>
      </c>
      <c r="L378" s="124">
        <f>+'Invullen groen'!AZ388</f>
        <v/>
      </c>
      <c r="M378" s="124">
        <f>+'Invullen groen'!BA388</f>
        <v/>
      </c>
      <c r="N378" s="124">
        <f>+'Invullen groen'!BB388</f>
        <v/>
      </c>
      <c r="O378" s="124">
        <f>+'Invullen groen'!BC388</f>
        <v/>
      </c>
      <c r="P378" s="124">
        <f>+'Invullen groen'!BD388</f>
        <v/>
      </c>
    </row>
    <row r="379">
      <c r="A379" s="113">
        <f>+'Invullen groen'!A389</f>
        <v/>
      </c>
      <c r="B379" s="154">
        <f>+'Invullen groen'!C389</f>
        <v/>
      </c>
      <c r="C379" s="124">
        <f>+'Invullen groen'!G389</f>
        <v/>
      </c>
      <c r="D379" s="113">
        <f>+'Invullen groen'!M389</f>
        <v/>
      </c>
      <c r="E379" s="114">
        <f>+'Invullen groen'!H389</f>
        <v/>
      </c>
      <c r="F379" s="114">
        <f>+'Invullen groen'!I389</f>
        <v/>
      </c>
      <c r="G379" s="114">
        <f>+'Invullen groen'!J389</f>
        <v/>
      </c>
      <c r="H379" s="114">
        <f>+'Invullen groen'!K389</f>
        <v/>
      </c>
      <c r="I379" s="124">
        <f>+'Invullen groen'!AW389</f>
        <v/>
      </c>
      <c r="J379" s="124">
        <f>+'Invullen groen'!AX389</f>
        <v/>
      </c>
      <c r="K379" s="124">
        <f>+'Invullen groen'!AY389</f>
        <v/>
      </c>
      <c r="L379" s="124">
        <f>+'Invullen groen'!AZ389</f>
        <v/>
      </c>
      <c r="M379" s="124">
        <f>+'Invullen groen'!BA389</f>
        <v/>
      </c>
      <c r="N379" s="124">
        <f>+'Invullen groen'!BB389</f>
        <v/>
      </c>
      <c r="O379" s="124">
        <f>+'Invullen groen'!BC389</f>
        <v/>
      </c>
      <c r="P379" s="124">
        <f>+'Invullen groen'!BD389</f>
        <v/>
      </c>
    </row>
    <row r="380">
      <c r="A380" s="113">
        <f>+'Invullen groen'!A390</f>
        <v/>
      </c>
      <c r="B380" s="154">
        <f>+'Invullen groen'!C390</f>
        <v/>
      </c>
      <c r="C380" s="124">
        <f>+'Invullen groen'!G390</f>
        <v/>
      </c>
      <c r="D380" s="113">
        <f>+'Invullen groen'!M390</f>
        <v/>
      </c>
      <c r="E380" s="114">
        <f>+'Invullen groen'!H390</f>
        <v/>
      </c>
      <c r="F380" s="114">
        <f>+'Invullen groen'!I390</f>
        <v/>
      </c>
      <c r="G380" s="114">
        <f>+'Invullen groen'!J390</f>
        <v/>
      </c>
      <c r="H380" s="114">
        <f>+'Invullen groen'!K390</f>
        <v/>
      </c>
      <c r="I380" s="124">
        <f>+'Invullen groen'!AW390</f>
        <v/>
      </c>
      <c r="J380" s="124">
        <f>+'Invullen groen'!AX390</f>
        <v/>
      </c>
      <c r="K380" s="124">
        <f>+'Invullen groen'!AY390</f>
        <v/>
      </c>
      <c r="L380" s="124">
        <f>+'Invullen groen'!AZ390</f>
        <v/>
      </c>
      <c r="M380" s="124">
        <f>+'Invullen groen'!BA390</f>
        <v/>
      </c>
      <c r="N380" s="124">
        <f>+'Invullen groen'!BB390</f>
        <v/>
      </c>
      <c r="O380" s="124">
        <f>+'Invullen groen'!BC390</f>
        <v/>
      </c>
      <c r="P380" s="124">
        <f>+'Invullen groen'!BD390</f>
        <v/>
      </c>
    </row>
    <row r="381">
      <c r="A381" s="113">
        <f>+'Invullen groen'!A391</f>
        <v/>
      </c>
      <c r="B381" s="154">
        <f>+'Invullen groen'!C391</f>
        <v/>
      </c>
      <c r="C381" s="124">
        <f>+'Invullen groen'!G391</f>
        <v/>
      </c>
      <c r="D381" s="113">
        <f>+'Invullen groen'!M391</f>
        <v/>
      </c>
      <c r="E381" s="114">
        <f>+'Invullen groen'!H391</f>
        <v/>
      </c>
      <c r="F381" s="114">
        <f>+'Invullen groen'!I391</f>
        <v/>
      </c>
      <c r="G381" s="114">
        <f>+'Invullen groen'!J391</f>
        <v/>
      </c>
      <c r="H381" s="114">
        <f>+'Invullen groen'!K391</f>
        <v/>
      </c>
      <c r="I381" s="124">
        <f>+'Invullen groen'!AW391</f>
        <v/>
      </c>
      <c r="J381" s="124">
        <f>+'Invullen groen'!AX391</f>
        <v/>
      </c>
      <c r="K381" s="124">
        <f>+'Invullen groen'!AY391</f>
        <v/>
      </c>
      <c r="L381" s="124">
        <f>+'Invullen groen'!AZ391</f>
        <v/>
      </c>
      <c r="M381" s="124">
        <f>+'Invullen groen'!BA391</f>
        <v/>
      </c>
      <c r="N381" s="124">
        <f>+'Invullen groen'!BB391</f>
        <v/>
      </c>
      <c r="O381" s="124">
        <f>+'Invullen groen'!BC391</f>
        <v/>
      </c>
      <c r="P381" s="124">
        <f>+'Invullen groen'!BD391</f>
        <v/>
      </c>
    </row>
    <row r="382">
      <c r="A382" s="113">
        <f>+'Invullen groen'!A392</f>
        <v/>
      </c>
      <c r="B382" s="154">
        <f>+'Invullen groen'!C392</f>
        <v/>
      </c>
      <c r="C382" s="124">
        <f>+'Invullen groen'!G392</f>
        <v/>
      </c>
      <c r="D382" s="113">
        <f>+'Invullen groen'!M392</f>
        <v/>
      </c>
      <c r="E382" s="114">
        <f>+'Invullen groen'!H392</f>
        <v/>
      </c>
      <c r="F382" s="114">
        <f>+'Invullen groen'!I392</f>
        <v/>
      </c>
      <c r="G382" s="114">
        <f>+'Invullen groen'!J392</f>
        <v/>
      </c>
      <c r="H382" s="114">
        <f>+'Invullen groen'!K392</f>
        <v/>
      </c>
      <c r="I382" s="124">
        <f>+'Invullen groen'!AW392</f>
        <v/>
      </c>
      <c r="J382" s="124">
        <f>+'Invullen groen'!AX392</f>
        <v/>
      </c>
      <c r="K382" s="124">
        <f>+'Invullen groen'!AY392</f>
        <v/>
      </c>
      <c r="L382" s="124">
        <f>+'Invullen groen'!AZ392</f>
        <v/>
      </c>
      <c r="M382" s="124">
        <f>+'Invullen groen'!BA392</f>
        <v/>
      </c>
      <c r="N382" s="124">
        <f>+'Invullen groen'!BB392</f>
        <v/>
      </c>
      <c r="O382" s="124">
        <f>+'Invullen groen'!BC392</f>
        <v/>
      </c>
      <c r="P382" s="124">
        <f>+'Invullen groen'!BD392</f>
        <v/>
      </c>
    </row>
    <row r="383">
      <c r="A383" s="113">
        <f>+'Invullen groen'!A393</f>
        <v/>
      </c>
      <c r="B383" s="154">
        <f>+'Invullen groen'!C393</f>
        <v/>
      </c>
      <c r="C383" s="124">
        <f>+'Invullen groen'!G393</f>
        <v/>
      </c>
      <c r="D383" s="113">
        <f>+'Invullen groen'!M393</f>
        <v/>
      </c>
      <c r="E383" s="114">
        <f>+'Invullen groen'!H393</f>
        <v/>
      </c>
      <c r="F383" s="114">
        <f>+'Invullen groen'!I393</f>
        <v/>
      </c>
      <c r="G383" s="114">
        <f>+'Invullen groen'!J393</f>
        <v/>
      </c>
      <c r="H383" s="114">
        <f>+'Invullen groen'!K393</f>
        <v/>
      </c>
      <c r="I383" s="124">
        <f>+'Invullen groen'!AW393</f>
        <v/>
      </c>
      <c r="J383" s="124">
        <f>+'Invullen groen'!AX393</f>
        <v/>
      </c>
      <c r="K383" s="124">
        <f>+'Invullen groen'!AY393</f>
        <v/>
      </c>
      <c r="L383" s="124">
        <f>+'Invullen groen'!AZ393</f>
        <v/>
      </c>
      <c r="M383" s="124">
        <f>+'Invullen groen'!BA393</f>
        <v/>
      </c>
      <c r="N383" s="124">
        <f>+'Invullen groen'!BB393</f>
        <v/>
      </c>
      <c r="O383" s="124">
        <f>+'Invullen groen'!BC393</f>
        <v/>
      </c>
      <c r="P383" s="124">
        <f>+'Invullen groen'!BD393</f>
        <v/>
      </c>
    </row>
    <row r="384">
      <c r="A384" s="113">
        <f>+'Invullen groen'!A394</f>
        <v/>
      </c>
      <c r="B384" s="154">
        <f>+'Invullen groen'!C394</f>
        <v/>
      </c>
      <c r="C384" s="124">
        <f>+'Invullen groen'!G394</f>
        <v/>
      </c>
      <c r="D384" s="113">
        <f>+'Invullen groen'!M394</f>
        <v/>
      </c>
      <c r="E384" s="114">
        <f>+'Invullen groen'!H394</f>
        <v/>
      </c>
      <c r="F384" s="114">
        <f>+'Invullen groen'!I394</f>
        <v/>
      </c>
      <c r="G384" s="114">
        <f>+'Invullen groen'!J394</f>
        <v/>
      </c>
      <c r="H384" s="114">
        <f>+'Invullen groen'!K394</f>
        <v/>
      </c>
      <c r="I384" s="124">
        <f>+'Invullen groen'!AW394</f>
        <v/>
      </c>
      <c r="J384" s="124">
        <f>+'Invullen groen'!AX394</f>
        <v/>
      </c>
      <c r="K384" s="124">
        <f>+'Invullen groen'!AY394</f>
        <v/>
      </c>
      <c r="L384" s="124">
        <f>+'Invullen groen'!AZ394</f>
        <v/>
      </c>
      <c r="M384" s="124">
        <f>+'Invullen groen'!BA394</f>
        <v/>
      </c>
      <c r="N384" s="124">
        <f>+'Invullen groen'!BB394</f>
        <v/>
      </c>
      <c r="O384" s="124">
        <f>+'Invullen groen'!BC394</f>
        <v/>
      </c>
      <c r="P384" s="124">
        <f>+'Invullen groen'!BD394</f>
        <v/>
      </c>
    </row>
    <row r="385">
      <c r="A385" s="113">
        <f>+'Invullen groen'!A395</f>
        <v/>
      </c>
      <c r="B385" s="154">
        <f>+'Invullen groen'!C395</f>
        <v/>
      </c>
      <c r="C385" s="124">
        <f>+'Invullen groen'!G395</f>
        <v/>
      </c>
      <c r="D385" s="113">
        <f>+'Invullen groen'!M395</f>
        <v/>
      </c>
      <c r="E385" s="114">
        <f>+'Invullen groen'!H395</f>
        <v/>
      </c>
      <c r="F385" s="114">
        <f>+'Invullen groen'!I395</f>
        <v/>
      </c>
      <c r="G385" s="114">
        <f>+'Invullen groen'!J395</f>
        <v/>
      </c>
      <c r="H385" s="114">
        <f>+'Invullen groen'!K395</f>
        <v/>
      </c>
      <c r="I385" s="124">
        <f>+'Invullen groen'!AW395</f>
        <v/>
      </c>
      <c r="J385" s="124">
        <f>+'Invullen groen'!AX395</f>
        <v/>
      </c>
      <c r="K385" s="124">
        <f>+'Invullen groen'!AY395</f>
        <v/>
      </c>
      <c r="L385" s="124">
        <f>+'Invullen groen'!AZ395</f>
        <v/>
      </c>
      <c r="M385" s="124">
        <f>+'Invullen groen'!BA395</f>
        <v/>
      </c>
      <c r="N385" s="124">
        <f>+'Invullen groen'!BB395</f>
        <v/>
      </c>
      <c r="O385" s="124">
        <f>+'Invullen groen'!BC395</f>
        <v/>
      </c>
      <c r="P385" s="124">
        <f>+'Invullen groen'!BD395</f>
        <v/>
      </c>
    </row>
    <row r="386">
      <c r="A386" s="113">
        <f>+'Invullen groen'!A396</f>
        <v/>
      </c>
      <c r="B386" s="154">
        <f>+'Invullen groen'!C396</f>
        <v/>
      </c>
      <c r="C386" s="124">
        <f>+'Invullen groen'!G396</f>
        <v/>
      </c>
      <c r="D386" s="113">
        <f>+'Invullen groen'!M396</f>
        <v/>
      </c>
      <c r="E386" s="114">
        <f>+'Invullen groen'!H396</f>
        <v/>
      </c>
      <c r="F386" s="114">
        <f>+'Invullen groen'!I396</f>
        <v/>
      </c>
      <c r="G386" s="114">
        <f>+'Invullen groen'!J396</f>
        <v/>
      </c>
      <c r="H386" s="114">
        <f>+'Invullen groen'!K396</f>
        <v/>
      </c>
      <c r="I386" s="124">
        <f>+'Invullen groen'!AW396</f>
        <v/>
      </c>
      <c r="J386" s="124">
        <f>+'Invullen groen'!AX396</f>
        <v/>
      </c>
      <c r="K386" s="124">
        <f>+'Invullen groen'!AY396</f>
        <v/>
      </c>
      <c r="L386" s="124">
        <f>+'Invullen groen'!AZ396</f>
        <v/>
      </c>
      <c r="M386" s="124">
        <f>+'Invullen groen'!BA396</f>
        <v/>
      </c>
      <c r="N386" s="124">
        <f>+'Invullen groen'!BB396</f>
        <v/>
      </c>
      <c r="O386" s="124">
        <f>+'Invullen groen'!BC396</f>
        <v/>
      </c>
      <c r="P386" s="124">
        <f>+'Invullen groen'!BD396</f>
        <v/>
      </c>
    </row>
    <row r="387">
      <c r="A387" s="113">
        <f>+'Invullen groen'!A397</f>
        <v/>
      </c>
      <c r="B387" s="154">
        <f>+'Invullen groen'!C397</f>
        <v/>
      </c>
      <c r="C387" s="124">
        <f>+'Invullen groen'!G397</f>
        <v/>
      </c>
      <c r="D387" s="113">
        <f>+'Invullen groen'!M397</f>
        <v/>
      </c>
      <c r="E387" s="114">
        <f>+'Invullen groen'!H397</f>
        <v/>
      </c>
      <c r="F387" s="114">
        <f>+'Invullen groen'!I397</f>
        <v/>
      </c>
      <c r="G387" s="114">
        <f>+'Invullen groen'!J397</f>
        <v/>
      </c>
      <c r="H387" s="114">
        <f>+'Invullen groen'!K397</f>
        <v/>
      </c>
      <c r="I387" s="124">
        <f>+'Invullen groen'!AW397</f>
        <v/>
      </c>
      <c r="J387" s="124">
        <f>+'Invullen groen'!AX397</f>
        <v/>
      </c>
      <c r="K387" s="124">
        <f>+'Invullen groen'!AY397</f>
        <v/>
      </c>
      <c r="L387" s="124">
        <f>+'Invullen groen'!AZ397</f>
        <v/>
      </c>
      <c r="M387" s="124">
        <f>+'Invullen groen'!BA397</f>
        <v/>
      </c>
      <c r="N387" s="124">
        <f>+'Invullen groen'!BB397</f>
        <v/>
      </c>
      <c r="O387" s="124">
        <f>+'Invullen groen'!BC397</f>
        <v/>
      </c>
      <c r="P387" s="124">
        <f>+'Invullen groen'!BD397</f>
        <v/>
      </c>
    </row>
    <row r="388">
      <c r="A388" s="113">
        <f>+'Invullen groen'!A398</f>
        <v/>
      </c>
      <c r="B388" s="154">
        <f>+'Invullen groen'!C398</f>
        <v/>
      </c>
      <c r="C388" s="124">
        <f>+'Invullen groen'!G398</f>
        <v/>
      </c>
      <c r="D388" s="113">
        <f>+'Invullen groen'!M398</f>
        <v/>
      </c>
      <c r="E388" s="114">
        <f>+'Invullen groen'!H398</f>
        <v/>
      </c>
      <c r="F388" s="114">
        <f>+'Invullen groen'!I398</f>
        <v/>
      </c>
      <c r="G388" s="114">
        <f>+'Invullen groen'!J398</f>
        <v/>
      </c>
      <c r="H388" s="114">
        <f>+'Invullen groen'!K398</f>
        <v/>
      </c>
      <c r="I388" s="124">
        <f>+'Invullen groen'!AW398</f>
        <v/>
      </c>
      <c r="J388" s="124">
        <f>+'Invullen groen'!AX398</f>
        <v/>
      </c>
      <c r="K388" s="124">
        <f>+'Invullen groen'!AY398</f>
        <v/>
      </c>
      <c r="L388" s="124">
        <f>+'Invullen groen'!AZ398</f>
        <v/>
      </c>
      <c r="M388" s="124">
        <f>+'Invullen groen'!BA398</f>
        <v/>
      </c>
      <c r="N388" s="124">
        <f>+'Invullen groen'!BB398</f>
        <v/>
      </c>
      <c r="O388" s="124">
        <f>+'Invullen groen'!BC398</f>
        <v/>
      </c>
      <c r="P388" s="124">
        <f>+'Invullen groen'!BD398</f>
        <v/>
      </c>
    </row>
    <row r="389">
      <c r="A389" s="113">
        <f>+'Invullen groen'!A399</f>
        <v/>
      </c>
      <c r="B389" s="154">
        <f>+'Invullen groen'!C399</f>
        <v/>
      </c>
      <c r="C389" s="124">
        <f>+'Invullen groen'!G399</f>
        <v/>
      </c>
      <c r="D389" s="113">
        <f>+'Invullen groen'!M399</f>
        <v/>
      </c>
      <c r="E389" s="114">
        <f>+'Invullen groen'!H399</f>
        <v/>
      </c>
      <c r="F389" s="114">
        <f>+'Invullen groen'!I399</f>
        <v/>
      </c>
      <c r="G389" s="114">
        <f>+'Invullen groen'!J399</f>
        <v/>
      </c>
      <c r="H389" s="114">
        <f>+'Invullen groen'!K399</f>
        <v/>
      </c>
      <c r="I389" s="124">
        <f>+'Invullen groen'!AW399</f>
        <v/>
      </c>
      <c r="J389" s="124">
        <f>+'Invullen groen'!AX399</f>
        <v/>
      </c>
      <c r="K389" s="124">
        <f>+'Invullen groen'!AY399</f>
        <v/>
      </c>
      <c r="L389" s="124">
        <f>+'Invullen groen'!AZ399</f>
        <v/>
      </c>
      <c r="M389" s="124">
        <f>+'Invullen groen'!BA399</f>
        <v/>
      </c>
      <c r="N389" s="124">
        <f>+'Invullen groen'!BB399</f>
        <v/>
      </c>
      <c r="O389" s="124">
        <f>+'Invullen groen'!BC399</f>
        <v/>
      </c>
      <c r="P389" s="124">
        <f>+'Invullen groen'!BD399</f>
        <v/>
      </c>
    </row>
    <row r="390">
      <c r="A390" s="113">
        <f>+'Invullen groen'!A400</f>
        <v/>
      </c>
      <c r="B390" s="154">
        <f>+'Invullen groen'!C400</f>
        <v/>
      </c>
      <c r="C390" s="124">
        <f>+'Invullen groen'!G400</f>
        <v/>
      </c>
      <c r="D390" s="113">
        <f>+'Invullen groen'!M400</f>
        <v/>
      </c>
      <c r="E390" s="114">
        <f>+'Invullen groen'!H400</f>
        <v/>
      </c>
      <c r="F390" s="114">
        <f>+'Invullen groen'!I400</f>
        <v/>
      </c>
      <c r="G390" s="114">
        <f>+'Invullen groen'!J400</f>
        <v/>
      </c>
      <c r="H390" s="114">
        <f>+'Invullen groen'!K400</f>
        <v/>
      </c>
      <c r="I390" s="124">
        <f>+'Invullen groen'!AW400</f>
        <v/>
      </c>
      <c r="J390" s="124">
        <f>+'Invullen groen'!AX400</f>
        <v/>
      </c>
      <c r="K390" s="124">
        <f>+'Invullen groen'!AY400</f>
        <v/>
      </c>
      <c r="L390" s="124">
        <f>+'Invullen groen'!AZ400</f>
        <v/>
      </c>
      <c r="M390" s="124">
        <f>+'Invullen groen'!BA400</f>
        <v/>
      </c>
      <c r="N390" s="124">
        <f>+'Invullen groen'!BB400</f>
        <v/>
      </c>
      <c r="O390" s="124">
        <f>+'Invullen groen'!BC400</f>
        <v/>
      </c>
      <c r="P390" s="124">
        <f>+'Invullen groen'!BD400</f>
        <v/>
      </c>
    </row>
    <row r="391">
      <c r="A391" s="113">
        <f>+'Invullen groen'!A401</f>
        <v/>
      </c>
      <c r="B391" s="154">
        <f>+'Invullen groen'!C401</f>
        <v/>
      </c>
      <c r="C391" s="124">
        <f>+'Invullen groen'!G401</f>
        <v/>
      </c>
      <c r="D391" s="113">
        <f>+'Invullen groen'!M401</f>
        <v/>
      </c>
      <c r="E391" s="114">
        <f>+'Invullen groen'!H401</f>
        <v/>
      </c>
      <c r="F391" s="114">
        <f>+'Invullen groen'!I401</f>
        <v/>
      </c>
      <c r="G391" s="114">
        <f>+'Invullen groen'!J401</f>
        <v/>
      </c>
      <c r="H391" s="114">
        <f>+'Invullen groen'!K401</f>
        <v/>
      </c>
      <c r="I391" s="124">
        <f>+'Invullen groen'!AW401</f>
        <v/>
      </c>
      <c r="J391" s="124">
        <f>+'Invullen groen'!AX401</f>
        <v/>
      </c>
      <c r="K391" s="124">
        <f>+'Invullen groen'!AY401</f>
        <v/>
      </c>
      <c r="L391" s="124">
        <f>+'Invullen groen'!AZ401</f>
        <v/>
      </c>
      <c r="M391" s="124">
        <f>+'Invullen groen'!BA401</f>
        <v/>
      </c>
      <c r="N391" s="124">
        <f>+'Invullen groen'!BB401</f>
        <v/>
      </c>
      <c r="O391" s="124">
        <f>+'Invullen groen'!BC401</f>
        <v/>
      </c>
      <c r="P391" s="124">
        <f>+'Invullen groen'!BD401</f>
        <v/>
      </c>
    </row>
    <row r="392">
      <c r="A392" s="113">
        <f>+'Invullen groen'!A402</f>
        <v/>
      </c>
      <c r="B392" s="154">
        <f>+'Invullen groen'!C402</f>
        <v/>
      </c>
      <c r="C392" s="124">
        <f>+'Invullen groen'!G402</f>
        <v/>
      </c>
      <c r="D392" s="113">
        <f>+'Invullen groen'!M402</f>
        <v/>
      </c>
      <c r="E392" s="114">
        <f>+'Invullen groen'!H402</f>
        <v/>
      </c>
      <c r="F392" s="114">
        <f>+'Invullen groen'!I402</f>
        <v/>
      </c>
      <c r="G392" s="114">
        <f>+'Invullen groen'!J402</f>
        <v/>
      </c>
      <c r="H392" s="114">
        <f>+'Invullen groen'!K402</f>
        <v/>
      </c>
      <c r="I392" s="124">
        <f>+'Invullen groen'!AW402</f>
        <v/>
      </c>
      <c r="J392" s="124">
        <f>+'Invullen groen'!AX402</f>
        <v/>
      </c>
      <c r="K392" s="124">
        <f>+'Invullen groen'!AY402</f>
        <v/>
      </c>
      <c r="L392" s="124">
        <f>+'Invullen groen'!AZ402</f>
        <v/>
      </c>
      <c r="M392" s="124">
        <f>+'Invullen groen'!BA402</f>
        <v/>
      </c>
      <c r="N392" s="124">
        <f>+'Invullen groen'!BB402</f>
        <v/>
      </c>
      <c r="O392" s="124">
        <f>+'Invullen groen'!BC402</f>
        <v/>
      </c>
      <c r="P392" s="124">
        <f>+'Invullen groen'!BD402</f>
        <v/>
      </c>
    </row>
    <row r="393">
      <c r="A393" s="113">
        <f>+'Invullen groen'!A403</f>
        <v/>
      </c>
      <c r="B393" s="154">
        <f>+'Invullen groen'!C403</f>
        <v/>
      </c>
      <c r="C393" s="124">
        <f>+'Invullen groen'!G403</f>
        <v/>
      </c>
      <c r="D393" s="113">
        <f>+'Invullen groen'!M403</f>
        <v/>
      </c>
      <c r="E393" s="114">
        <f>+'Invullen groen'!H403</f>
        <v/>
      </c>
      <c r="F393" s="114">
        <f>+'Invullen groen'!I403</f>
        <v/>
      </c>
      <c r="G393" s="114">
        <f>+'Invullen groen'!J403</f>
        <v/>
      </c>
      <c r="H393" s="114">
        <f>+'Invullen groen'!K403</f>
        <v/>
      </c>
      <c r="I393" s="124">
        <f>+'Invullen groen'!AW403</f>
        <v/>
      </c>
      <c r="J393" s="124">
        <f>+'Invullen groen'!AX403</f>
        <v/>
      </c>
      <c r="K393" s="124">
        <f>+'Invullen groen'!AY403</f>
        <v/>
      </c>
      <c r="L393" s="124">
        <f>+'Invullen groen'!AZ403</f>
        <v/>
      </c>
      <c r="M393" s="124">
        <f>+'Invullen groen'!BA403</f>
        <v/>
      </c>
      <c r="N393" s="124">
        <f>+'Invullen groen'!BB403</f>
        <v/>
      </c>
      <c r="O393" s="124">
        <f>+'Invullen groen'!BC403</f>
        <v/>
      </c>
      <c r="P393" s="124">
        <f>+'Invullen groen'!BD403</f>
        <v/>
      </c>
    </row>
    <row r="394">
      <c r="A394" s="113">
        <f>+'Invullen groen'!A404</f>
        <v/>
      </c>
      <c r="B394" s="154">
        <f>+'Invullen groen'!C404</f>
        <v/>
      </c>
      <c r="C394" s="124">
        <f>+'Invullen groen'!G404</f>
        <v/>
      </c>
      <c r="D394" s="113">
        <f>+'Invullen groen'!M404</f>
        <v/>
      </c>
      <c r="E394" s="114">
        <f>+'Invullen groen'!H404</f>
        <v/>
      </c>
      <c r="F394" s="114">
        <f>+'Invullen groen'!I404</f>
        <v/>
      </c>
      <c r="G394" s="114">
        <f>+'Invullen groen'!J404</f>
        <v/>
      </c>
      <c r="H394" s="114">
        <f>+'Invullen groen'!K404</f>
        <v/>
      </c>
      <c r="I394" s="124">
        <f>+'Invullen groen'!AW404</f>
        <v/>
      </c>
      <c r="J394" s="124">
        <f>+'Invullen groen'!AX404</f>
        <v/>
      </c>
      <c r="K394" s="124">
        <f>+'Invullen groen'!AY404</f>
        <v/>
      </c>
      <c r="L394" s="124">
        <f>+'Invullen groen'!AZ404</f>
        <v/>
      </c>
      <c r="M394" s="124">
        <f>+'Invullen groen'!BA404</f>
        <v/>
      </c>
      <c r="N394" s="124">
        <f>+'Invullen groen'!BB404</f>
        <v/>
      </c>
      <c r="O394" s="124">
        <f>+'Invullen groen'!BC404</f>
        <v/>
      </c>
      <c r="P394" s="124">
        <f>+'Invullen groen'!BD404</f>
        <v/>
      </c>
    </row>
    <row r="395">
      <c r="A395" s="113">
        <f>+'Invullen groen'!A405</f>
        <v/>
      </c>
      <c r="B395" s="154">
        <f>+'Invullen groen'!C405</f>
        <v/>
      </c>
      <c r="C395" s="124">
        <f>+'Invullen groen'!G405</f>
        <v/>
      </c>
      <c r="D395" s="113">
        <f>+'Invullen groen'!M405</f>
        <v/>
      </c>
      <c r="E395" s="114">
        <f>+'Invullen groen'!H405</f>
        <v/>
      </c>
      <c r="F395" s="114">
        <f>+'Invullen groen'!I405</f>
        <v/>
      </c>
      <c r="G395" s="114">
        <f>+'Invullen groen'!J405</f>
        <v/>
      </c>
      <c r="H395" s="114">
        <f>+'Invullen groen'!K405</f>
        <v/>
      </c>
      <c r="I395" s="124">
        <f>+'Invullen groen'!AW405</f>
        <v/>
      </c>
      <c r="J395" s="124">
        <f>+'Invullen groen'!AX405</f>
        <v/>
      </c>
      <c r="K395" s="124">
        <f>+'Invullen groen'!AY405</f>
        <v/>
      </c>
      <c r="L395" s="124">
        <f>+'Invullen groen'!AZ405</f>
        <v/>
      </c>
      <c r="M395" s="124">
        <f>+'Invullen groen'!BA405</f>
        <v/>
      </c>
      <c r="N395" s="124">
        <f>+'Invullen groen'!BB405</f>
        <v/>
      </c>
      <c r="O395" s="124">
        <f>+'Invullen groen'!BC405</f>
        <v/>
      </c>
      <c r="P395" s="124">
        <f>+'Invullen groen'!BD405</f>
        <v/>
      </c>
    </row>
    <row r="396">
      <c r="A396" s="113">
        <f>+'Invullen groen'!A406</f>
        <v/>
      </c>
      <c r="B396" s="154">
        <f>+'Invullen groen'!C406</f>
        <v/>
      </c>
      <c r="C396" s="124">
        <f>+'Invullen groen'!G406</f>
        <v/>
      </c>
      <c r="D396" s="113">
        <f>+'Invullen groen'!M406</f>
        <v/>
      </c>
      <c r="E396" s="114">
        <f>+'Invullen groen'!H406</f>
        <v/>
      </c>
      <c r="F396" s="114">
        <f>+'Invullen groen'!I406</f>
        <v/>
      </c>
      <c r="G396" s="114">
        <f>+'Invullen groen'!J406</f>
        <v/>
      </c>
      <c r="H396" s="114">
        <f>+'Invullen groen'!K406</f>
        <v/>
      </c>
      <c r="I396" s="124">
        <f>+'Invullen groen'!AW406</f>
        <v/>
      </c>
      <c r="J396" s="124">
        <f>+'Invullen groen'!AX406</f>
        <v/>
      </c>
      <c r="K396" s="124">
        <f>+'Invullen groen'!AY406</f>
        <v/>
      </c>
      <c r="L396" s="124">
        <f>+'Invullen groen'!AZ406</f>
        <v/>
      </c>
      <c r="M396" s="124">
        <f>+'Invullen groen'!BA406</f>
        <v/>
      </c>
      <c r="N396" s="124">
        <f>+'Invullen groen'!BB406</f>
        <v/>
      </c>
      <c r="O396" s="124">
        <f>+'Invullen groen'!BC406</f>
        <v/>
      </c>
      <c r="P396" s="124">
        <f>+'Invullen groen'!BD406</f>
        <v/>
      </c>
    </row>
    <row r="397">
      <c r="A397" s="113">
        <f>+'Invullen groen'!A407</f>
        <v/>
      </c>
      <c r="B397" s="154">
        <f>+'Invullen groen'!C407</f>
        <v/>
      </c>
      <c r="C397" s="124">
        <f>+'Invullen groen'!G407</f>
        <v/>
      </c>
      <c r="D397" s="113">
        <f>+'Invullen groen'!M407</f>
        <v/>
      </c>
      <c r="E397" s="114">
        <f>+'Invullen groen'!H407</f>
        <v/>
      </c>
      <c r="F397" s="114">
        <f>+'Invullen groen'!I407</f>
        <v/>
      </c>
      <c r="G397" s="114">
        <f>+'Invullen groen'!J407</f>
        <v/>
      </c>
      <c r="H397" s="114">
        <f>+'Invullen groen'!K407</f>
        <v/>
      </c>
      <c r="I397" s="124">
        <f>+'Invullen groen'!AW407</f>
        <v/>
      </c>
      <c r="J397" s="124">
        <f>+'Invullen groen'!AX407</f>
        <v/>
      </c>
      <c r="K397" s="124">
        <f>+'Invullen groen'!AY407</f>
        <v/>
      </c>
      <c r="L397" s="124">
        <f>+'Invullen groen'!AZ407</f>
        <v/>
      </c>
      <c r="M397" s="124">
        <f>+'Invullen groen'!BA407</f>
        <v/>
      </c>
      <c r="N397" s="124">
        <f>+'Invullen groen'!BB407</f>
        <v/>
      </c>
      <c r="O397" s="124">
        <f>+'Invullen groen'!BC407</f>
        <v/>
      </c>
      <c r="P397" s="124">
        <f>+'Invullen groen'!BD407</f>
        <v/>
      </c>
    </row>
    <row r="398">
      <c r="A398" s="113">
        <f>+'Invullen groen'!A408</f>
        <v/>
      </c>
      <c r="B398" s="154">
        <f>+'Invullen groen'!C408</f>
        <v/>
      </c>
      <c r="C398" s="124">
        <f>+'Invullen groen'!G408</f>
        <v/>
      </c>
      <c r="D398" s="113">
        <f>+'Invullen groen'!M408</f>
        <v/>
      </c>
      <c r="E398" s="114">
        <f>+'Invullen groen'!H408</f>
        <v/>
      </c>
      <c r="F398" s="114">
        <f>+'Invullen groen'!I408</f>
        <v/>
      </c>
      <c r="G398" s="114">
        <f>+'Invullen groen'!J408</f>
        <v/>
      </c>
      <c r="H398" s="114">
        <f>+'Invullen groen'!K408</f>
        <v/>
      </c>
      <c r="I398" s="124">
        <f>+'Invullen groen'!AW408</f>
        <v/>
      </c>
      <c r="J398" s="124">
        <f>+'Invullen groen'!AX408</f>
        <v/>
      </c>
      <c r="K398" s="124">
        <f>+'Invullen groen'!AY408</f>
        <v/>
      </c>
      <c r="L398" s="124">
        <f>+'Invullen groen'!AZ408</f>
        <v/>
      </c>
      <c r="M398" s="124">
        <f>+'Invullen groen'!BA408</f>
        <v/>
      </c>
      <c r="N398" s="124">
        <f>+'Invullen groen'!BB408</f>
        <v/>
      </c>
      <c r="O398" s="124">
        <f>+'Invullen groen'!BC408</f>
        <v/>
      </c>
      <c r="P398" s="124">
        <f>+'Invullen groen'!BD408</f>
        <v/>
      </c>
    </row>
    <row r="399">
      <c r="A399" s="113">
        <f>+'Invullen groen'!A409</f>
        <v/>
      </c>
      <c r="B399" s="154">
        <f>+'Invullen groen'!C409</f>
        <v/>
      </c>
      <c r="C399" s="124">
        <f>+'Invullen groen'!G409</f>
        <v/>
      </c>
      <c r="D399" s="113">
        <f>+'Invullen groen'!M409</f>
        <v/>
      </c>
      <c r="E399" s="114">
        <f>+'Invullen groen'!H409</f>
        <v/>
      </c>
      <c r="F399" s="114">
        <f>+'Invullen groen'!I409</f>
        <v/>
      </c>
      <c r="G399" s="114">
        <f>+'Invullen groen'!J409</f>
        <v/>
      </c>
      <c r="H399" s="114">
        <f>+'Invullen groen'!K409</f>
        <v/>
      </c>
      <c r="I399" s="124">
        <f>+'Invullen groen'!AW409</f>
        <v/>
      </c>
      <c r="J399" s="124">
        <f>+'Invullen groen'!AX409</f>
        <v/>
      </c>
      <c r="K399" s="124">
        <f>+'Invullen groen'!AY409</f>
        <v/>
      </c>
      <c r="L399" s="124">
        <f>+'Invullen groen'!AZ409</f>
        <v/>
      </c>
      <c r="M399" s="124">
        <f>+'Invullen groen'!BA409</f>
        <v/>
      </c>
      <c r="N399" s="124">
        <f>+'Invullen groen'!BB409</f>
        <v/>
      </c>
      <c r="O399" s="124">
        <f>+'Invullen groen'!BC409</f>
        <v/>
      </c>
      <c r="P399" s="124">
        <f>+'Invullen groen'!BD409</f>
        <v/>
      </c>
    </row>
    <row r="400">
      <c r="A400" s="113">
        <f>+'Invullen groen'!A410</f>
        <v/>
      </c>
      <c r="B400" s="154">
        <f>+'Invullen groen'!C410</f>
        <v/>
      </c>
      <c r="C400" s="124">
        <f>+'Invullen groen'!G410</f>
        <v/>
      </c>
      <c r="D400" s="113">
        <f>+'Invullen groen'!M410</f>
        <v/>
      </c>
      <c r="E400" s="114">
        <f>+'Invullen groen'!H410</f>
        <v/>
      </c>
      <c r="F400" s="114">
        <f>+'Invullen groen'!I410</f>
        <v/>
      </c>
      <c r="G400" s="114">
        <f>+'Invullen groen'!J410</f>
        <v/>
      </c>
      <c r="H400" s="114">
        <f>+'Invullen groen'!K410</f>
        <v/>
      </c>
      <c r="I400" s="124">
        <f>+'Invullen groen'!AW410</f>
        <v/>
      </c>
      <c r="J400" s="124">
        <f>+'Invullen groen'!AX410</f>
        <v/>
      </c>
      <c r="K400" s="124">
        <f>+'Invullen groen'!AY410</f>
        <v/>
      </c>
      <c r="L400" s="124">
        <f>+'Invullen groen'!AZ410</f>
        <v/>
      </c>
      <c r="M400" s="124">
        <f>+'Invullen groen'!BA410</f>
        <v/>
      </c>
      <c r="N400" s="124">
        <f>+'Invullen groen'!BB410</f>
        <v/>
      </c>
      <c r="O400" s="124">
        <f>+'Invullen groen'!BC410</f>
        <v/>
      </c>
      <c r="P400" s="124">
        <f>+'Invullen groen'!BD410</f>
        <v/>
      </c>
    </row>
    <row r="401">
      <c r="A401" s="113">
        <f>+'Invullen groen'!A411</f>
        <v/>
      </c>
      <c r="B401" s="154">
        <f>+'Invullen groen'!C411</f>
        <v/>
      </c>
      <c r="C401" s="124">
        <f>+'Invullen groen'!G411</f>
        <v/>
      </c>
      <c r="D401" s="113">
        <f>+'Invullen groen'!M411</f>
        <v/>
      </c>
      <c r="E401" s="114">
        <f>+'Invullen groen'!H411</f>
        <v/>
      </c>
      <c r="F401" s="114">
        <f>+'Invullen groen'!I411</f>
        <v/>
      </c>
      <c r="G401" s="114">
        <f>+'Invullen groen'!J411</f>
        <v/>
      </c>
      <c r="H401" s="114">
        <f>+'Invullen groen'!K411</f>
        <v/>
      </c>
      <c r="I401" s="124">
        <f>+'Invullen groen'!AW411</f>
        <v/>
      </c>
      <c r="J401" s="124">
        <f>+'Invullen groen'!AX411</f>
        <v/>
      </c>
      <c r="K401" s="124">
        <f>+'Invullen groen'!AY411</f>
        <v/>
      </c>
      <c r="L401" s="124">
        <f>+'Invullen groen'!AZ411</f>
        <v/>
      </c>
      <c r="M401" s="124">
        <f>+'Invullen groen'!BA411</f>
        <v/>
      </c>
      <c r="N401" s="124">
        <f>+'Invullen groen'!BB411</f>
        <v/>
      </c>
      <c r="O401" s="124">
        <f>+'Invullen groen'!BC411</f>
        <v/>
      </c>
      <c r="P401" s="124">
        <f>+'Invullen groen'!BD411</f>
        <v/>
      </c>
    </row>
    <row r="402">
      <c r="A402" s="113">
        <f>+'Invullen groen'!A412</f>
        <v/>
      </c>
      <c r="B402" s="154">
        <f>+'Invullen groen'!C412</f>
        <v/>
      </c>
      <c r="C402" s="124">
        <f>+'Invullen groen'!G412</f>
        <v/>
      </c>
      <c r="D402" s="113">
        <f>+'Invullen groen'!M412</f>
        <v/>
      </c>
      <c r="E402" s="114">
        <f>+'Invullen groen'!H412</f>
        <v/>
      </c>
      <c r="F402" s="114">
        <f>+'Invullen groen'!I412</f>
        <v/>
      </c>
      <c r="G402" s="114">
        <f>+'Invullen groen'!J412</f>
        <v/>
      </c>
      <c r="H402" s="114">
        <f>+'Invullen groen'!K412</f>
        <v/>
      </c>
      <c r="I402" s="124">
        <f>+'Invullen groen'!AW412</f>
        <v/>
      </c>
      <c r="J402" s="124">
        <f>+'Invullen groen'!AX412</f>
        <v/>
      </c>
      <c r="K402" s="124">
        <f>+'Invullen groen'!AY412</f>
        <v/>
      </c>
      <c r="L402" s="124">
        <f>+'Invullen groen'!AZ412</f>
        <v/>
      </c>
      <c r="M402" s="124">
        <f>+'Invullen groen'!BA412</f>
        <v/>
      </c>
      <c r="N402" s="124">
        <f>+'Invullen groen'!BB412</f>
        <v/>
      </c>
      <c r="O402" s="124">
        <f>+'Invullen groen'!BC412</f>
        <v/>
      </c>
      <c r="P402" s="124">
        <f>+'Invullen groen'!BD412</f>
        <v/>
      </c>
    </row>
    <row r="403">
      <c r="A403" s="113">
        <f>+'Invullen groen'!A413</f>
        <v/>
      </c>
      <c r="B403" s="154">
        <f>+'Invullen groen'!C413</f>
        <v/>
      </c>
      <c r="C403" s="124">
        <f>+'Invullen groen'!G413</f>
        <v/>
      </c>
      <c r="D403" s="113">
        <f>+'Invullen groen'!M413</f>
        <v/>
      </c>
      <c r="E403" s="114">
        <f>+'Invullen groen'!H413</f>
        <v/>
      </c>
      <c r="F403" s="114">
        <f>+'Invullen groen'!I413</f>
        <v/>
      </c>
      <c r="G403" s="114">
        <f>+'Invullen groen'!J413</f>
        <v/>
      </c>
      <c r="H403" s="114">
        <f>+'Invullen groen'!K413</f>
        <v/>
      </c>
      <c r="I403" s="124">
        <f>+'Invullen groen'!AW413</f>
        <v/>
      </c>
      <c r="J403" s="124">
        <f>+'Invullen groen'!AX413</f>
        <v/>
      </c>
      <c r="K403" s="124">
        <f>+'Invullen groen'!AY413</f>
        <v/>
      </c>
      <c r="L403" s="124">
        <f>+'Invullen groen'!AZ413</f>
        <v/>
      </c>
      <c r="M403" s="124">
        <f>+'Invullen groen'!BA413</f>
        <v/>
      </c>
      <c r="N403" s="124">
        <f>+'Invullen groen'!BB413</f>
        <v/>
      </c>
      <c r="O403" s="124">
        <f>+'Invullen groen'!BC413</f>
        <v/>
      </c>
      <c r="P403" s="124">
        <f>+'Invullen groen'!BD413</f>
        <v/>
      </c>
    </row>
    <row r="404">
      <c r="A404" s="113">
        <f>+'Invullen groen'!A414</f>
        <v/>
      </c>
      <c r="B404" s="154">
        <f>+'Invullen groen'!C414</f>
        <v/>
      </c>
      <c r="C404" s="124">
        <f>+'Invullen groen'!G414</f>
        <v/>
      </c>
      <c r="D404" s="113">
        <f>+'Invullen groen'!M414</f>
        <v/>
      </c>
      <c r="E404" s="114">
        <f>+'Invullen groen'!H414</f>
        <v/>
      </c>
      <c r="F404" s="114">
        <f>+'Invullen groen'!I414</f>
        <v/>
      </c>
      <c r="G404" s="114">
        <f>+'Invullen groen'!J414</f>
        <v/>
      </c>
      <c r="H404" s="114">
        <f>+'Invullen groen'!K414</f>
        <v/>
      </c>
      <c r="I404" s="124">
        <f>+'Invullen groen'!AW414</f>
        <v/>
      </c>
      <c r="J404" s="124">
        <f>+'Invullen groen'!AX414</f>
        <v/>
      </c>
      <c r="K404" s="124">
        <f>+'Invullen groen'!AY414</f>
        <v/>
      </c>
      <c r="L404" s="124">
        <f>+'Invullen groen'!AZ414</f>
        <v/>
      </c>
      <c r="M404" s="124">
        <f>+'Invullen groen'!BA414</f>
        <v/>
      </c>
      <c r="N404" s="124">
        <f>+'Invullen groen'!BB414</f>
        <v/>
      </c>
      <c r="O404" s="124">
        <f>+'Invullen groen'!BC414</f>
        <v/>
      </c>
      <c r="P404" s="124">
        <f>+'Invullen groen'!BD414</f>
        <v/>
      </c>
    </row>
    <row r="405">
      <c r="A405" s="113">
        <f>+'Invullen groen'!A415</f>
        <v/>
      </c>
      <c r="B405" s="154">
        <f>+'Invullen groen'!C415</f>
        <v/>
      </c>
      <c r="C405" s="124">
        <f>+'Invullen groen'!G415</f>
        <v/>
      </c>
      <c r="D405" s="113">
        <f>+'Invullen groen'!M415</f>
        <v/>
      </c>
      <c r="E405" s="114">
        <f>+'Invullen groen'!H415</f>
        <v/>
      </c>
      <c r="F405" s="114">
        <f>+'Invullen groen'!I415</f>
        <v/>
      </c>
      <c r="G405" s="114">
        <f>+'Invullen groen'!J415</f>
        <v/>
      </c>
      <c r="H405" s="114">
        <f>+'Invullen groen'!K415</f>
        <v/>
      </c>
      <c r="I405" s="124">
        <f>+'Invullen groen'!AW415</f>
        <v/>
      </c>
      <c r="J405" s="124">
        <f>+'Invullen groen'!AX415</f>
        <v/>
      </c>
      <c r="K405" s="124">
        <f>+'Invullen groen'!AY415</f>
        <v/>
      </c>
      <c r="L405" s="124">
        <f>+'Invullen groen'!AZ415</f>
        <v/>
      </c>
      <c r="M405" s="124">
        <f>+'Invullen groen'!BA415</f>
        <v/>
      </c>
      <c r="N405" s="124">
        <f>+'Invullen groen'!BB415</f>
        <v/>
      </c>
      <c r="O405" s="124">
        <f>+'Invullen groen'!BC415</f>
        <v/>
      </c>
      <c r="P405" s="124">
        <f>+'Invullen groen'!BD415</f>
        <v/>
      </c>
    </row>
    <row r="406">
      <c r="A406" s="113">
        <f>+'Invullen groen'!A416</f>
        <v/>
      </c>
      <c r="B406" s="154">
        <f>+'Invullen groen'!C416</f>
        <v/>
      </c>
      <c r="C406" s="124">
        <f>+'Invullen groen'!G416</f>
        <v/>
      </c>
      <c r="D406" s="113">
        <f>+'Invullen groen'!M416</f>
        <v/>
      </c>
      <c r="E406" s="114">
        <f>+'Invullen groen'!H416</f>
        <v/>
      </c>
      <c r="F406" s="114">
        <f>+'Invullen groen'!I416</f>
        <v/>
      </c>
      <c r="G406" s="114">
        <f>+'Invullen groen'!J416</f>
        <v/>
      </c>
      <c r="H406" s="114">
        <f>+'Invullen groen'!K416</f>
        <v/>
      </c>
      <c r="I406" s="124">
        <f>+'Invullen groen'!AW416</f>
        <v/>
      </c>
      <c r="J406" s="124">
        <f>+'Invullen groen'!AX416</f>
        <v/>
      </c>
      <c r="K406" s="124">
        <f>+'Invullen groen'!AY416</f>
        <v/>
      </c>
      <c r="L406" s="124">
        <f>+'Invullen groen'!AZ416</f>
        <v/>
      </c>
      <c r="M406" s="124">
        <f>+'Invullen groen'!BA416</f>
        <v/>
      </c>
      <c r="N406" s="124">
        <f>+'Invullen groen'!BB416</f>
        <v/>
      </c>
      <c r="O406" s="124">
        <f>+'Invullen groen'!BC416</f>
        <v/>
      </c>
      <c r="P406" s="124">
        <f>+'Invullen groen'!BD416</f>
        <v/>
      </c>
    </row>
    <row r="407">
      <c r="A407" s="113">
        <f>+'Invullen groen'!A417</f>
        <v/>
      </c>
      <c r="B407" s="154">
        <f>+'Invullen groen'!C417</f>
        <v/>
      </c>
      <c r="C407" s="124">
        <f>+'Invullen groen'!G417</f>
        <v/>
      </c>
      <c r="D407" s="113">
        <f>+'Invullen groen'!M417</f>
        <v/>
      </c>
      <c r="E407" s="114">
        <f>+'Invullen groen'!H417</f>
        <v/>
      </c>
      <c r="F407" s="114">
        <f>+'Invullen groen'!I417</f>
        <v/>
      </c>
      <c r="G407" s="114">
        <f>+'Invullen groen'!J417</f>
        <v/>
      </c>
      <c r="H407" s="114">
        <f>+'Invullen groen'!K417</f>
        <v/>
      </c>
      <c r="I407" s="124">
        <f>+'Invullen groen'!AW417</f>
        <v/>
      </c>
      <c r="J407" s="124">
        <f>+'Invullen groen'!AX417</f>
        <v/>
      </c>
      <c r="K407" s="124">
        <f>+'Invullen groen'!AY417</f>
        <v/>
      </c>
      <c r="L407" s="124">
        <f>+'Invullen groen'!AZ417</f>
        <v/>
      </c>
      <c r="M407" s="124">
        <f>+'Invullen groen'!BA417</f>
        <v/>
      </c>
      <c r="N407" s="124">
        <f>+'Invullen groen'!BB417</f>
        <v/>
      </c>
      <c r="O407" s="124">
        <f>+'Invullen groen'!BC417</f>
        <v/>
      </c>
      <c r="P407" s="124">
        <f>+'Invullen groen'!BD417</f>
        <v/>
      </c>
    </row>
    <row r="408">
      <c r="A408" s="113">
        <f>+'Invullen groen'!A418</f>
        <v/>
      </c>
      <c r="B408" s="154">
        <f>+'Invullen groen'!C418</f>
        <v/>
      </c>
      <c r="C408" s="124">
        <f>+'Invullen groen'!G418</f>
        <v/>
      </c>
      <c r="D408" s="113">
        <f>+'Invullen groen'!M418</f>
        <v/>
      </c>
      <c r="E408" s="114">
        <f>+'Invullen groen'!H418</f>
        <v/>
      </c>
      <c r="F408" s="114">
        <f>+'Invullen groen'!I418</f>
        <v/>
      </c>
      <c r="G408" s="114">
        <f>+'Invullen groen'!J418</f>
        <v/>
      </c>
      <c r="H408" s="114">
        <f>+'Invullen groen'!K418</f>
        <v/>
      </c>
      <c r="I408" s="124">
        <f>+'Invullen groen'!AW418</f>
        <v/>
      </c>
      <c r="J408" s="124">
        <f>+'Invullen groen'!AX418</f>
        <v/>
      </c>
      <c r="K408" s="124">
        <f>+'Invullen groen'!AY418</f>
        <v/>
      </c>
      <c r="L408" s="124">
        <f>+'Invullen groen'!AZ418</f>
        <v/>
      </c>
      <c r="M408" s="124">
        <f>+'Invullen groen'!BA418</f>
        <v/>
      </c>
      <c r="N408" s="124">
        <f>+'Invullen groen'!BB418</f>
        <v/>
      </c>
      <c r="O408" s="124">
        <f>+'Invullen groen'!BC418</f>
        <v/>
      </c>
      <c r="P408" s="124">
        <f>+'Invullen groen'!BD418</f>
        <v/>
      </c>
    </row>
    <row r="409">
      <c r="A409" s="113">
        <f>+'Invullen groen'!A419</f>
        <v/>
      </c>
      <c r="B409" s="154">
        <f>+'Invullen groen'!C419</f>
        <v/>
      </c>
      <c r="C409" s="124">
        <f>+'Invullen groen'!G419</f>
        <v/>
      </c>
      <c r="D409" s="113">
        <f>+'Invullen groen'!M419</f>
        <v/>
      </c>
      <c r="E409" s="114">
        <f>+'Invullen groen'!H419</f>
        <v/>
      </c>
      <c r="F409" s="114">
        <f>+'Invullen groen'!I419</f>
        <v/>
      </c>
      <c r="G409" s="114">
        <f>+'Invullen groen'!J419</f>
        <v/>
      </c>
      <c r="H409" s="114">
        <f>+'Invullen groen'!K419</f>
        <v/>
      </c>
      <c r="I409" s="124">
        <f>+'Invullen groen'!AW419</f>
        <v/>
      </c>
      <c r="J409" s="124">
        <f>+'Invullen groen'!AX419</f>
        <v/>
      </c>
      <c r="K409" s="124">
        <f>+'Invullen groen'!AY419</f>
        <v/>
      </c>
      <c r="L409" s="124">
        <f>+'Invullen groen'!AZ419</f>
        <v/>
      </c>
      <c r="M409" s="124">
        <f>+'Invullen groen'!BA419</f>
        <v/>
      </c>
      <c r="N409" s="124">
        <f>+'Invullen groen'!BB419</f>
        <v/>
      </c>
      <c r="O409" s="124">
        <f>+'Invullen groen'!BC419</f>
        <v/>
      </c>
      <c r="P409" s="124">
        <f>+'Invullen groen'!BD419</f>
        <v/>
      </c>
    </row>
    <row r="410">
      <c r="A410" s="113">
        <f>+'Invullen groen'!A420</f>
        <v/>
      </c>
      <c r="B410" s="154">
        <f>+'Invullen groen'!C420</f>
        <v/>
      </c>
      <c r="C410" s="124">
        <f>+'Invullen groen'!G420</f>
        <v/>
      </c>
      <c r="D410" s="113">
        <f>+'Invullen groen'!M420</f>
        <v/>
      </c>
      <c r="E410" s="114">
        <f>+'Invullen groen'!H420</f>
        <v/>
      </c>
      <c r="F410" s="114">
        <f>+'Invullen groen'!I420</f>
        <v/>
      </c>
      <c r="G410" s="114">
        <f>+'Invullen groen'!J420</f>
        <v/>
      </c>
      <c r="H410" s="114">
        <f>+'Invullen groen'!K420</f>
        <v/>
      </c>
      <c r="I410" s="124">
        <f>+'Invullen groen'!AW420</f>
        <v/>
      </c>
      <c r="J410" s="124">
        <f>+'Invullen groen'!AX420</f>
        <v/>
      </c>
      <c r="K410" s="124">
        <f>+'Invullen groen'!AY420</f>
        <v/>
      </c>
      <c r="L410" s="124">
        <f>+'Invullen groen'!AZ420</f>
        <v/>
      </c>
      <c r="M410" s="124">
        <f>+'Invullen groen'!BA420</f>
        <v/>
      </c>
      <c r="N410" s="124">
        <f>+'Invullen groen'!BB420</f>
        <v/>
      </c>
      <c r="O410" s="124">
        <f>+'Invullen groen'!BC420</f>
        <v/>
      </c>
      <c r="P410" s="124">
        <f>+'Invullen groen'!BD420</f>
        <v/>
      </c>
    </row>
    <row r="411">
      <c r="A411" s="113">
        <f>+'Invullen groen'!A421</f>
        <v/>
      </c>
      <c r="B411" s="154">
        <f>+'Invullen groen'!C421</f>
        <v/>
      </c>
      <c r="C411" s="124">
        <f>+'Invullen groen'!G421</f>
        <v/>
      </c>
      <c r="D411" s="113">
        <f>+'Invullen groen'!M421</f>
        <v/>
      </c>
      <c r="E411" s="114">
        <f>+'Invullen groen'!H421</f>
        <v/>
      </c>
      <c r="F411" s="114">
        <f>+'Invullen groen'!I421</f>
        <v/>
      </c>
      <c r="G411" s="114">
        <f>+'Invullen groen'!J421</f>
        <v/>
      </c>
      <c r="H411" s="114">
        <f>+'Invullen groen'!K421</f>
        <v/>
      </c>
      <c r="I411" s="124">
        <f>+'Invullen groen'!AW421</f>
        <v/>
      </c>
      <c r="J411" s="124">
        <f>+'Invullen groen'!AX421</f>
        <v/>
      </c>
      <c r="K411" s="124">
        <f>+'Invullen groen'!AY421</f>
        <v/>
      </c>
      <c r="L411" s="124">
        <f>+'Invullen groen'!AZ421</f>
        <v/>
      </c>
      <c r="M411" s="124">
        <f>+'Invullen groen'!BA421</f>
        <v/>
      </c>
      <c r="N411" s="124">
        <f>+'Invullen groen'!BB421</f>
        <v/>
      </c>
      <c r="O411" s="124">
        <f>+'Invullen groen'!BC421</f>
        <v/>
      </c>
      <c r="P411" s="124">
        <f>+'Invullen groen'!BD421</f>
        <v/>
      </c>
    </row>
    <row r="412">
      <c r="A412" s="113">
        <f>+'Invullen groen'!A422</f>
        <v/>
      </c>
      <c r="B412" s="154">
        <f>+'Invullen groen'!C422</f>
        <v/>
      </c>
      <c r="C412" s="124">
        <f>+'Invullen groen'!G422</f>
        <v/>
      </c>
      <c r="D412" s="113">
        <f>+'Invullen groen'!M422</f>
        <v/>
      </c>
      <c r="E412" s="114">
        <f>+'Invullen groen'!H422</f>
        <v/>
      </c>
      <c r="F412" s="114">
        <f>+'Invullen groen'!I422</f>
        <v/>
      </c>
      <c r="G412" s="114">
        <f>+'Invullen groen'!J422</f>
        <v/>
      </c>
      <c r="H412" s="114">
        <f>+'Invullen groen'!K422</f>
        <v/>
      </c>
      <c r="I412" s="124">
        <f>+'Invullen groen'!AW422</f>
        <v/>
      </c>
      <c r="J412" s="124">
        <f>+'Invullen groen'!AX422</f>
        <v/>
      </c>
      <c r="K412" s="124">
        <f>+'Invullen groen'!AY422</f>
        <v/>
      </c>
      <c r="L412" s="124">
        <f>+'Invullen groen'!AZ422</f>
        <v/>
      </c>
      <c r="M412" s="124">
        <f>+'Invullen groen'!BA422</f>
        <v/>
      </c>
      <c r="N412" s="124">
        <f>+'Invullen groen'!BB422</f>
        <v/>
      </c>
      <c r="O412" s="124">
        <f>+'Invullen groen'!BC422</f>
        <v/>
      </c>
      <c r="P412" s="124">
        <f>+'Invullen groen'!BD422</f>
        <v/>
      </c>
    </row>
    <row r="413">
      <c r="A413" s="113">
        <f>+'Invullen groen'!A423</f>
        <v/>
      </c>
      <c r="B413" s="154">
        <f>+'Invullen groen'!C423</f>
        <v/>
      </c>
      <c r="C413" s="124">
        <f>+'Invullen groen'!G423</f>
        <v/>
      </c>
      <c r="D413" s="113">
        <f>+'Invullen groen'!M423</f>
        <v/>
      </c>
      <c r="E413" s="114">
        <f>+'Invullen groen'!H423</f>
        <v/>
      </c>
      <c r="F413" s="114">
        <f>+'Invullen groen'!I423</f>
        <v/>
      </c>
      <c r="G413" s="114">
        <f>+'Invullen groen'!J423</f>
        <v/>
      </c>
      <c r="H413" s="114">
        <f>+'Invullen groen'!K423</f>
        <v/>
      </c>
      <c r="I413" s="124">
        <f>+'Invullen groen'!AW423</f>
        <v/>
      </c>
      <c r="J413" s="124">
        <f>+'Invullen groen'!AX423</f>
        <v/>
      </c>
      <c r="K413" s="124">
        <f>+'Invullen groen'!AY423</f>
        <v/>
      </c>
      <c r="L413" s="124">
        <f>+'Invullen groen'!AZ423</f>
        <v/>
      </c>
      <c r="M413" s="124">
        <f>+'Invullen groen'!BA423</f>
        <v/>
      </c>
      <c r="N413" s="124">
        <f>+'Invullen groen'!BB423</f>
        <v/>
      </c>
      <c r="O413" s="124">
        <f>+'Invullen groen'!BC423</f>
        <v/>
      </c>
      <c r="P413" s="124">
        <f>+'Invullen groen'!BD423</f>
        <v/>
      </c>
    </row>
    <row r="414">
      <c r="A414" s="113">
        <f>+'Invullen groen'!A424</f>
        <v/>
      </c>
      <c r="B414" s="154">
        <f>+'Invullen groen'!C424</f>
        <v/>
      </c>
      <c r="C414" s="124">
        <f>+'Invullen groen'!G424</f>
        <v/>
      </c>
      <c r="D414" s="113">
        <f>+'Invullen groen'!M424</f>
        <v/>
      </c>
      <c r="E414" s="114">
        <f>+'Invullen groen'!H424</f>
        <v/>
      </c>
      <c r="F414" s="114">
        <f>+'Invullen groen'!I424</f>
        <v/>
      </c>
      <c r="G414" s="114">
        <f>+'Invullen groen'!J424</f>
        <v/>
      </c>
      <c r="H414" s="114">
        <f>+'Invullen groen'!K424</f>
        <v/>
      </c>
      <c r="I414" s="124">
        <f>+'Invullen groen'!AW424</f>
        <v/>
      </c>
      <c r="J414" s="124">
        <f>+'Invullen groen'!AX424</f>
        <v/>
      </c>
      <c r="K414" s="124">
        <f>+'Invullen groen'!AY424</f>
        <v/>
      </c>
      <c r="L414" s="124">
        <f>+'Invullen groen'!AZ424</f>
        <v/>
      </c>
      <c r="M414" s="124">
        <f>+'Invullen groen'!BA424</f>
        <v/>
      </c>
      <c r="N414" s="124">
        <f>+'Invullen groen'!BB424</f>
        <v/>
      </c>
      <c r="O414" s="124">
        <f>+'Invullen groen'!BC424</f>
        <v/>
      </c>
      <c r="P414" s="124">
        <f>+'Invullen groen'!BD424</f>
        <v/>
      </c>
    </row>
    <row r="415">
      <c r="A415" s="113">
        <f>+'Invullen groen'!A425</f>
        <v/>
      </c>
      <c r="B415" s="154">
        <f>+'Invullen groen'!C425</f>
        <v/>
      </c>
      <c r="C415" s="124">
        <f>+'Invullen groen'!G425</f>
        <v/>
      </c>
      <c r="D415" s="113">
        <f>+'Invullen groen'!M425</f>
        <v/>
      </c>
      <c r="E415" s="114">
        <f>+'Invullen groen'!H425</f>
        <v/>
      </c>
      <c r="F415" s="114">
        <f>+'Invullen groen'!I425</f>
        <v/>
      </c>
      <c r="G415" s="114">
        <f>+'Invullen groen'!J425</f>
        <v/>
      </c>
      <c r="H415" s="114">
        <f>+'Invullen groen'!K425</f>
        <v/>
      </c>
      <c r="I415" s="124">
        <f>+'Invullen groen'!AW425</f>
        <v/>
      </c>
      <c r="J415" s="124">
        <f>+'Invullen groen'!AX425</f>
        <v/>
      </c>
      <c r="K415" s="124">
        <f>+'Invullen groen'!AY425</f>
        <v/>
      </c>
      <c r="L415" s="124">
        <f>+'Invullen groen'!AZ425</f>
        <v/>
      </c>
      <c r="M415" s="124">
        <f>+'Invullen groen'!BA425</f>
        <v/>
      </c>
      <c r="N415" s="124">
        <f>+'Invullen groen'!BB425</f>
        <v/>
      </c>
      <c r="O415" s="124">
        <f>+'Invullen groen'!BC425</f>
        <v/>
      </c>
      <c r="P415" s="124">
        <f>+'Invullen groen'!BD425</f>
        <v/>
      </c>
    </row>
    <row r="416">
      <c r="A416" s="113">
        <f>+'Invullen groen'!A426</f>
        <v/>
      </c>
      <c r="B416" s="154">
        <f>+'Invullen groen'!C426</f>
        <v/>
      </c>
      <c r="C416" s="124">
        <f>+'Invullen groen'!G426</f>
        <v/>
      </c>
      <c r="D416" s="113">
        <f>+'Invullen groen'!M426</f>
        <v/>
      </c>
      <c r="E416" s="114">
        <f>+'Invullen groen'!H426</f>
        <v/>
      </c>
      <c r="F416" s="114">
        <f>+'Invullen groen'!I426</f>
        <v/>
      </c>
      <c r="G416" s="114">
        <f>+'Invullen groen'!J426</f>
        <v/>
      </c>
      <c r="H416" s="114">
        <f>+'Invullen groen'!K426</f>
        <v/>
      </c>
      <c r="I416" s="124">
        <f>+'Invullen groen'!AW426</f>
        <v/>
      </c>
      <c r="J416" s="124">
        <f>+'Invullen groen'!AX426</f>
        <v/>
      </c>
      <c r="K416" s="124">
        <f>+'Invullen groen'!AY426</f>
        <v/>
      </c>
      <c r="L416" s="124">
        <f>+'Invullen groen'!AZ426</f>
        <v/>
      </c>
      <c r="M416" s="124">
        <f>+'Invullen groen'!BA426</f>
        <v/>
      </c>
      <c r="N416" s="124">
        <f>+'Invullen groen'!BB426</f>
        <v/>
      </c>
      <c r="O416" s="124">
        <f>+'Invullen groen'!BC426</f>
        <v/>
      </c>
      <c r="P416" s="124">
        <f>+'Invullen groen'!BD426</f>
        <v/>
      </c>
    </row>
    <row r="417">
      <c r="A417" s="113">
        <f>+'Invullen groen'!A427</f>
        <v/>
      </c>
      <c r="B417" s="154">
        <f>+'Invullen groen'!C427</f>
        <v/>
      </c>
      <c r="C417" s="124">
        <f>+'Invullen groen'!G427</f>
        <v/>
      </c>
      <c r="D417" s="113">
        <f>+'Invullen groen'!M427</f>
        <v/>
      </c>
      <c r="E417" s="114">
        <f>+'Invullen groen'!H427</f>
        <v/>
      </c>
      <c r="F417" s="114">
        <f>+'Invullen groen'!I427</f>
        <v/>
      </c>
      <c r="G417" s="114">
        <f>+'Invullen groen'!J427</f>
        <v/>
      </c>
      <c r="H417" s="114">
        <f>+'Invullen groen'!K427</f>
        <v/>
      </c>
      <c r="I417" s="124">
        <f>+'Invullen groen'!AW427</f>
        <v/>
      </c>
      <c r="J417" s="124">
        <f>+'Invullen groen'!AX427</f>
        <v/>
      </c>
      <c r="K417" s="124">
        <f>+'Invullen groen'!AY427</f>
        <v/>
      </c>
      <c r="L417" s="124">
        <f>+'Invullen groen'!AZ427</f>
        <v/>
      </c>
      <c r="M417" s="124">
        <f>+'Invullen groen'!BA427</f>
        <v/>
      </c>
      <c r="N417" s="124">
        <f>+'Invullen groen'!BB427</f>
        <v/>
      </c>
      <c r="O417" s="124">
        <f>+'Invullen groen'!BC427</f>
        <v/>
      </c>
      <c r="P417" s="124">
        <f>+'Invullen groen'!BD427</f>
        <v/>
      </c>
    </row>
    <row r="418">
      <c r="A418" s="113">
        <f>+'Invullen groen'!A428</f>
        <v/>
      </c>
      <c r="B418" s="154">
        <f>+'Invullen groen'!C428</f>
        <v/>
      </c>
      <c r="C418" s="124">
        <f>+'Invullen groen'!G428</f>
        <v/>
      </c>
      <c r="D418" s="113">
        <f>+'Invullen groen'!M428</f>
        <v/>
      </c>
      <c r="E418" s="114">
        <f>+'Invullen groen'!H428</f>
        <v/>
      </c>
      <c r="F418" s="114">
        <f>+'Invullen groen'!I428</f>
        <v/>
      </c>
      <c r="G418" s="114">
        <f>+'Invullen groen'!J428</f>
        <v/>
      </c>
      <c r="H418" s="114">
        <f>+'Invullen groen'!K428</f>
        <v/>
      </c>
      <c r="I418" s="124">
        <f>+'Invullen groen'!AW428</f>
        <v/>
      </c>
      <c r="J418" s="124">
        <f>+'Invullen groen'!AX428</f>
        <v/>
      </c>
      <c r="K418" s="124">
        <f>+'Invullen groen'!AY428</f>
        <v/>
      </c>
      <c r="L418" s="124">
        <f>+'Invullen groen'!AZ428</f>
        <v/>
      </c>
      <c r="M418" s="124">
        <f>+'Invullen groen'!BA428</f>
        <v/>
      </c>
      <c r="N418" s="124">
        <f>+'Invullen groen'!BB428</f>
        <v/>
      </c>
      <c r="O418" s="124">
        <f>+'Invullen groen'!BC428</f>
        <v/>
      </c>
      <c r="P418" s="124">
        <f>+'Invullen groen'!BD428</f>
        <v/>
      </c>
    </row>
    <row r="419">
      <c r="A419" s="113">
        <f>+'Invullen groen'!A429</f>
        <v/>
      </c>
      <c r="B419" s="154">
        <f>+'Invullen groen'!C429</f>
        <v/>
      </c>
      <c r="C419" s="124">
        <f>+'Invullen groen'!G429</f>
        <v/>
      </c>
      <c r="D419" s="113">
        <f>+'Invullen groen'!M429</f>
        <v/>
      </c>
      <c r="E419" s="114">
        <f>+'Invullen groen'!H429</f>
        <v/>
      </c>
      <c r="F419" s="114">
        <f>+'Invullen groen'!I429</f>
        <v/>
      </c>
      <c r="G419" s="114">
        <f>+'Invullen groen'!J429</f>
        <v/>
      </c>
      <c r="H419" s="114">
        <f>+'Invullen groen'!K429</f>
        <v/>
      </c>
      <c r="I419" s="124">
        <f>+'Invullen groen'!AW429</f>
        <v/>
      </c>
      <c r="J419" s="124">
        <f>+'Invullen groen'!AX429</f>
        <v/>
      </c>
      <c r="K419" s="124">
        <f>+'Invullen groen'!AY429</f>
        <v/>
      </c>
      <c r="L419" s="124">
        <f>+'Invullen groen'!AZ429</f>
        <v/>
      </c>
      <c r="M419" s="124">
        <f>+'Invullen groen'!BA429</f>
        <v/>
      </c>
      <c r="N419" s="124">
        <f>+'Invullen groen'!BB429</f>
        <v/>
      </c>
      <c r="O419" s="124">
        <f>+'Invullen groen'!BC429</f>
        <v/>
      </c>
      <c r="P419" s="124">
        <f>+'Invullen groen'!BD429</f>
        <v/>
      </c>
    </row>
    <row r="420">
      <c r="A420" s="113">
        <f>+'Invullen groen'!A430</f>
        <v/>
      </c>
      <c r="B420" s="154">
        <f>+'Invullen groen'!C430</f>
        <v/>
      </c>
      <c r="C420" s="124">
        <f>+'Invullen groen'!G430</f>
        <v/>
      </c>
      <c r="D420" s="113">
        <f>+'Invullen groen'!M430</f>
        <v/>
      </c>
      <c r="E420" s="114">
        <f>+'Invullen groen'!H430</f>
        <v/>
      </c>
      <c r="F420" s="114">
        <f>+'Invullen groen'!I430</f>
        <v/>
      </c>
      <c r="G420" s="114">
        <f>+'Invullen groen'!J430</f>
        <v/>
      </c>
      <c r="H420" s="114">
        <f>+'Invullen groen'!K430</f>
        <v/>
      </c>
      <c r="I420" s="124">
        <f>+'Invullen groen'!AW430</f>
        <v/>
      </c>
      <c r="J420" s="124">
        <f>+'Invullen groen'!AX430</f>
        <v/>
      </c>
      <c r="K420" s="124">
        <f>+'Invullen groen'!AY430</f>
        <v/>
      </c>
      <c r="L420" s="124">
        <f>+'Invullen groen'!AZ430</f>
        <v/>
      </c>
      <c r="M420" s="124">
        <f>+'Invullen groen'!BA430</f>
        <v/>
      </c>
      <c r="N420" s="124">
        <f>+'Invullen groen'!BB430</f>
        <v/>
      </c>
      <c r="O420" s="124">
        <f>+'Invullen groen'!BC430</f>
        <v/>
      </c>
      <c r="P420" s="124">
        <f>+'Invullen groen'!BD430</f>
        <v/>
      </c>
    </row>
    <row r="421">
      <c r="A421" s="113">
        <f>+'Invullen groen'!A431</f>
        <v/>
      </c>
      <c r="B421" s="154">
        <f>+'Invullen groen'!C431</f>
        <v/>
      </c>
      <c r="C421" s="124">
        <f>+'Invullen groen'!G431</f>
        <v/>
      </c>
      <c r="D421" s="113">
        <f>+'Invullen groen'!M431</f>
        <v/>
      </c>
      <c r="E421" s="114">
        <f>+'Invullen groen'!H431</f>
        <v/>
      </c>
      <c r="F421" s="114">
        <f>+'Invullen groen'!I431</f>
        <v/>
      </c>
      <c r="G421" s="114">
        <f>+'Invullen groen'!J431</f>
        <v/>
      </c>
      <c r="H421" s="114">
        <f>+'Invullen groen'!K431</f>
        <v/>
      </c>
      <c r="I421" s="124">
        <f>+'Invullen groen'!AW431</f>
        <v/>
      </c>
      <c r="J421" s="124">
        <f>+'Invullen groen'!AX431</f>
        <v/>
      </c>
      <c r="K421" s="124">
        <f>+'Invullen groen'!AY431</f>
        <v/>
      </c>
      <c r="L421" s="124">
        <f>+'Invullen groen'!AZ431</f>
        <v/>
      </c>
      <c r="M421" s="124">
        <f>+'Invullen groen'!BA431</f>
        <v/>
      </c>
      <c r="N421" s="124">
        <f>+'Invullen groen'!BB431</f>
        <v/>
      </c>
      <c r="O421" s="124">
        <f>+'Invullen groen'!BC431</f>
        <v/>
      </c>
      <c r="P421" s="124">
        <f>+'Invullen groen'!BD431</f>
        <v/>
      </c>
    </row>
    <row r="422">
      <c r="A422" s="113">
        <f>+'Invullen groen'!A432</f>
        <v/>
      </c>
      <c r="B422" s="154">
        <f>+'Invullen groen'!C432</f>
        <v/>
      </c>
      <c r="C422" s="124">
        <f>+'Invullen groen'!G432</f>
        <v/>
      </c>
      <c r="D422" s="113">
        <f>+'Invullen groen'!M432</f>
        <v/>
      </c>
      <c r="E422" s="114">
        <f>+'Invullen groen'!H432</f>
        <v/>
      </c>
      <c r="F422" s="114">
        <f>+'Invullen groen'!I432</f>
        <v/>
      </c>
      <c r="G422" s="114">
        <f>+'Invullen groen'!J432</f>
        <v/>
      </c>
      <c r="H422" s="114">
        <f>+'Invullen groen'!K432</f>
        <v/>
      </c>
      <c r="I422" s="124">
        <f>+'Invullen groen'!AW432</f>
        <v/>
      </c>
      <c r="J422" s="124">
        <f>+'Invullen groen'!AX432</f>
        <v/>
      </c>
      <c r="K422" s="124">
        <f>+'Invullen groen'!AY432</f>
        <v/>
      </c>
      <c r="L422" s="124">
        <f>+'Invullen groen'!AZ432</f>
        <v/>
      </c>
      <c r="M422" s="124">
        <f>+'Invullen groen'!BA432</f>
        <v/>
      </c>
      <c r="N422" s="124">
        <f>+'Invullen groen'!BB432</f>
        <v/>
      </c>
      <c r="O422" s="124">
        <f>+'Invullen groen'!BC432</f>
        <v/>
      </c>
      <c r="P422" s="124">
        <f>+'Invullen groen'!BD432</f>
        <v/>
      </c>
    </row>
    <row r="423">
      <c r="A423" s="113">
        <f>+'Invullen groen'!A433</f>
        <v/>
      </c>
      <c r="B423" s="154">
        <f>+'Invullen groen'!C433</f>
        <v/>
      </c>
      <c r="C423" s="124">
        <f>+'Invullen groen'!G433</f>
        <v/>
      </c>
      <c r="D423" s="113">
        <f>+'Invullen groen'!M433</f>
        <v/>
      </c>
      <c r="E423" s="114">
        <f>+'Invullen groen'!H433</f>
        <v/>
      </c>
      <c r="F423" s="114">
        <f>+'Invullen groen'!I433</f>
        <v/>
      </c>
      <c r="G423" s="114">
        <f>+'Invullen groen'!J433</f>
        <v/>
      </c>
      <c r="H423" s="114">
        <f>+'Invullen groen'!K433</f>
        <v/>
      </c>
      <c r="I423" s="124">
        <f>+'Invullen groen'!AW433</f>
        <v/>
      </c>
      <c r="J423" s="124">
        <f>+'Invullen groen'!AX433</f>
        <v/>
      </c>
      <c r="K423" s="124">
        <f>+'Invullen groen'!AY433</f>
        <v/>
      </c>
      <c r="L423" s="124">
        <f>+'Invullen groen'!AZ433</f>
        <v/>
      </c>
      <c r="M423" s="124">
        <f>+'Invullen groen'!BA433</f>
        <v/>
      </c>
      <c r="N423" s="124">
        <f>+'Invullen groen'!BB433</f>
        <v/>
      </c>
      <c r="O423" s="124">
        <f>+'Invullen groen'!BC433</f>
        <v/>
      </c>
      <c r="P423" s="124">
        <f>+'Invullen groen'!BD433</f>
        <v/>
      </c>
    </row>
    <row r="424">
      <c r="A424" s="113">
        <f>+'Invullen groen'!A434</f>
        <v/>
      </c>
      <c r="B424" s="154">
        <f>+'Invullen groen'!C434</f>
        <v/>
      </c>
      <c r="C424" s="124">
        <f>+'Invullen groen'!G434</f>
        <v/>
      </c>
      <c r="D424" s="113">
        <f>+'Invullen groen'!M434</f>
        <v/>
      </c>
      <c r="E424" s="114">
        <f>+'Invullen groen'!H434</f>
        <v/>
      </c>
      <c r="F424" s="114">
        <f>+'Invullen groen'!I434</f>
        <v/>
      </c>
      <c r="G424" s="114">
        <f>+'Invullen groen'!J434</f>
        <v/>
      </c>
      <c r="H424" s="114">
        <f>+'Invullen groen'!K434</f>
        <v/>
      </c>
      <c r="I424" s="124">
        <f>+'Invullen groen'!AW434</f>
        <v/>
      </c>
      <c r="J424" s="124">
        <f>+'Invullen groen'!AX434</f>
        <v/>
      </c>
      <c r="K424" s="124">
        <f>+'Invullen groen'!AY434</f>
        <v/>
      </c>
      <c r="L424" s="124">
        <f>+'Invullen groen'!AZ434</f>
        <v/>
      </c>
      <c r="M424" s="124">
        <f>+'Invullen groen'!BA434</f>
        <v/>
      </c>
      <c r="N424" s="124">
        <f>+'Invullen groen'!BB434</f>
        <v/>
      </c>
      <c r="O424" s="124">
        <f>+'Invullen groen'!BC434</f>
        <v/>
      </c>
      <c r="P424" s="124">
        <f>+'Invullen groen'!BD434</f>
        <v/>
      </c>
    </row>
    <row r="425">
      <c r="A425" s="113">
        <f>+'Invullen groen'!A435</f>
        <v/>
      </c>
      <c r="B425" s="154">
        <f>+'Invullen groen'!C435</f>
        <v/>
      </c>
      <c r="C425" s="124">
        <f>+'Invullen groen'!G435</f>
        <v/>
      </c>
      <c r="D425" s="113">
        <f>+'Invullen groen'!M435</f>
        <v/>
      </c>
      <c r="E425" s="114">
        <f>+'Invullen groen'!H435</f>
        <v/>
      </c>
      <c r="F425" s="114">
        <f>+'Invullen groen'!I435</f>
        <v/>
      </c>
      <c r="G425" s="114">
        <f>+'Invullen groen'!J435</f>
        <v/>
      </c>
      <c r="H425" s="114">
        <f>+'Invullen groen'!K435</f>
        <v/>
      </c>
      <c r="I425" s="124">
        <f>+'Invullen groen'!AW435</f>
        <v/>
      </c>
      <c r="J425" s="124">
        <f>+'Invullen groen'!AX435</f>
        <v/>
      </c>
      <c r="K425" s="124">
        <f>+'Invullen groen'!AY435</f>
        <v/>
      </c>
      <c r="L425" s="124">
        <f>+'Invullen groen'!AZ435</f>
        <v/>
      </c>
      <c r="M425" s="124">
        <f>+'Invullen groen'!BA435</f>
        <v/>
      </c>
      <c r="N425" s="124">
        <f>+'Invullen groen'!BB435</f>
        <v/>
      </c>
      <c r="O425" s="124">
        <f>+'Invullen groen'!BC435</f>
        <v/>
      </c>
      <c r="P425" s="124">
        <f>+'Invullen groen'!BD435</f>
        <v/>
      </c>
    </row>
    <row r="426">
      <c r="A426" s="113">
        <f>+'Invullen groen'!A436</f>
        <v/>
      </c>
      <c r="B426" s="154">
        <f>+'Invullen groen'!C436</f>
        <v/>
      </c>
      <c r="C426" s="124">
        <f>+'Invullen groen'!G436</f>
        <v/>
      </c>
      <c r="D426" s="113">
        <f>+'Invullen groen'!M436</f>
        <v/>
      </c>
      <c r="E426" s="114">
        <f>+'Invullen groen'!H436</f>
        <v/>
      </c>
      <c r="F426" s="114">
        <f>+'Invullen groen'!I436</f>
        <v/>
      </c>
      <c r="G426" s="114">
        <f>+'Invullen groen'!J436</f>
        <v/>
      </c>
      <c r="H426" s="114">
        <f>+'Invullen groen'!K436</f>
        <v/>
      </c>
      <c r="I426" s="124">
        <f>+'Invullen groen'!AW436</f>
        <v/>
      </c>
      <c r="J426" s="124">
        <f>+'Invullen groen'!AX436</f>
        <v/>
      </c>
      <c r="K426" s="124">
        <f>+'Invullen groen'!AY436</f>
        <v/>
      </c>
      <c r="L426" s="124">
        <f>+'Invullen groen'!AZ436</f>
        <v/>
      </c>
      <c r="M426" s="124">
        <f>+'Invullen groen'!BA436</f>
        <v/>
      </c>
      <c r="N426" s="124">
        <f>+'Invullen groen'!BB436</f>
        <v/>
      </c>
      <c r="O426" s="124">
        <f>+'Invullen groen'!BC436</f>
        <v/>
      </c>
      <c r="P426" s="124">
        <f>+'Invullen groen'!BD436</f>
        <v/>
      </c>
    </row>
    <row r="427">
      <c r="A427" s="113">
        <f>+'Invullen groen'!A437</f>
        <v/>
      </c>
      <c r="B427" s="154">
        <f>+'Invullen groen'!C437</f>
        <v/>
      </c>
      <c r="C427" s="124">
        <f>+'Invullen groen'!G437</f>
        <v/>
      </c>
      <c r="D427" s="113">
        <f>+'Invullen groen'!M437</f>
        <v/>
      </c>
      <c r="E427" s="114">
        <f>+'Invullen groen'!H437</f>
        <v/>
      </c>
      <c r="F427" s="114">
        <f>+'Invullen groen'!I437</f>
        <v/>
      </c>
      <c r="G427" s="114">
        <f>+'Invullen groen'!J437</f>
        <v/>
      </c>
      <c r="H427" s="114">
        <f>+'Invullen groen'!K437</f>
        <v/>
      </c>
      <c r="I427" s="124">
        <f>+'Invullen groen'!AW437</f>
        <v/>
      </c>
      <c r="J427" s="124">
        <f>+'Invullen groen'!AX437</f>
        <v/>
      </c>
      <c r="K427" s="124">
        <f>+'Invullen groen'!AY437</f>
        <v/>
      </c>
      <c r="L427" s="124">
        <f>+'Invullen groen'!AZ437</f>
        <v/>
      </c>
      <c r="M427" s="124">
        <f>+'Invullen groen'!BA437</f>
        <v/>
      </c>
      <c r="N427" s="124">
        <f>+'Invullen groen'!BB437</f>
        <v/>
      </c>
      <c r="O427" s="124">
        <f>+'Invullen groen'!BC437</f>
        <v/>
      </c>
      <c r="P427" s="124">
        <f>+'Invullen groen'!BD437</f>
        <v/>
      </c>
    </row>
    <row r="428">
      <c r="A428" s="113">
        <f>+'Invullen groen'!A438</f>
        <v/>
      </c>
      <c r="B428" s="154">
        <f>+'Invullen groen'!C438</f>
        <v/>
      </c>
      <c r="C428" s="124">
        <f>+'Invullen groen'!G438</f>
        <v/>
      </c>
      <c r="D428" s="113">
        <f>+'Invullen groen'!M438</f>
        <v/>
      </c>
      <c r="E428" s="114">
        <f>+'Invullen groen'!H438</f>
        <v/>
      </c>
      <c r="F428" s="114">
        <f>+'Invullen groen'!I438</f>
        <v/>
      </c>
      <c r="G428" s="114">
        <f>+'Invullen groen'!J438</f>
        <v/>
      </c>
      <c r="H428" s="114">
        <f>+'Invullen groen'!K438</f>
        <v/>
      </c>
      <c r="I428" s="124">
        <f>+'Invullen groen'!AW438</f>
        <v/>
      </c>
      <c r="J428" s="124">
        <f>+'Invullen groen'!AX438</f>
        <v/>
      </c>
      <c r="K428" s="124">
        <f>+'Invullen groen'!AY438</f>
        <v/>
      </c>
      <c r="L428" s="124">
        <f>+'Invullen groen'!AZ438</f>
        <v/>
      </c>
      <c r="M428" s="124">
        <f>+'Invullen groen'!BA438</f>
        <v/>
      </c>
      <c r="N428" s="124">
        <f>+'Invullen groen'!BB438</f>
        <v/>
      </c>
      <c r="O428" s="124">
        <f>+'Invullen groen'!BC438</f>
        <v/>
      </c>
      <c r="P428" s="124">
        <f>+'Invullen groen'!BD438</f>
        <v/>
      </c>
    </row>
    <row r="429">
      <c r="A429" s="113">
        <f>+'Invullen groen'!A439</f>
        <v/>
      </c>
      <c r="B429" s="154">
        <f>+'Invullen groen'!C439</f>
        <v/>
      </c>
      <c r="C429" s="124">
        <f>+'Invullen groen'!G439</f>
        <v/>
      </c>
      <c r="D429" s="113">
        <f>+'Invullen groen'!M439</f>
        <v/>
      </c>
      <c r="E429" s="114">
        <f>+'Invullen groen'!H439</f>
        <v/>
      </c>
      <c r="F429" s="114">
        <f>+'Invullen groen'!I439</f>
        <v/>
      </c>
      <c r="G429" s="114">
        <f>+'Invullen groen'!J439</f>
        <v/>
      </c>
      <c r="H429" s="114">
        <f>+'Invullen groen'!K439</f>
        <v/>
      </c>
      <c r="I429" s="124">
        <f>+'Invullen groen'!AW439</f>
        <v/>
      </c>
      <c r="J429" s="124">
        <f>+'Invullen groen'!AX439</f>
        <v/>
      </c>
      <c r="K429" s="124">
        <f>+'Invullen groen'!AY439</f>
        <v/>
      </c>
      <c r="L429" s="124">
        <f>+'Invullen groen'!AZ439</f>
        <v/>
      </c>
      <c r="M429" s="124">
        <f>+'Invullen groen'!BA439</f>
        <v/>
      </c>
      <c r="N429" s="124">
        <f>+'Invullen groen'!BB439</f>
        <v/>
      </c>
      <c r="O429" s="124">
        <f>+'Invullen groen'!BC439</f>
        <v/>
      </c>
      <c r="P429" s="124">
        <f>+'Invullen groen'!BD439</f>
        <v/>
      </c>
    </row>
    <row r="430">
      <c r="A430" s="113">
        <f>+'Invullen groen'!A440</f>
        <v/>
      </c>
      <c r="B430" s="154">
        <f>+'Invullen groen'!C440</f>
        <v/>
      </c>
      <c r="C430" s="124">
        <f>+'Invullen groen'!G440</f>
        <v/>
      </c>
      <c r="D430" s="113">
        <f>+'Invullen groen'!M440</f>
        <v/>
      </c>
      <c r="E430" s="114">
        <f>+'Invullen groen'!H440</f>
        <v/>
      </c>
      <c r="F430" s="114">
        <f>+'Invullen groen'!I440</f>
        <v/>
      </c>
      <c r="G430" s="114">
        <f>+'Invullen groen'!J440</f>
        <v/>
      </c>
      <c r="H430" s="114">
        <f>+'Invullen groen'!K440</f>
        <v/>
      </c>
      <c r="I430" s="124">
        <f>+'Invullen groen'!AW440</f>
        <v/>
      </c>
      <c r="J430" s="124">
        <f>+'Invullen groen'!AX440</f>
        <v/>
      </c>
      <c r="K430" s="124">
        <f>+'Invullen groen'!AY440</f>
        <v/>
      </c>
      <c r="L430" s="124">
        <f>+'Invullen groen'!AZ440</f>
        <v/>
      </c>
      <c r="M430" s="124">
        <f>+'Invullen groen'!BA440</f>
        <v/>
      </c>
      <c r="N430" s="124">
        <f>+'Invullen groen'!BB440</f>
        <v/>
      </c>
      <c r="O430" s="124">
        <f>+'Invullen groen'!BC440</f>
        <v/>
      </c>
      <c r="P430" s="124">
        <f>+'Invullen groen'!BD440</f>
        <v/>
      </c>
    </row>
    <row r="431">
      <c r="A431" s="113">
        <f>+'Invullen groen'!A441</f>
        <v/>
      </c>
      <c r="B431" s="154">
        <f>+'Invullen groen'!C441</f>
        <v/>
      </c>
      <c r="C431" s="124">
        <f>+'Invullen groen'!G441</f>
        <v/>
      </c>
      <c r="D431" s="113">
        <f>+'Invullen groen'!M441</f>
        <v/>
      </c>
      <c r="E431" s="114">
        <f>+'Invullen groen'!H441</f>
        <v/>
      </c>
      <c r="F431" s="114">
        <f>+'Invullen groen'!I441</f>
        <v/>
      </c>
      <c r="G431" s="114">
        <f>+'Invullen groen'!J441</f>
        <v/>
      </c>
      <c r="H431" s="114">
        <f>+'Invullen groen'!K441</f>
        <v/>
      </c>
      <c r="I431" s="124">
        <f>+'Invullen groen'!AW441</f>
        <v/>
      </c>
      <c r="J431" s="124">
        <f>+'Invullen groen'!AX441</f>
        <v/>
      </c>
      <c r="K431" s="124">
        <f>+'Invullen groen'!AY441</f>
        <v/>
      </c>
      <c r="L431" s="124">
        <f>+'Invullen groen'!AZ441</f>
        <v/>
      </c>
      <c r="M431" s="124">
        <f>+'Invullen groen'!BA441</f>
        <v/>
      </c>
      <c r="N431" s="124">
        <f>+'Invullen groen'!BB441</f>
        <v/>
      </c>
      <c r="O431" s="124">
        <f>+'Invullen groen'!BC441</f>
        <v/>
      </c>
      <c r="P431" s="124">
        <f>+'Invullen groen'!BD441</f>
        <v/>
      </c>
    </row>
    <row r="432">
      <c r="A432" s="113">
        <f>+'Invullen groen'!A442</f>
        <v/>
      </c>
      <c r="B432" s="154">
        <f>+'Invullen groen'!C442</f>
        <v/>
      </c>
      <c r="C432" s="124">
        <f>+'Invullen groen'!G442</f>
        <v/>
      </c>
      <c r="D432" s="113">
        <f>+'Invullen groen'!M442</f>
        <v/>
      </c>
      <c r="E432" s="114">
        <f>+'Invullen groen'!H442</f>
        <v/>
      </c>
      <c r="F432" s="114">
        <f>+'Invullen groen'!I442</f>
        <v/>
      </c>
      <c r="G432" s="114">
        <f>+'Invullen groen'!J442</f>
        <v/>
      </c>
      <c r="H432" s="114">
        <f>+'Invullen groen'!K442</f>
        <v/>
      </c>
      <c r="I432" s="124">
        <f>+'Invullen groen'!AW442</f>
        <v/>
      </c>
      <c r="J432" s="124">
        <f>+'Invullen groen'!AX442</f>
        <v/>
      </c>
      <c r="K432" s="124">
        <f>+'Invullen groen'!AY442</f>
        <v/>
      </c>
      <c r="L432" s="124">
        <f>+'Invullen groen'!AZ442</f>
        <v/>
      </c>
      <c r="M432" s="124">
        <f>+'Invullen groen'!BA442</f>
        <v/>
      </c>
      <c r="N432" s="124">
        <f>+'Invullen groen'!BB442</f>
        <v/>
      </c>
      <c r="O432" s="124">
        <f>+'Invullen groen'!BC442</f>
        <v/>
      </c>
      <c r="P432" s="124">
        <f>+'Invullen groen'!BD442</f>
        <v/>
      </c>
    </row>
    <row r="433">
      <c r="A433" s="113">
        <f>+'Invullen groen'!A443</f>
        <v/>
      </c>
      <c r="B433" s="154">
        <f>+'Invullen groen'!C443</f>
        <v/>
      </c>
      <c r="C433" s="124">
        <f>+'Invullen groen'!G443</f>
        <v/>
      </c>
      <c r="D433" s="113">
        <f>+'Invullen groen'!M443</f>
        <v/>
      </c>
      <c r="E433" s="114">
        <f>+'Invullen groen'!H443</f>
        <v/>
      </c>
      <c r="F433" s="114">
        <f>+'Invullen groen'!I443</f>
        <v/>
      </c>
      <c r="G433" s="114">
        <f>+'Invullen groen'!J443</f>
        <v/>
      </c>
      <c r="H433" s="114">
        <f>+'Invullen groen'!K443</f>
        <v/>
      </c>
      <c r="I433" s="124">
        <f>+'Invullen groen'!AW443</f>
        <v/>
      </c>
      <c r="J433" s="124">
        <f>+'Invullen groen'!AX443</f>
        <v/>
      </c>
      <c r="K433" s="124">
        <f>+'Invullen groen'!AY443</f>
        <v/>
      </c>
      <c r="L433" s="124">
        <f>+'Invullen groen'!AZ443</f>
        <v/>
      </c>
      <c r="M433" s="124">
        <f>+'Invullen groen'!BA443</f>
        <v/>
      </c>
      <c r="N433" s="124">
        <f>+'Invullen groen'!BB443</f>
        <v/>
      </c>
      <c r="O433" s="124">
        <f>+'Invullen groen'!BC443</f>
        <v/>
      </c>
      <c r="P433" s="124">
        <f>+'Invullen groen'!BD443</f>
        <v/>
      </c>
    </row>
    <row r="434">
      <c r="A434" s="113">
        <f>+'Invullen groen'!A444</f>
        <v/>
      </c>
      <c r="B434" s="154">
        <f>+'Invullen groen'!C444</f>
        <v/>
      </c>
      <c r="C434" s="124">
        <f>+'Invullen groen'!G444</f>
        <v/>
      </c>
      <c r="D434" s="113">
        <f>+'Invullen groen'!M444</f>
        <v/>
      </c>
      <c r="E434" s="114">
        <f>+'Invullen groen'!H444</f>
        <v/>
      </c>
      <c r="F434" s="114">
        <f>+'Invullen groen'!I444</f>
        <v/>
      </c>
      <c r="G434" s="114">
        <f>+'Invullen groen'!J444</f>
        <v/>
      </c>
      <c r="H434" s="114">
        <f>+'Invullen groen'!K444</f>
        <v/>
      </c>
      <c r="I434" s="124">
        <f>+'Invullen groen'!AW444</f>
        <v/>
      </c>
      <c r="J434" s="124">
        <f>+'Invullen groen'!AX444</f>
        <v/>
      </c>
      <c r="K434" s="124">
        <f>+'Invullen groen'!AY444</f>
        <v/>
      </c>
      <c r="L434" s="124">
        <f>+'Invullen groen'!AZ444</f>
        <v/>
      </c>
      <c r="M434" s="124">
        <f>+'Invullen groen'!BA444</f>
        <v/>
      </c>
      <c r="N434" s="124">
        <f>+'Invullen groen'!BB444</f>
        <v/>
      </c>
      <c r="O434" s="124">
        <f>+'Invullen groen'!BC444</f>
        <v/>
      </c>
      <c r="P434" s="124">
        <f>+'Invullen groen'!BD444</f>
        <v/>
      </c>
    </row>
    <row r="435">
      <c r="A435" s="113">
        <f>+'Invullen groen'!A445</f>
        <v/>
      </c>
      <c r="B435" s="154">
        <f>+'Invullen groen'!C445</f>
        <v/>
      </c>
      <c r="C435" s="124">
        <f>+'Invullen groen'!G445</f>
        <v/>
      </c>
      <c r="D435" s="113">
        <f>+'Invullen groen'!M445</f>
        <v/>
      </c>
      <c r="E435" s="114">
        <f>+'Invullen groen'!H445</f>
        <v/>
      </c>
      <c r="F435" s="114">
        <f>+'Invullen groen'!I445</f>
        <v/>
      </c>
      <c r="G435" s="114">
        <f>+'Invullen groen'!J445</f>
        <v/>
      </c>
      <c r="H435" s="114">
        <f>+'Invullen groen'!K445</f>
        <v/>
      </c>
      <c r="I435" s="124">
        <f>+'Invullen groen'!AW445</f>
        <v/>
      </c>
      <c r="J435" s="124">
        <f>+'Invullen groen'!AX445</f>
        <v/>
      </c>
      <c r="K435" s="124">
        <f>+'Invullen groen'!AY445</f>
        <v/>
      </c>
      <c r="L435" s="124">
        <f>+'Invullen groen'!AZ445</f>
        <v/>
      </c>
      <c r="M435" s="124">
        <f>+'Invullen groen'!BA445</f>
        <v/>
      </c>
      <c r="N435" s="124">
        <f>+'Invullen groen'!BB445</f>
        <v/>
      </c>
      <c r="O435" s="124">
        <f>+'Invullen groen'!BC445</f>
        <v/>
      </c>
      <c r="P435" s="124">
        <f>+'Invullen groen'!BD445</f>
        <v/>
      </c>
    </row>
    <row r="436">
      <c r="A436" s="113">
        <f>+'Invullen groen'!A446</f>
        <v/>
      </c>
      <c r="B436" s="154">
        <f>+'Invullen groen'!C446</f>
        <v/>
      </c>
      <c r="C436" s="124">
        <f>+'Invullen groen'!G446</f>
        <v/>
      </c>
      <c r="D436" s="113">
        <f>+'Invullen groen'!M446</f>
        <v/>
      </c>
      <c r="E436" s="114">
        <f>+'Invullen groen'!H446</f>
        <v/>
      </c>
      <c r="F436" s="114">
        <f>+'Invullen groen'!I446</f>
        <v/>
      </c>
      <c r="G436" s="114">
        <f>+'Invullen groen'!J446</f>
        <v/>
      </c>
      <c r="H436" s="114">
        <f>+'Invullen groen'!K446</f>
        <v/>
      </c>
      <c r="I436" s="124">
        <f>+'Invullen groen'!AW446</f>
        <v/>
      </c>
      <c r="J436" s="124">
        <f>+'Invullen groen'!AX446</f>
        <v/>
      </c>
      <c r="K436" s="124">
        <f>+'Invullen groen'!AY446</f>
        <v/>
      </c>
      <c r="L436" s="124">
        <f>+'Invullen groen'!AZ446</f>
        <v/>
      </c>
      <c r="M436" s="124">
        <f>+'Invullen groen'!BA446</f>
        <v/>
      </c>
      <c r="N436" s="124">
        <f>+'Invullen groen'!BB446</f>
        <v/>
      </c>
      <c r="O436" s="124">
        <f>+'Invullen groen'!BC446</f>
        <v/>
      </c>
      <c r="P436" s="124">
        <f>+'Invullen groen'!BD446</f>
        <v/>
      </c>
    </row>
    <row r="437">
      <c r="A437" s="113">
        <f>+'Invullen groen'!A447</f>
        <v/>
      </c>
      <c r="B437" s="154">
        <f>+'Invullen groen'!C447</f>
        <v/>
      </c>
      <c r="C437" s="124">
        <f>+'Invullen groen'!G447</f>
        <v/>
      </c>
      <c r="D437" s="113">
        <f>+'Invullen groen'!M447</f>
        <v/>
      </c>
      <c r="E437" s="114">
        <f>+'Invullen groen'!H447</f>
        <v/>
      </c>
      <c r="F437" s="114">
        <f>+'Invullen groen'!I447</f>
        <v/>
      </c>
      <c r="G437" s="114">
        <f>+'Invullen groen'!J447</f>
        <v/>
      </c>
      <c r="H437" s="114">
        <f>+'Invullen groen'!K447</f>
        <v/>
      </c>
      <c r="I437" s="124">
        <f>+'Invullen groen'!AW447</f>
        <v/>
      </c>
      <c r="J437" s="124">
        <f>+'Invullen groen'!AX447</f>
        <v/>
      </c>
      <c r="K437" s="124">
        <f>+'Invullen groen'!AY447</f>
        <v/>
      </c>
      <c r="L437" s="124">
        <f>+'Invullen groen'!AZ447</f>
        <v/>
      </c>
      <c r="M437" s="124">
        <f>+'Invullen groen'!BA447</f>
        <v/>
      </c>
      <c r="N437" s="124">
        <f>+'Invullen groen'!BB447</f>
        <v/>
      </c>
      <c r="O437" s="124">
        <f>+'Invullen groen'!BC447</f>
        <v/>
      </c>
      <c r="P437" s="124">
        <f>+'Invullen groen'!BD447</f>
        <v/>
      </c>
    </row>
    <row r="438">
      <c r="A438" s="113">
        <f>+'Invullen groen'!A448</f>
        <v/>
      </c>
      <c r="B438" s="154">
        <f>+'Invullen groen'!C448</f>
        <v/>
      </c>
      <c r="C438" s="124">
        <f>+'Invullen groen'!G448</f>
        <v/>
      </c>
      <c r="D438" s="113">
        <f>+'Invullen groen'!M448</f>
        <v/>
      </c>
      <c r="E438" s="114">
        <f>+'Invullen groen'!H448</f>
        <v/>
      </c>
      <c r="F438" s="114">
        <f>+'Invullen groen'!I448</f>
        <v/>
      </c>
      <c r="G438" s="114">
        <f>+'Invullen groen'!J448</f>
        <v/>
      </c>
      <c r="H438" s="114">
        <f>+'Invullen groen'!K448</f>
        <v/>
      </c>
      <c r="I438" s="124">
        <f>+'Invullen groen'!AW448</f>
        <v/>
      </c>
      <c r="J438" s="124">
        <f>+'Invullen groen'!AX448</f>
        <v/>
      </c>
      <c r="K438" s="124">
        <f>+'Invullen groen'!AY448</f>
        <v/>
      </c>
      <c r="L438" s="124">
        <f>+'Invullen groen'!AZ448</f>
        <v/>
      </c>
      <c r="M438" s="124">
        <f>+'Invullen groen'!BA448</f>
        <v/>
      </c>
      <c r="N438" s="124">
        <f>+'Invullen groen'!BB448</f>
        <v/>
      </c>
      <c r="O438" s="124">
        <f>+'Invullen groen'!BC448</f>
        <v/>
      </c>
      <c r="P438" s="124">
        <f>+'Invullen groen'!BD448</f>
        <v/>
      </c>
    </row>
    <row r="439">
      <c r="A439" s="113">
        <f>+'Invullen groen'!A449</f>
        <v/>
      </c>
      <c r="B439" s="154">
        <f>+'Invullen groen'!C449</f>
        <v/>
      </c>
      <c r="C439" s="124">
        <f>+'Invullen groen'!G449</f>
        <v/>
      </c>
      <c r="D439" s="113">
        <f>+'Invullen groen'!M449</f>
        <v/>
      </c>
      <c r="E439" s="114">
        <f>+'Invullen groen'!H449</f>
        <v/>
      </c>
      <c r="F439" s="114">
        <f>+'Invullen groen'!I449</f>
        <v/>
      </c>
      <c r="G439" s="114">
        <f>+'Invullen groen'!J449</f>
        <v/>
      </c>
      <c r="H439" s="114">
        <f>+'Invullen groen'!K449</f>
        <v/>
      </c>
      <c r="I439" s="124">
        <f>+'Invullen groen'!AW449</f>
        <v/>
      </c>
      <c r="J439" s="124">
        <f>+'Invullen groen'!AX449</f>
        <v/>
      </c>
      <c r="K439" s="124">
        <f>+'Invullen groen'!AY449</f>
        <v/>
      </c>
      <c r="L439" s="124">
        <f>+'Invullen groen'!AZ449</f>
        <v/>
      </c>
      <c r="M439" s="124">
        <f>+'Invullen groen'!BA449</f>
        <v/>
      </c>
      <c r="N439" s="124">
        <f>+'Invullen groen'!BB449</f>
        <v/>
      </c>
      <c r="O439" s="124">
        <f>+'Invullen groen'!BC449</f>
        <v/>
      </c>
      <c r="P439" s="124">
        <f>+'Invullen groen'!BD449</f>
        <v/>
      </c>
    </row>
    <row r="440">
      <c r="A440" s="113">
        <f>+'Invullen groen'!A450</f>
        <v/>
      </c>
      <c r="B440" s="154">
        <f>+'Invullen groen'!C450</f>
        <v/>
      </c>
      <c r="C440" s="124">
        <f>+'Invullen groen'!G450</f>
        <v/>
      </c>
      <c r="D440" s="113">
        <f>+'Invullen groen'!M450</f>
        <v/>
      </c>
      <c r="E440" s="114">
        <f>+'Invullen groen'!H450</f>
        <v/>
      </c>
      <c r="F440" s="114">
        <f>+'Invullen groen'!I450</f>
        <v/>
      </c>
      <c r="G440" s="114">
        <f>+'Invullen groen'!J450</f>
        <v/>
      </c>
      <c r="H440" s="114">
        <f>+'Invullen groen'!K450</f>
        <v/>
      </c>
      <c r="I440" s="124">
        <f>+'Invullen groen'!AW450</f>
        <v/>
      </c>
      <c r="J440" s="124">
        <f>+'Invullen groen'!AX450</f>
        <v/>
      </c>
      <c r="K440" s="124">
        <f>+'Invullen groen'!AY450</f>
        <v/>
      </c>
      <c r="L440" s="124">
        <f>+'Invullen groen'!AZ450</f>
        <v/>
      </c>
      <c r="M440" s="124">
        <f>+'Invullen groen'!BA450</f>
        <v/>
      </c>
      <c r="N440" s="124">
        <f>+'Invullen groen'!BB450</f>
        <v/>
      </c>
      <c r="O440" s="124">
        <f>+'Invullen groen'!BC450</f>
        <v/>
      </c>
      <c r="P440" s="124">
        <f>+'Invullen groen'!BD450</f>
        <v/>
      </c>
    </row>
    <row r="441">
      <c r="A441" s="113">
        <f>+'Invullen groen'!A451</f>
        <v/>
      </c>
      <c r="B441" s="154">
        <f>+'Invullen groen'!C451</f>
        <v/>
      </c>
      <c r="C441" s="124">
        <f>+'Invullen groen'!G451</f>
        <v/>
      </c>
      <c r="D441" s="113">
        <f>+'Invullen groen'!M451</f>
        <v/>
      </c>
      <c r="E441" s="114">
        <f>+'Invullen groen'!H451</f>
        <v/>
      </c>
      <c r="F441" s="114">
        <f>+'Invullen groen'!I451</f>
        <v/>
      </c>
      <c r="G441" s="114">
        <f>+'Invullen groen'!J451</f>
        <v/>
      </c>
      <c r="H441" s="114">
        <f>+'Invullen groen'!K451</f>
        <v/>
      </c>
      <c r="I441" s="124">
        <f>+'Invullen groen'!AW451</f>
        <v/>
      </c>
      <c r="J441" s="124">
        <f>+'Invullen groen'!AX451</f>
        <v/>
      </c>
      <c r="K441" s="124">
        <f>+'Invullen groen'!AY451</f>
        <v/>
      </c>
      <c r="L441" s="124">
        <f>+'Invullen groen'!AZ451</f>
        <v/>
      </c>
      <c r="M441" s="124">
        <f>+'Invullen groen'!BA451</f>
        <v/>
      </c>
      <c r="N441" s="124">
        <f>+'Invullen groen'!BB451</f>
        <v/>
      </c>
      <c r="O441" s="124">
        <f>+'Invullen groen'!BC451</f>
        <v/>
      </c>
      <c r="P441" s="124">
        <f>+'Invullen groen'!BD451</f>
        <v/>
      </c>
    </row>
    <row r="442">
      <c r="A442" s="113">
        <f>+'Invullen groen'!A452</f>
        <v/>
      </c>
      <c r="B442" s="154">
        <f>+'Invullen groen'!C452</f>
        <v/>
      </c>
      <c r="C442" s="124">
        <f>+'Invullen groen'!G452</f>
        <v/>
      </c>
      <c r="D442" s="113">
        <f>+'Invullen groen'!M452</f>
        <v/>
      </c>
      <c r="E442" s="114">
        <f>+'Invullen groen'!H452</f>
        <v/>
      </c>
      <c r="F442" s="114">
        <f>+'Invullen groen'!I452</f>
        <v/>
      </c>
      <c r="G442" s="114">
        <f>+'Invullen groen'!J452</f>
        <v/>
      </c>
      <c r="H442" s="114">
        <f>+'Invullen groen'!K452</f>
        <v/>
      </c>
      <c r="I442" s="124">
        <f>+'Invullen groen'!AW452</f>
        <v/>
      </c>
      <c r="J442" s="124">
        <f>+'Invullen groen'!AX452</f>
        <v/>
      </c>
      <c r="K442" s="124">
        <f>+'Invullen groen'!AY452</f>
        <v/>
      </c>
      <c r="L442" s="124">
        <f>+'Invullen groen'!AZ452</f>
        <v/>
      </c>
      <c r="M442" s="124">
        <f>+'Invullen groen'!BA452</f>
        <v/>
      </c>
      <c r="N442" s="124">
        <f>+'Invullen groen'!BB452</f>
        <v/>
      </c>
      <c r="O442" s="124">
        <f>+'Invullen groen'!BC452</f>
        <v/>
      </c>
      <c r="P442" s="124">
        <f>+'Invullen groen'!BD452</f>
        <v/>
      </c>
    </row>
    <row r="443">
      <c r="A443" s="113">
        <f>+'Invullen groen'!A453</f>
        <v/>
      </c>
      <c r="B443" s="154">
        <f>+'Invullen groen'!C453</f>
        <v/>
      </c>
      <c r="C443" s="124">
        <f>+'Invullen groen'!G453</f>
        <v/>
      </c>
      <c r="D443" s="113">
        <f>+'Invullen groen'!M453</f>
        <v/>
      </c>
      <c r="E443" s="114">
        <f>+'Invullen groen'!H453</f>
        <v/>
      </c>
      <c r="F443" s="114">
        <f>+'Invullen groen'!I453</f>
        <v/>
      </c>
      <c r="G443" s="114">
        <f>+'Invullen groen'!J453</f>
        <v/>
      </c>
      <c r="H443" s="114">
        <f>+'Invullen groen'!K453</f>
        <v/>
      </c>
      <c r="I443" s="124">
        <f>+'Invullen groen'!AW453</f>
        <v/>
      </c>
      <c r="J443" s="124">
        <f>+'Invullen groen'!AX453</f>
        <v/>
      </c>
      <c r="K443" s="124">
        <f>+'Invullen groen'!AY453</f>
        <v/>
      </c>
      <c r="L443" s="124">
        <f>+'Invullen groen'!AZ453</f>
        <v/>
      </c>
      <c r="M443" s="124">
        <f>+'Invullen groen'!BA453</f>
        <v/>
      </c>
      <c r="N443" s="124">
        <f>+'Invullen groen'!BB453</f>
        <v/>
      </c>
      <c r="O443" s="124">
        <f>+'Invullen groen'!BC453</f>
        <v/>
      </c>
      <c r="P443" s="124">
        <f>+'Invullen groen'!BD453</f>
        <v/>
      </c>
    </row>
    <row r="444">
      <c r="A444" s="113">
        <f>+'Invullen groen'!A454</f>
        <v/>
      </c>
      <c r="B444" s="154">
        <f>+'Invullen groen'!C454</f>
        <v/>
      </c>
      <c r="C444" s="124">
        <f>+'Invullen groen'!G454</f>
        <v/>
      </c>
      <c r="D444" s="113">
        <f>+'Invullen groen'!M454</f>
        <v/>
      </c>
      <c r="E444" s="114">
        <f>+'Invullen groen'!H454</f>
        <v/>
      </c>
      <c r="F444" s="114">
        <f>+'Invullen groen'!I454</f>
        <v/>
      </c>
      <c r="G444" s="114">
        <f>+'Invullen groen'!J454</f>
        <v/>
      </c>
      <c r="H444" s="114">
        <f>+'Invullen groen'!K454</f>
        <v/>
      </c>
      <c r="I444" s="124">
        <f>+'Invullen groen'!AW454</f>
        <v/>
      </c>
      <c r="J444" s="124">
        <f>+'Invullen groen'!AX454</f>
        <v/>
      </c>
      <c r="K444" s="124">
        <f>+'Invullen groen'!AY454</f>
        <v/>
      </c>
      <c r="L444" s="124">
        <f>+'Invullen groen'!AZ454</f>
        <v/>
      </c>
      <c r="M444" s="124">
        <f>+'Invullen groen'!BA454</f>
        <v/>
      </c>
      <c r="N444" s="124">
        <f>+'Invullen groen'!BB454</f>
        <v/>
      </c>
      <c r="O444" s="124">
        <f>+'Invullen groen'!BC454</f>
        <v/>
      </c>
      <c r="P444" s="124">
        <f>+'Invullen groen'!BD454</f>
        <v/>
      </c>
    </row>
    <row r="445">
      <c r="A445" s="113">
        <f>+'Invullen groen'!A455</f>
        <v/>
      </c>
      <c r="B445" s="154">
        <f>+'Invullen groen'!C455</f>
        <v/>
      </c>
      <c r="C445" s="124">
        <f>+'Invullen groen'!G455</f>
        <v/>
      </c>
      <c r="D445" s="113">
        <f>+'Invullen groen'!M455</f>
        <v/>
      </c>
      <c r="E445" s="114">
        <f>+'Invullen groen'!H455</f>
        <v/>
      </c>
      <c r="F445" s="114">
        <f>+'Invullen groen'!I455</f>
        <v/>
      </c>
      <c r="G445" s="114">
        <f>+'Invullen groen'!J455</f>
        <v/>
      </c>
      <c r="H445" s="114">
        <f>+'Invullen groen'!K455</f>
        <v/>
      </c>
      <c r="I445" s="124">
        <f>+'Invullen groen'!AW455</f>
        <v/>
      </c>
      <c r="J445" s="124">
        <f>+'Invullen groen'!AX455</f>
        <v/>
      </c>
      <c r="K445" s="124">
        <f>+'Invullen groen'!AY455</f>
        <v/>
      </c>
      <c r="L445" s="124">
        <f>+'Invullen groen'!AZ455</f>
        <v/>
      </c>
      <c r="M445" s="124">
        <f>+'Invullen groen'!BA455</f>
        <v/>
      </c>
      <c r="N445" s="124">
        <f>+'Invullen groen'!BB455</f>
        <v/>
      </c>
      <c r="O445" s="124">
        <f>+'Invullen groen'!BC455</f>
        <v/>
      </c>
      <c r="P445" s="124">
        <f>+'Invullen groen'!BD455</f>
        <v/>
      </c>
    </row>
    <row r="446">
      <c r="A446" s="113">
        <f>+'Invullen groen'!A456</f>
        <v/>
      </c>
      <c r="B446" s="154">
        <f>+'Invullen groen'!C456</f>
        <v/>
      </c>
      <c r="C446" s="124">
        <f>+'Invullen groen'!G456</f>
        <v/>
      </c>
      <c r="D446" s="113">
        <f>+'Invullen groen'!M456</f>
        <v/>
      </c>
      <c r="E446" s="114">
        <f>+'Invullen groen'!H456</f>
        <v/>
      </c>
      <c r="F446" s="114">
        <f>+'Invullen groen'!I456</f>
        <v/>
      </c>
      <c r="G446" s="114">
        <f>+'Invullen groen'!J456</f>
        <v/>
      </c>
      <c r="H446" s="114">
        <f>+'Invullen groen'!K456</f>
        <v/>
      </c>
      <c r="I446" s="124">
        <f>+'Invullen groen'!AW456</f>
        <v/>
      </c>
      <c r="J446" s="124">
        <f>+'Invullen groen'!AX456</f>
        <v/>
      </c>
      <c r="K446" s="124">
        <f>+'Invullen groen'!AY456</f>
        <v/>
      </c>
      <c r="L446" s="124">
        <f>+'Invullen groen'!AZ456</f>
        <v/>
      </c>
      <c r="M446" s="124">
        <f>+'Invullen groen'!BA456</f>
        <v/>
      </c>
      <c r="N446" s="124">
        <f>+'Invullen groen'!BB456</f>
        <v/>
      </c>
      <c r="O446" s="124">
        <f>+'Invullen groen'!BC456</f>
        <v/>
      </c>
      <c r="P446" s="124">
        <f>+'Invullen groen'!BD456</f>
        <v/>
      </c>
    </row>
    <row r="447">
      <c r="A447" s="113">
        <f>+'Invullen groen'!A457</f>
        <v/>
      </c>
      <c r="B447" s="154">
        <f>+'Invullen groen'!C457</f>
        <v/>
      </c>
      <c r="C447" s="124">
        <f>+'Invullen groen'!G457</f>
        <v/>
      </c>
      <c r="D447" s="113">
        <f>+'Invullen groen'!M457</f>
        <v/>
      </c>
      <c r="E447" s="114">
        <f>+'Invullen groen'!H457</f>
        <v/>
      </c>
      <c r="F447" s="114">
        <f>+'Invullen groen'!I457</f>
        <v/>
      </c>
      <c r="G447" s="114">
        <f>+'Invullen groen'!J457</f>
        <v/>
      </c>
      <c r="H447" s="114">
        <f>+'Invullen groen'!K457</f>
        <v/>
      </c>
      <c r="I447" s="124">
        <f>+'Invullen groen'!AW457</f>
        <v/>
      </c>
      <c r="J447" s="124">
        <f>+'Invullen groen'!AX457</f>
        <v/>
      </c>
      <c r="K447" s="124">
        <f>+'Invullen groen'!AY457</f>
        <v/>
      </c>
      <c r="L447" s="124">
        <f>+'Invullen groen'!AZ457</f>
        <v/>
      </c>
      <c r="M447" s="124">
        <f>+'Invullen groen'!BA457</f>
        <v/>
      </c>
      <c r="N447" s="124">
        <f>+'Invullen groen'!BB457</f>
        <v/>
      </c>
      <c r="O447" s="124">
        <f>+'Invullen groen'!BC457</f>
        <v/>
      </c>
      <c r="P447" s="124">
        <f>+'Invullen groen'!BD457</f>
        <v/>
      </c>
    </row>
    <row r="448">
      <c r="A448" s="113">
        <f>+'Invullen groen'!A458</f>
        <v/>
      </c>
      <c r="B448" s="154">
        <f>+'Invullen groen'!C458</f>
        <v/>
      </c>
      <c r="C448" s="124">
        <f>+'Invullen groen'!G458</f>
        <v/>
      </c>
      <c r="D448" s="113">
        <f>+'Invullen groen'!M458</f>
        <v/>
      </c>
      <c r="E448" s="114">
        <f>+'Invullen groen'!H458</f>
        <v/>
      </c>
      <c r="F448" s="114">
        <f>+'Invullen groen'!I458</f>
        <v/>
      </c>
      <c r="G448" s="114">
        <f>+'Invullen groen'!J458</f>
        <v/>
      </c>
      <c r="H448" s="114">
        <f>+'Invullen groen'!K458</f>
        <v/>
      </c>
      <c r="I448" s="124">
        <f>+'Invullen groen'!AW458</f>
        <v/>
      </c>
      <c r="J448" s="124">
        <f>+'Invullen groen'!AX458</f>
        <v/>
      </c>
      <c r="K448" s="124">
        <f>+'Invullen groen'!AY458</f>
        <v/>
      </c>
      <c r="L448" s="124">
        <f>+'Invullen groen'!AZ458</f>
        <v/>
      </c>
      <c r="M448" s="124">
        <f>+'Invullen groen'!BA458</f>
        <v/>
      </c>
      <c r="N448" s="124">
        <f>+'Invullen groen'!BB458</f>
        <v/>
      </c>
      <c r="O448" s="124">
        <f>+'Invullen groen'!BC458</f>
        <v/>
      </c>
      <c r="P448" s="124">
        <f>+'Invullen groen'!BD458</f>
        <v/>
      </c>
    </row>
    <row r="449">
      <c r="A449" s="113">
        <f>+'Invullen groen'!A459</f>
        <v/>
      </c>
      <c r="B449" s="154">
        <f>+'Invullen groen'!C459</f>
        <v/>
      </c>
      <c r="C449" s="124">
        <f>+'Invullen groen'!G459</f>
        <v/>
      </c>
      <c r="D449" s="113">
        <f>+'Invullen groen'!M459</f>
        <v/>
      </c>
      <c r="E449" s="114">
        <f>+'Invullen groen'!H459</f>
        <v/>
      </c>
      <c r="F449" s="114">
        <f>+'Invullen groen'!I459</f>
        <v/>
      </c>
      <c r="G449" s="114">
        <f>+'Invullen groen'!J459</f>
        <v/>
      </c>
      <c r="H449" s="114">
        <f>+'Invullen groen'!K459</f>
        <v/>
      </c>
      <c r="I449" s="124">
        <f>+'Invullen groen'!AW459</f>
        <v/>
      </c>
      <c r="J449" s="124">
        <f>+'Invullen groen'!AX459</f>
        <v/>
      </c>
      <c r="K449" s="124">
        <f>+'Invullen groen'!AY459</f>
        <v/>
      </c>
      <c r="L449" s="124">
        <f>+'Invullen groen'!AZ459</f>
        <v/>
      </c>
      <c r="M449" s="124">
        <f>+'Invullen groen'!BA459</f>
        <v/>
      </c>
      <c r="N449" s="124">
        <f>+'Invullen groen'!BB459</f>
        <v/>
      </c>
      <c r="O449" s="124">
        <f>+'Invullen groen'!BC459</f>
        <v/>
      </c>
      <c r="P449" s="124">
        <f>+'Invullen groen'!BD459</f>
        <v/>
      </c>
    </row>
    <row r="450">
      <c r="A450" s="113">
        <f>+'Invullen groen'!A460</f>
        <v/>
      </c>
      <c r="B450" s="154">
        <f>+'Invullen groen'!C460</f>
        <v/>
      </c>
      <c r="C450" s="124">
        <f>+'Invullen groen'!G460</f>
        <v/>
      </c>
      <c r="D450" s="113">
        <f>+'Invullen groen'!M460</f>
        <v/>
      </c>
      <c r="E450" s="114">
        <f>+'Invullen groen'!H460</f>
        <v/>
      </c>
      <c r="F450" s="114">
        <f>+'Invullen groen'!I460</f>
        <v/>
      </c>
      <c r="G450" s="114">
        <f>+'Invullen groen'!J460</f>
        <v/>
      </c>
      <c r="H450" s="114">
        <f>+'Invullen groen'!K460</f>
        <v/>
      </c>
      <c r="I450" s="124">
        <f>+'Invullen groen'!AW460</f>
        <v/>
      </c>
      <c r="J450" s="124">
        <f>+'Invullen groen'!AX460</f>
        <v/>
      </c>
      <c r="K450" s="124">
        <f>+'Invullen groen'!AY460</f>
        <v/>
      </c>
      <c r="L450" s="124">
        <f>+'Invullen groen'!AZ460</f>
        <v/>
      </c>
      <c r="M450" s="124">
        <f>+'Invullen groen'!BA460</f>
        <v/>
      </c>
      <c r="N450" s="124">
        <f>+'Invullen groen'!BB460</f>
        <v/>
      </c>
      <c r="O450" s="124">
        <f>+'Invullen groen'!BC460</f>
        <v/>
      </c>
      <c r="P450" s="124">
        <f>+'Invullen groen'!BD460</f>
        <v/>
      </c>
    </row>
    <row r="451">
      <c r="A451" s="113">
        <f>+'Invullen groen'!A461</f>
        <v/>
      </c>
      <c r="B451" s="154">
        <f>+'Invullen groen'!C461</f>
        <v/>
      </c>
      <c r="C451" s="124">
        <f>+'Invullen groen'!G461</f>
        <v/>
      </c>
      <c r="D451" s="113">
        <f>+'Invullen groen'!M461</f>
        <v/>
      </c>
      <c r="E451" s="114">
        <f>+'Invullen groen'!H461</f>
        <v/>
      </c>
      <c r="F451" s="114">
        <f>+'Invullen groen'!I461</f>
        <v/>
      </c>
      <c r="G451" s="114">
        <f>+'Invullen groen'!J461</f>
        <v/>
      </c>
      <c r="H451" s="114">
        <f>+'Invullen groen'!K461</f>
        <v/>
      </c>
      <c r="I451" s="124">
        <f>+'Invullen groen'!AW461</f>
        <v/>
      </c>
      <c r="J451" s="124">
        <f>+'Invullen groen'!AX461</f>
        <v/>
      </c>
      <c r="K451" s="124">
        <f>+'Invullen groen'!AY461</f>
        <v/>
      </c>
      <c r="L451" s="124">
        <f>+'Invullen groen'!AZ461</f>
        <v/>
      </c>
      <c r="M451" s="124">
        <f>+'Invullen groen'!BA461</f>
        <v/>
      </c>
      <c r="N451" s="124">
        <f>+'Invullen groen'!BB461</f>
        <v/>
      </c>
      <c r="O451" s="124">
        <f>+'Invullen groen'!BC461</f>
        <v/>
      </c>
      <c r="P451" s="124">
        <f>+'Invullen groen'!BD461</f>
        <v/>
      </c>
    </row>
    <row r="452">
      <c r="A452" s="113">
        <f>+'Invullen groen'!A462</f>
        <v/>
      </c>
      <c r="B452" s="154">
        <f>+'Invullen groen'!C462</f>
        <v/>
      </c>
      <c r="C452" s="124">
        <f>+'Invullen groen'!G462</f>
        <v/>
      </c>
      <c r="D452" s="113">
        <f>+'Invullen groen'!M462</f>
        <v/>
      </c>
      <c r="E452" s="114">
        <f>+'Invullen groen'!H462</f>
        <v/>
      </c>
      <c r="F452" s="114">
        <f>+'Invullen groen'!I462</f>
        <v/>
      </c>
      <c r="G452" s="114">
        <f>+'Invullen groen'!J462</f>
        <v/>
      </c>
      <c r="H452" s="114">
        <f>+'Invullen groen'!K462</f>
        <v/>
      </c>
      <c r="I452" s="124">
        <f>+'Invullen groen'!AW462</f>
        <v/>
      </c>
      <c r="J452" s="124">
        <f>+'Invullen groen'!AX462</f>
        <v/>
      </c>
      <c r="K452" s="124">
        <f>+'Invullen groen'!AY462</f>
        <v/>
      </c>
      <c r="L452" s="124">
        <f>+'Invullen groen'!AZ462</f>
        <v/>
      </c>
      <c r="M452" s="124">
        <f>+'Invullen groen'!BA462</f>
        <v/>
      </c>
      <c r="N452" s="124">
        <f>+'Invullen groen'!BB462</f>
        <v/>
      </c>
      <c r="O452" s="124">
        <f>+'Invullen groen'!BC462</f>
        <v/>
      </c>
      <c r="P452" s="124">
        <f>+'Invullen groen'!BD462</f>
        <v/>
      </c>
    </row>
    <row r="453">
      <c r="A453" s="113">
        <f>+'Invullen groen'!A463</f>
        <v/>
      </c>
      <c r="B453" s="154">
        <f>+'Invullen groen'!C463</f>
        <v/>
      </c>
      <c r="C453" s="124">
        <f>+'Invullen groen'!G463</f>
        <v/>
      </c>
      <c r="D453" s="113">
        <f>+'Invullen groen'!M463</f>
        <v/>
      </c>
      <c r="E453" s="114">
        <f>+'Invullen groen'!H463</f>
        <v/>
      </c>
      <c r="F453" s="114">
        <f>+'Invullen groen'!I463</f>
        <v/>
      </c>
      <c r="G453" s="114">
        <f>+'Invullen groen'!J463</f>
        <v/>
      </c>
      <c r="H453" s="114">
        <f>+'Invullen groen'!K463</f>
        <v/>
      </c>
      <c r="I453" s="124">
        <f>+'Invullen groen'!AW463</f>
        <v/>
      </c>
      <c r="J453" s="124">
        <f>+'Invullen groen'!AX463</f>
        <v/>
      </c>
      <c r="K453" s="124">
        <f>+'Invullen groen'!AY463</f>
        <v/>
      </c>
      <c r="L453" s="124">
        <f>+'Invullen groen'!AZ463</f>
        <v/>
      </c>
      <c r="M453" s="124">
        <f>+'Invullen groen'!BA463</f>
        <v/>
      </c>
      <c r="N453" s="124">
        <f>+'Invullen groen'!BB463</f>
        <v/>
      </c>
      <c r="O453" s="124">
        <f>+'Invullen groen'!BC463</f>
        <v/>
      </c>
      <c r="P453" s="124">
        <f>+'Invullen groen'!BD463</f>
        <v/>
      </c>
    </row>
    <row r="454">
      <c r="A454" s="113">
        <f>+'Invullen groen'!A464</f>
        <v/>
      </c>
      <c r="B454" s="154">
        <f>+'Invullen groen'!C464</f>
        <v/>
      </c>
      <c r="C454" s="124">
        <f>+'Invullen groen'!G464</f>
        <v/>
      </c>
      <c r="D454" s="113">
        <f>+'Invullen groen'!M464</f>
        <v/>
      </c>
      <c r="E454" s="114">
        <f>+'Invullen groen'!H464</f>
        <v/>
      </c>
      <c r="F454" s="114">
        <f>+'Invullen groen'!I464</f>
        <v/>
      </c>
      <c r="G454" s="114">
        <f>+'Invullen groen'!J464</f>
        <v/>
      </c>
      <c r="H454" s="114">
        <f>+'Invullen groen'!K464</f>
        <v/>
      </c>
      <c r="I454" s="124">
        <f>+'Invullen groen'!AW464</f>
        <v/>
      </c>
      <c r="J454" s="124">
        <f>+'Invullen groen'!AX464</f>
        <v/>
      </c>
      <c r="K454" s="124">
        <f>+'Invullen groen'!AY464</f>
        <v/>
      </c>
      <c r="L454" s="124">
        <f>+'Invullen groen'!AZ464</f>
        <v/>
      </c>
      <c r="M454" s="124">
        <f>+'Invullen groen'!BA464</f>
        <v/>
      </c>
      <c r="N454" s="124">
        <f>+'Invullen groen'!BB464</f>
        <v/>
      </c>
      <c r="O454" s="124">
        <f>+'Invullen groen'!BC464</f>
        <v/>
      </c>
      <c r="P454" s="124">
        <f>+'Invullen groen'!BD464</f>
        <v/>
      </c>
    </row>
    <row r="455">
      <c r="A455" s="113">
        <f>+'Invullen groen'!A465</f>
        <v/>
      </c>
      <c r="B455" s="154">
        <f>+'Invullen groen'!C465</f>
        <v/>
      </c>
      <c r="C455" s="124">
        <f>+'Invullen groen'!G465</f>
        <v/>
      </c>
      <c r="D455" s="113">
        <f>+'Invullen groen'!M465</f>
        <v/>
      </c>
      <c r="E455" s="114">
        <f>+'Invullen groen'!H465</f>
        <v/>
      </c>
      <c r="F455" s="114">
        <f>+'Invullen groen'!I465</f>
        <v/>
      </c>
      <c r="G455" s="114">
        <f>+'Invullen groen'!J465</f>
        <v/>
      </c>
      <c r="H455" s="114">
        <f>+'Invullen groen'!K465</f>
        <v/>
      </c>
      <c r="I455" s="124">
        <f>+'Invullen groen'!AW465</f>
        <v/>
      </c>
      <c r="J455" s="124">
        <f>+'Invullen groen'!AX465</f>
        <v/>
      </c>
      <c r="K455" s="124">
        <f>+'Invullen groen'!AY465</f>
        <v/>
      </c>
      <c r="L455" s="124">
        <f>+'Invullen groen'!AZ465</f>
        <v/>
      </c>
      <c r="M455" s="124">
        <f>+'Invullen groen'!BA465</f>
        <v/>
      </c>
      <c r="N455" s="124">
        <f>+'Invullen groen'!BB465</f>
        <v/>
      </c>
      <c r="O455" s="124">
        <f>+'Invullen groen'!BC465</f>
        <v/>
      </c>
      <c r="P455" s="124">
        <f>+'Invullen groen'!BD465</f>
        <v/>
      </c>
    </row>
    <row r="456">
      <c r="A456" s="113">
        <f>+'Invullen groen'!A466</f>
        <v/>
      </c>
      <c r="B456" s="154">
        <f>+'Invullen groen'!C466</f>
        <v/>
      </c>
      <c r="C456" s="124">
        <f>+'Invullen groen'!G466</f>
        <v/>
      </c>
      <c r="D456" s="113">
        <f>+'Invullen groen'!M466</f>
        <v/>
      </c>
      <c r="E456" s="114">
        <f>+'Invullen groen'!H466</f>
        <v/>
      </c>
      <c r="F456" s="114">
        <f>+'Invullen groen'!I466</f>
        <v/>
      </c>
      <c r="G456" s="114">
        <f>+'Invullen groen'!J466</f>
        <v/>
      </c>
      <c r="H456" s="114">
        <f>+'Invullen groen'!K466</f>
        <v/>
      </c>
      <c r="I456" s="124">
        <f>+'Invullen groen'!AW466</f>
        <v/>
      </c>
      <c r="J456" s="124">
        <f>+'Invullen groen'!AX466</f>
        <v/>
      </c>
      <c r="K456" s="124">
        <f>+'Invullen groen'!AY466</f>
        <v/>
      </c>
      <c r="L456" s="124">
        <f>+'Invullen groen'!AZ466</f>
        <v/>
      </c>
      <c r="M456" s="124">
        <f>+'Invullen groen'!BA466</f>
        <v/>
      </c>
      <c r="N456" s="124">
        <f>+'Invullen groen'!BB466</f>
        <v/>
      </c>
      <c r="O456" s="124">
        <f>+'Invullen groen'!BC466</f>
        <v/>
      </c>
      <c r="P456" s="124">
        <f>+'Invullen groen'!BD466</f>
        <v/>
      </c>
    </row>
    <row r="457">
      <c r="A457" s="113">
        <f>+'Invullen groen'!A467</f>
        <v/>
      </c>
      <c r="B457" s="154">
        <f>+'Invullen groen'!C467</f>
        <v/>
      </c>
      <c r="C457" s="124">
        <f>+'Invullen groen'!G467</f>
        <v/>
      </c>
      <c r="D457" s="113">
        <f>+'Invullen groen'!M467</f>
        <v/>
      </c>
      <c r="E457" s="114">
        <f>+'Invullen groen'!H467</f>
        <v/>
      </c>
      <c r="F457" s="114">
        <f>+'Invullen groen'!I467</f>
        <v/>
      </c>
      <c r="G457" s="114">
        <f>+'Invullen groen'!J467</f>
        <v/>
      </c>
      <c r="H457" s="114">
        <f>+'Invullen groen'!K467</f>
        <v/>
      </c>
      <c r="I457" s="124">
        <f>+'Invullen groen'!AW467</f>
        <v/>
      </c>
      <c r="J457" s="124">
        <f>+'Invullen groen'!AX467</f>
        <v/>
      </c>
      <c r="K457" s="124">
        <f>+'Invullen groen'!AY467</f>
        <v/>
      </c>
      <c r="L457" s="124">
        <f>+'Invullen groen'!AZ467</f>
        <v/>
      </c>
      <c r="M457" s="124">
        <f>+'Invullen groen'!BA467</f>
        <v/>
      </c>
      <c r="N457" s="124">
        <f>+'Invullen groen'!BB467</f>
        <v/>
      </c>
      <c r="O457" s="124">
        <f>+'Invullen groen'!BC467</f>
        <v/>
      </c>
      <c r="P457" s="124">
        <f>+'Invullen groen'!BD467</f>
        <v/>
      </c>
    </row>
    <row r="458">
      <c r="A458" s="113">
        <f>+'Invullen groen'!A468</f>
        <v/>
      </c>
      <c r="B458" s="154">
        <f>+'Invullen groen'!C468</f>
        <v/>
      </c>
      <c r="C458" s="124">
        <f>+'Invullen groen'!G468</f>
        <v/>
      </c>
      <c r="D458" s="113">
        <f>+'Invullen groen'!M468</f>
        <v/>
      </c>
      <c r="E458" s="114">
        <f>+'Invullen groen'!H468</f>
        <v/>
      </c>
      <c r="F458" s="114">
        <f>+'Invullen groen'!I468</f>
        <v/>
      </c>
      <c r="G458" s="114">
        <f>+'Invullen groen'!J468</f>
        <v/>
      </c>
      <c r="H458" s="114">
        <f>+'Invullen groen'!K468</f>
        <v/>
      </c>
      <c r="I458" s="124">
        <f>+'Invullen groen'!AW468</f>
        <v/>
      </c>
      <c r="J458" s="124">
        <f>+'Invullen groen'!AX468</f>
        <v/>
      </c>
      <c r="K458" s="124">
        <f>+'Invullen groen'!AY468</f>
        <v/>
      </c>
      <c r="L458" s="124">
        <f>+'Invullen groen'!AZ468</f>
        <v/>
      </c>
      <c r="M458" s="124">
        <f>+'Invullen groen'!BA468</f>
        <v/>
      </c>
      <c r="N458" s="124">
        <f>+'Invullen groen'!BB468</f>
        <v/>
      </c>
      <c r="O458" s="124">
        <f>+'Invullen groen'!BC468</f>
        <v/>
      </c>
      <c r="P458" s="124">
        <f>+'Invullen groen'!BD468</f>
        <v/>
      </c>
    </row>
    <row r="459">
      <c r="A459" s="113">
        <f>+'Invullen groen'!A469</f>
        <v/>
      </c>
      <c r="B459" s="154">
        <f>+'Invullen groen'!C469</f>
        <v/>
      </c>
      <c r="C459" s="124">
        <f>+'Invullen groen'!G469</f>
        <v/>
      </c>
      <c r="D459" s="113">
        <f>+'Invullen groen'!M469</f>
        <v/>
      </c>
      <c r="E459" s="114">
        <f>+'Invullen groen'!H469</f>
        <v/>
      </c>
      <c r="F459" s="114">
        <f>+'Invullen groen'!I469</f>
        <v/>
      </c>
      <c r="G459" s="114">
        <f>+'Invullen groen'!J469</f>
        <v/>
      </c>
      <c r="H459" s="114">
        <f>+'Invullen groen'!K469</f>
        <v/>
      </c>
      <c r="I459" s="124">
        <f>+'Invullen groen'!AW469</f>
        <v/>
      </c>
      <c r="J459" s="124">
        <f>+'Invullen groen'!AX469</f>
        <v/>
      </c>
      <c r="K459" s="124">
        <f>+'Invullen groen'!AY469</f>
        <v/>
      </c>
      <c r="L459" s="124">
        <f>+'Invullen groen'!AZ469</f>
        <v/>
      </c>
      <c r="M459" s="124">
        <f>+'Invullen groen'!BA469</f>
        <v/>
      </c>
      <c r="N459" s="124">
        <f>+'Invullen groen'!BB469</f>
        <v/>
      </c>
      <c r="O459" s="124">
        <f>+'Invullen groen'!BC469</f>
        <v/>
      </c>
      <c r="P459" s="124">
        <f>+'Invullen groen'!BD469</f>
        <v/>
      </c>
    </row>
    <row r="460">
      <c r="A460" s="113">
        <f>+'Invullen groen'!A470</f>
        <v/>
      </c>
      <c r="B460" s="154">
        <f>+'Invullen groen'!C470</f>
        <v/>
      </c>
      <c r="C460" s="124">
        <f>+'Invullen groen'!G470</f>
        <v/>
      </c>
      <c r="D460" s="113">
        <f>+'Invullen groen'!M470</f>
        <v/>
      </c>
      <c r="E460" s="114">
        <f>+'Invullen groen'!H470</f>
        <v/>
      </c>
      <c r="F460" s="114">
        <f>+'Invullen groen'!I470</f>
        <v/>
      </c>
      <c r="G460" s="114">
        <f>+'Invullen groen'!J470</f>
        <v/>
      </c>
      <c r="H460" s="114">
        <f>+'Invullen groen'!K470</f>
        <v/>
      </c>
      <c r="I460" s="124">
        <f>+'Invullen groen'!AW470</f>
        <v/>
      </c>
      <c r="J460" s="124">
        <f>+'Invullen groen'!AX470</f>
        <v/>
      </c>
      <c r="K460" s="124">
        <f>+'Invullen groen'!AY470</f>
        <v/>
      </c>
      <c r="L460" s="124">
        <f>+'Invullen groen'!AZ470</f>
        <v/>
      </c>
      <c r="M460" s="124">
        <f>+'Invullen groen'!BA470</f>
        <v/>
      </c>
      <c r="N460" s="124">
        <f>+'Invullen groen'!BB470</f>
        <v/>
      </c>
      <c r="O460" s="124">
        <f>+'Invullen groen'!BC470</f>
        <v/>
      </c>
      <c r="P460" s="124">
        <f>+'Invullen groen'!BD470</f>
        <v/>
      </c>
    </row>
    <row r="461">
      <c r="A461" s="113">
        <f>+'Invullen groen'!A471</f>
        <v/>
      </c>
      <c r="B461" s="154">
        <f>+'Invullen groen'!C471</f>
        <v/>
      </c>
      <c r="C461" s="124">
        <f>+'Invullen groen'!G471</f>
        <v/>
      </c>
      <c r="D461" s="113">
        <f>+'Invullen groen'!M471</f>
        <v/>
      </c>
      <c r="E461" s="114">
        <f>+'Invullen groen'!H471</f>
        <v/>
      </c>
      <c r="F461" s="114">
        <f>+'Invullen groen'!I471</f>
        <v/>
      </c>
      <c r="G461" s="114">
        <f>+'Invullen groen'!J471</f>
        <v/>
      </c>
      <c r="H461" s="114">
        <f>+'Invullen groen'!K471</f>
        <v/>
      </c>
      <c r="I461" s="124">
        <f>+'Invullen groen'!AW471</f>
        <v/>
      </c>
      <c r="J461" s="124">
        <f>+'Invullen groen'!AX471</f>
        <v/>
      </c>
      <c r="K461" s="124">
        <f>+'Invullen groen'!AY471</f>
        <v/>
      </c>
      <c r="L461" s="124">
        <f>+'Invullen groen'!AZ471</f>
        <v/>
      </c>
      <c r="M461" s="124">
        <f>+'Invullen groen'!BA471</f>
        <v/>
      </c>
      <c r="N461" s="124">
        <f>+'Invullen groen'!BB471</f>
        <v/>
      </c>
      <c r="O461" s="124">
        <f>+'Invullen groen'!BC471</f>
        <v/>
      </c>
      <c r="P461" s="124">
        <f>+'Invullen groen'!BD471</f>
        <v/>
      </c>
    </row>
    <row r="462">
      <c r="A462" s="113">
        <f>+'Invullen groen'!A472</f>
        <v/>
      </c>
      <c r="B462" s="154">
        <f>+'Invullen groen'!C472</f>
        <v/>
      </c>
      <c r="C462" s="124">
        <f>+'Invullen groen'!G472</f>
        <v/>
      </c>
      <c r="D462" s="113">
        <f>+'Invullen groen'!M472</f>
        <v/>
      </c>
      <c r="E462" s="114">
        <f>+'Invullen groen'!H472</f>
        <v/>
      </c>
      <c r="F462" s="114">
        <f>+'Invullen groen'!I472</f>
        <v/>
      </c>
      <c r="G462" s="114">
        <f>+'Invullen groen'!J472</f>
        <v/>
      </c>
      <c r="H462" s="114">
        <f>+'Invullen groen'!K472</f>
        <v/>
      </c>
      <c r="I462" s="124">
        <f>+'Invullen groen'!AW472</f>
        <v/>
      </c>
      <c r="J462" s="124">
        <f>+'Invullen groen'!AX472</f>
        <v/>
      </c>
      <c r="K462" s="124">
        <f>+'Invullen groen'!AY472</f>
        <v/>
      </c>
      <c r="L462" s="124">
        <f>+'Invullen groen'!AZ472</f>
        <v/>
      </c>
      <c r="M462" s="124">
        <f>+'Invullen groen'!BA472</f>
        <v/>
      </c>
      <c r="N462" s="124">
        <f>+'Invullen groen'!BB472</f>
        <v/>
      </c>
      <c r="O462" s="124">
        <f>+'Invullen groen'!BC472</f>
        <v/>
      </c>
      <c r="P462" s="124">
        <f>+'Invullen groen'!BD472</f>
        <v/>
      </c>
    </row>
    <row r="463">
      <c r="A463" s="113">
        <f>+'Invullen groen'!A473</f>
        <v/>
      </c>
      <c r="B463" s="154">
        <f>+'Invullen groen'!C473</f>
        <v/>
      </c>
      <c r="C463" s="124">
        <f>+'Invullen groen'!G473</f>
        <v/>
      </c>
      <c r="D463" s="113">
        <f>+'Invullen groen'!M473</f>
        <v/>
      </c>
      <c r="E463" s="114">
        <f>+'Invullen groen'!H473</f>
        <v/>
      </c>
      <c r="F463" s="114">
        <f>+'Invullen groen'!I473</f>
        <v/>
      </c>
      <c r="G463" s="114">
        <f>+'Invullen groen'!J473</f>
        <v/>
      </c>
      <c r="H463" s="114">
        <f>+'Invullen groen'!K473</f>
        <v/>
      </c>
      <c r="I463" s="124">
        <f>+'Invullen groen'!AW473</f>
        <v/>
      </c>
      <c r="J463" s="124">
        <f>+'Invullen groen'!AX473</f>
        <v/>
      </c>
      <c r="K463" s="124">
        <f>+'Invullen groen'!AY473</f>
        <v/>
      </c>
      <c r="L463" s="124">
        <f>+'Invullen groen'!AZ473</f>
        <v/>
      </c>
      <c r="M463" s="124">
        <f>+'Invullen groen'!BA473</f>
        <v/>
      </c>
      <c r="N463" s="124">
        <f>+'Invullen groen'!BB473</f>
        <v/>
      </c>
      <c r="O463" s="124">
        <f>+'Invullen groen'!BC473</f>
        <v/>
      </c>
      <c r="P463" s="124">
        <f>+'Invullen groen'!BD473</f>
        <v/>
      </c>
    </row>
    <row r="464">
      <c r="A464" s="113">
        <f>+'Invullen groen'!A474</f>
        <v/>
      </c>
      <c r="B464" s="154">
        <f>+'Invullen groen'!C474</f>
        <v/>
      </c>
      <c r="C464" s="124">
        <f>+'Invullen groen'!G474</f>
        <v/>
      </c>
      <c r="D464" s="113">
        <f>+'Invullen groen'!M474</f>
        <v/>
      </c>
      <c r="E464" s="114">
        <f>+'Invullen groen'!H474</f>
        <v/>
      </c>
      <c r="F464" s="114">
        <f>+'Invullen groen'!I474</f>
        <v/>
      </c>
      <c r="G464" s="114">
        <f>+'Invullen groen'!J474</f>
        <v/>
      </c>
      <c r="H464" s="114">
        <f>+'Invullen groen'!K474</f>
        <v/>
      </c>
      <c r="I464" s="124">
        <f>+'Invullen groen'!AW474</f>
        <v/>
      </c>
      <c r="J464" s="124">
        <f>+'Invullen groen'!AX474</f>
        <v/>
      </c>
      <c r="K464" s="124">
        <f>+'Invullen groen'!AY474</f>
        <v/>
      </c>
      <c r="L464" s="124">
        <f>+'Invullen groen'!AZ474</f>
        <v/>
      </c>
      <c r="M464" s="124">
        <f>+'Invullen groen'!BA474</f>
        <v/>
      </c>
      <c r="N464" s="124">
        <f>+'Invullen groen'!BB474</f>
        <v/>
      </c>
      <c r="O464" s="124">
        <f>+'Invullen groen'!BC474</f>
        <v/>
      </c>
      <c r="P464" s="124">
        <f>+'Invullen groen'!BD474</f>
        <v/>
      </c>
    </row>
    <row r="465">
      <c r="A465" s="113">
        <f>+'Invullen groen'!A475</f>
        <v/>
      </c>
      <c r="B465" s="154">
        <f>+'Invullen groen'!C475</f>
        <v/>
      </c>
      <c r="C465" s="124">
        <f>+'Invullen groen'!G475</f>
        <v/>
      </c>
      <c r="D465" s="113">
        <f>+'Invullen groen'!M475</f>
        <v/>
      </c>
      <c r="E465" s="114">
        <f>+'Invullen groen'!H475</f>
        <v/>
      </c>
      <c r="F465" s="114">
        <f>+'Invullen groen'!I475</f>
        <v/>
      </c>
      <c r="G465" s="114">
        <f>+'Invullen groen'!J475</f>
        <v/>
      </c>
      <c r="H465" s="114">
        <f>+'Invullen groen'!K475</f>
        <v/>
      </c>
      <c r="I465" s="124">
        <f>+'Invullen groen'!AW475</f>
        <v/>
      </c>
      <c r="J465" s="124">
        <f>+'Invullen groen'!AX475</f>
        <v/>
      </c>
      <c r="K465" s="124">
        <f>+'Invullen groen'!AY475</f>
        <v/>
      </c>
      <c r="L465" s="124">
        <f>+'Invullen groen'!AZ475</f>
        <v/>
      </c>
      <c r="M465" s="124">
        <f>+'Invullen groen'!BA475</f>
        <v/>
      </c>
      <c r="N465" s="124">
        <f>+'Invullen groen'!BB475</f>
        <v/>
      </c>
      <c r="O465" s="124">
        <f>+'Invullen groen'!BC475</f>
        <v/>
      </c>
      <c r="P465" s="124">
        <f>+'Invullen groen'!BD475</f>
        <v/>
      </c>
    </row>
    <row r="466">
      <c r="A466" s="113">
        <f>+'Invullen groen'!A476</f>
        <v/>
      </c>
      <c r="B466" s="154">
        <f>+'Invullen groen'!C476</f>
        <v/>
      </c>
      <c r="C466" s="124">
        <f>+'Invullen groen'!G476</f>
        <v/>
      </c>
      <c r="D466" s="113">
        <f>+'Invullen groen'!M476</f>
        <v/>
      </c>
      <c r="E466" s="114">
        <f>+'Invullen groen'!H476</f>
        <v/>
      </c>
      <c r="F466" s="114">
        <f>+'Invullen groen'!I476</f>
        <v/>
      </c>
      <c r="G466" s="114">
        <f>+'Invullen groen'!J476</f>
        <v/>
      </c>
      <c r="H466" s="114">
        <f>+'Invullen groen'!K476</f>
        <v/>
      </c>
      <c r="I466" s="124">
        <f>+'Invullen groen'!AW476</f>
        <v/>
      </c>
      <c r="J466" s="124">
        <f>+'Invullen groen'!AX476</f>
        <v/>
      </c>
      <c r="K466" s="124">
        <f>+'Invullen groen'!AY476</f>
        <v/>
      </c>
      <c r="L466" s="124">
        <f>+'Invullen groen'!AZ476</f>
        <v/>
      </c>
      <c r="M466" s="124">
        <f>+'Invullen groen'!BA476</f>
        <v/>
      </c>
      <c r="N466" s="124">
        <f>+'Invullen groen'!BB476</f>
        <v/>
      </c>
      <c r="O466" s="124">
        <f>+'Invullen groen'!BC476</f>
        <v/>
      </c>
      <c r="P466" s="124">
        <f>+'Invullen groen'!BD476</f>
        <v/>
      </c>
    </row>
    <row r="467">
      <c r="A467" s="113">
        <f>+'Invullen groen'!A477</f>
        <v/>
      </c>
      <c r="B467" s="154">
        <f>+'Invullen groen'!C477</f>
        <v/>
      </c>
      <c r="C467" s="124">
        <f>+'Invullen groen'!G477</f>
        <v/>
      </c>
      <c r="D467" s="113">
        <f>+'Invullen groen'!M477</f>
        <v/>
      </c>
      <c r="E467" s="114">
        <f>+'Invullen groen'!H477</f>
        <v/>
      </c>
      <c r="F467" s="114">
        <f>+'Invullen groen'!I477</f>
        <v/>
      </c>
      <c r="G467" s="114">
        <f>+'Invullen groen'!J477</f>
        <v/>
      </c>
      <c r="H467" s="114">
        <f>+'Invullen groen'!K477</f>
        <v/>
      </c>
      <c r="I467" s="124">
        <f>+'Invullen groen'!AW477</f>
        <v/>
      </c>
      <c r="J467" s="124">
        <f>+'Invullen groen'!AX477</f>
        <v/>
      </c>
      <c r="K467" s="124">
        <f>+'Invullen groen'!AY477</f>
        <v/>
      </c>
      <c r="L467" s="124">
        <f>+'Invullen groen'!AZ477</f>
        <v/>
      </c>
      <c r="M467" s="124">
        <f>+'Invullen groen'!BA477</f>
        <v/>
      </c>
      <c r="N467" s="124">
        <f>+'Invullen groen'!BB477</f>
        <v/>
      </c>
      <c r="O467" s="124">
        <f>+'Invullen groen'!BC477</f>
        <v/>
      </c>
      <c r="P467" s="124">
        <f>+'Invullen groen'!BD477</f>
        <v/>
      </c>
    </row>
    <row r="468">
      <c r="A468" s="113">
        <f>+'Invullen groen'!A478</f>
        <v/>
      </c>
      <c r="B468" s="154">
        <f>+'Invullen groen'!C478</f>
        <v/>
      </c>
      <c r="C468" s="124">
        <f>+'Invullen groen'!G478</f>
        <v/>
      </c>
      <c r="D468" s="113">
        <f>+'Invullen groen'!M478</f>
        <v/>
      </c>
      <c r="E468" s="114">
        <f>+'Invullen groen'!H478</f>
        <v/>
      </c>
      <c r="F468" s="114">
        <f>+'Invullen groen'!I478</f>
        <v/>
      </c>
      <c r="G468" s="114">
        <f>+'Invullen groen'!J478</f>
        <v/>
      </c>
      <c r="H468" s="114">
        <f>+'Invullen groen'!K478</f>
        <v/>
      </c>
      <c r="I468" s="124">
        <f>+'Invullen groen'!AW478</f>
        <v/>
      </c>
      <c r="J468" s="124">
        <f>+'Invullen groen'!AX478</f>
        <v/>
      </c>
      <c r="K468" s="124">
        <f>+'Invullen groen'!AY478</f>
        <v/>
      </c>
      <c r="L468" s="124">
        <f>+'Invullen groen'!AZ478</f>
        <v/>
      </c>
      <c r="M468" s="124">
        <f>+'Invullen groen'!BA478</f>
        <v/>
      </c>
      <c r="N468" s="124">
        <f>+'Invullen groen'!BB478</f>
        <v/>
      </c>
      <c r="O468" s="124">
        <f>+'Invullen groen'!BC478</f>
        <v/>
      </c>
      <c r="P468" s="124">
        <f>+'Invullen groen'!BD478</f>
        <v/>
      </c>
    </row>
    <row r="469">
      <c r="A469" s="113">
        <f>+'Invullen groen'!A479</f>
        <v/>
      </c>
      <c r="B469" s="154">
        <f>+'Invullen groen'!C479</f>
        <v/>
      </c>
      <c r="C469" s="124">
        <f>+'Invullen groen'!G479</f>
        <v/>
      </c>
      <c r="D469" s="113">
        <f>+'Invullen groen'!M479</f>
        <v/>
      </c>
      <c r="E469" s="114">
        <f>+'Invullen groen'!H479</f>
        <v/>
      </c>
      <c r="F469" s="114">
        <f>+'Invullen groen'!I479</f>
        <v/>
      </c>
      <c r="G469" s="114">
        <f>+'Invullen groen'!J479</f>
        <v/>
      </c>
      <c r="H469" s="114">
        <f>+'Invullen groen'!K479</f>
        <v/>
      </c>
      <c r="I469" s="124">
        <f>+'Invullen groen'!AW479</f>
        <v/>
      </c>
      <c r="J469" s="124">
        <f>+'Invullen groen'!AX479</f>
        <v/>
      </c>
      <c r="K469" s="124">
        <f>+'Invullen groen'!AY479</f>
        <v/>
      </c>
      <c r="L469" s="124">
        <f>+'Invullen groen'!AZ479</f>
        <v/>
      </c>
      <c r="M469" s="124">
        <f>+'Invullen groen'!BA479</f>
        <v/>
      </c>
      <c r="N469" s="124">
        <f>+'Invullen groen'!BB479</f>
        <v/>
      </c>
      <c r="O469" s="124">
        <f>+'Invullen groen'!BC479</f>
        <v/>
      </c>
      <c r="P469" s="124">
        <f>+'Invullen groen'!BD479</f>
        <v/>
      </c>
    </row>
    <row r="470">
      <c r="A470" s="113">
        <f>+'Invullen groen'!A480</f>
        <v/>
      </c>
      <c r="B470" s="154">
        <f>+'Invullen groen'!C480</f>
        <v/>
      </c>
      <c r="C470" s="124">
        <f>+'Invullen groen'!G480</f>
        <v/>
      </c>
      <c r="D470" s="113">
        <f>+'Invullen groen'!M480</f>
        <v/>
      </c>
      <c r="E470" s="114">
        <f>+'Invullen groen'!H480</f>
        <v/>
      </c>
      <c r="F470" s="114">
        <f>+'Invullen groen'!I480</f>
        <v/>
      </c>
      <c r="G470" s="114">
        <f>+'Invullen groen'!J480</f>
        <v/>
      </c>
      <c r="H470" s="114">
        <f>+'Invullen groen'!K480</f>
        <v/>
      </c>
      <c r="I470" s="124">
        <f>+'Invullen groen'!AW480</f>
        <v/>
      </c>
      <c r="J470" s="124">
        <f>+'Invullen groen'!AX480</f>
        <v/>
      </c>
      <c r="K470" s="124">
        <f>+'Invullen groen'!AY480</f>
        <v/>
      </c>
      <c r="L470" s="124">
        <f>+'Invullen groen'!AZ480</f>
        <v/>
      </c>
      <c r="M470" s="124">
        <f>+'Invullen groen'!BA480</f>
        <v/>
      </c>
      <c r="N470" s="124">
        <f>+'Invullen groen'!BB480</f>
        <v/>
      </c>
      <c r="O470" s="124">
        <f>+'Invullen groen'!BC480</f>
        <v/>
      </c>
      <c r="P470" s="124">
        <f>+'Invullen groen'!BD480</f>
        <v/>
      </c>
    </row>
    <row r="471">
      <c r="A471" s="113">
        <f>+'Invullen groen'!A481</f>
        <v/>
      </c>
      <c r="B471" s="154">
        <f>+'Invullen groen'!C481</f>
        <v/>
      </c>
      <c r="C471" s="124">
        <f>+'Invullen groen'!G481</f>
        <v/>
      </c>
      <c r="D471" s="113">
        <f>+'Invullen groen'!M481</f>
        <v/>
      </c>
      <c r="E471" s="114">
        <f>+'Invullen groen'!H481</f>
        <v/>
      </c>
      <c r="F471" s="114">
        <f>+'Invullen groen'!I481</f>
        <v/>
      </c>
      <c r="G471" s="114">
        <f>+'Invullen groen'!J481</f>
        <v/>
      </c>
      <c r="H471" s="114">
        <f>+'Invullen groen'!K481</f>
        <v/>
      </c>
      <c r="I471" s="124">
        <f>+'Invullen groen'!AW481</f>
        <v/>
      </c>
      <c r="J471" s="124">
        <f>+'Invullen groen'!AX481</f>
        <v/>
      </c>
      <c r="K471" s="124">
        <f>+'Invullen groen'!AY481</f>
        <v/>
      </c>
      <c r="L471" s="124">
        <f>+'Invullen groen'!AZ481</f>
        <v/>
      </c>
      <c r="M471" s="124">
        <f>+'Invullen groen'!BA481</f>
        <v/>
      </c>
      <c r="N471" s="124">
        <f>+'Invullen groen'!BB481</f>
        <v/>
      </c>
      <c r="O471" s="124">
        <f>+'Invullen groen'!BC481</f>
        <v/>
      </c>
      <c r="P471" s="124">
        <f>+'Invullen groen'!BD481</f>
        <v/>
      </c>
    </row>
    <row r="472">
      <c r="A472" s="113">
        <f>+'Invullen groen'!A482</f>
        <v/>
      </c>
      <c r="B472" s="154">
        <f>+'Invullen groen'!C482</f>
        <v/>
      </c>
      <c r="C472" s="124">
        <f>+'Invullen groen'!G482</f>
        <v/>
      </c>
      <c r="D472" s="113">
        <f>+'Invullen groen'!M482</f>
        <v/>
      </c>
      <c r="E472" s="114">
        <f>+'Invullen groen'!H482</f>
        <v/>
      </c>
      <c r="F472" s="114">
        <f>+'Invullen groen'!I482</f>
        <v/>
      </c>
      <c r="G472" s="114">
        <f>+'Invullen groen'!J482</f>
        <v/>
      </c>
      <c r="H472" s="114">
        <f>+'Invullen groen'!K482</f>
        <v/>
      </c>
      <c r="I472" s="124">
        <f>+'Invullen groen'!AW482</f>
        <v/>
      </c>
      <c r="J472" s="124">
        <f>+'Invullen groen'!AX482</f>
        <v/>
      </c>
      <c r="K472" s="124">
        <f>+'Invullen groen'!AY482</f>
        <v/>
      </c>
      <c r="L472" s="124">
        <f>+'Invullen groen'!AZ482</f>
        <v/>
      </c>
      <c r="M472" s="124">
        <f>+'Invullen groen'!BA482</f>
        <v/>
      </c>
      <c r="N472" s="124">
        <f>+'Invullen groen'!BB482</f>
        <v/>
      </c>
      <c r="O472" s="124">
        <f>+'Invullen groen'!BC482</f>
        <v/>
      </c>
      <c r="P472" s="124">
        <f>+'Invullen groen'!BD482</f>
        <v/>
      </c>
    </row>
    <row r="473">
      <c r="A473" s="113">
        <f>+'Invullen groen'!A483</f>
        <v/>
      </c>
      <c r="B473" s="154">
        <f>+'Invullen groen'!C483</f>
        <v/>
      </c>
      <c r="C473" s="124">
        <f>+'Invullen groen'!G483</f>
        <v/>
      </c>
      <c r="D473" s="113">
        <f>+'Invullen groen'!M483</f>
        <v/>
      </c>
      <c r="E473" s="114">
        <f>+'Invullen groen'!H483</f>
        <v/>
      </c>
      <c r="F473" s="114">
        <f>+'Invullen groen'!I483</f>
        <v/>
      </c>
      <c r="G473" s="114">
        <f>+'Invullen groen'!J483</f>
        <v/>
      </c>
      <c r="H473" s="114">
        <f>+'Invullen groen'!K483</f>
        <v/>
      </c>
      <c r="I473" s="124">
        <f>+'Invullen groen'!AW483</f>
        <v/>
      </c>
      <c r="J473" s="124">
        <f>+'Invullen groen'!AX483</f>
        <v/>
      </c>
      <c r="K473" s="124">
        <f>+'Invullen groen'!AY483</f>
        <v/>
      </c>
      <c r="L473" s="124">
        <f>+'Invullen groen'!AZ483</f>
        <v/>
      </c>
      <c r="M473" s="124">
        <f>+'Invullen groen'!BA483</f>
        <v/>
      </c>
      <c r="N473" s="124">
        <f>+'Invullen groen'!BB483</f>
        <v/>
      </c>
      <c r="O473" s="124">
        <f>+'Invullen groen'!BC483</f>
        <v/>
      </c>
      <c r="P473" s="124">
        <f>+'Invullen groen'!BD483</f>
        <v/>
      </c>
    </row>
    <row r="474">
      <c r="A474" s="113">
        <f>+'Invullen groen'!A484</f>
        <v/>
      </c>
      <c r="B474" s="154">
        <f>+'Invullen groen'!C484</f>
        <v/>
      </c>
      <c r="C474" s="124">
        <f>+'Invullen groen'!G484</f>
        <v/>
      </c>
      <c r="D474" s="113">
        <f>+'Invullen groen'!M484</f>
        <v/>
      </c>
      <c r="E474" s="114">
        <f>+'Invullen groen'!H484</f>
        <v/>
      </c>
      <c r="F474" s="114">
        <f>+'Invullen groen'!I484</f>
        <v/>
      </c>
      <c r="G474" s="114">
        <f>+'Invullen groen'!J484</f>
        <v/>
      </c>
      <c r="H474" s="114">
        <f>+'Invullen groen'!K484</f>
        <v/>
      </c>
      <c r="I474" s="124">
        <f>+'Invullen groen'!AW484</f>
        <v/>
      </c>
      <c r="J474" s="124">
        <f>+'Invullen groen'!AX484</f>
        <v/>
      </c>
      <c r="K474" s="124">
        <f>+'Invullen groen'!AY484</f>
        <v/>
      </c>
      <c r="L474" s="124">
        <f>+'Invullen groen'!AZ484</f>
        <v/>
      </c>
      <c r="M474" s="124">
        <f>+'Invullen groen'!BA484</f>
        <v/>
      </c>
      <c r="N474" s="124">
        <f>+'Invullen groen'!BB484</f>
        <v/>
      </c>
      <c r="O474" s="124">
        <f>+'Invullen groen'!BC484</f>
        <v/>
      </c>
      <c r="P474" s="124">
        <f>+'Invullen groen'!BD484</f>
        <v/>
      </c>
    </row>
    <row r="475">
      <c r="A475" s="113">
        <f>+'Invullen groen'!A485</f>
        <v/>
      </c>
      <c r="B475" s="154">
        <f>+'Invullen groen'!C485</f>
        <v/>
      </c>
      <c r="C475" s="124">
        <f>+'Invullen groen'!G485</f>
        <v/>
      </c>
      <c r="D475" s="113">
        <f>+'Invullen groen'!M485</f>
        <v/>
      </c>
      <c r="E475" s="114">
        <f>+'Invullen groen'!H485</f>
        <v/>
      </c>
      <c r="F475" s="114">
        <f>+'Invullen groen'!I485</f>
        <v/>
      </c>
      <c r="G475" s="114">
        <f>+'Invullen groen'!J485</f>
        <v/>
      </c>
      <c r="H475" s="114">
        <f>+'Invullen groen'!K485</f>
        <v/>
      </c>
      <c r="I475" s="124">
        <f>+'Invullen groen'!AW485</f>
        <v/>
      </c>
      <c r="J475" s="124">
        <f>+'Invullen groen'!AX485</f>
        <v/>
      </c>
      <c r="K475" s="124">
        <f>+'Invullen groen'!AY485</f>
        <v/>
      </c>
      <c r="L475" s="124">
        <f>+'Invullen groen'!AZ485</f>
        <v/>
      </c>
      <c r="M475" s="124">
        <f>+'Invullen groen'!BA485</f>
        <v/>
      </c>
      <c r="N475" s="124">
        <f>+'Invullen groen'!BB485</f>
        <v/>
      </c>
      <c r="O475" s="124">
        <f>+'Invullen groen'!BC485</f>
        <v/>
      </c>
      <c r="P475" s="124">
        <f>+'Invullen groen'!BD485</f>
        <v/>
      </c>
    </row>
    <row r="476">
      <c r="A476" s="113">
        <f>+'Invullen groen'!A486</f>
        <v/>
      </c>
      <c r="B476" s="154">
        <f>+'Invullen groen'!C486</f>
        <v/>
      </c>
      <c r="C476" s="124">
        <f>+'Invullen groen'!G486</f>
        <v/>
      </c>
      <c r="D476" s="113">
        <f>+'Invullen groen'!M486</f>
        <v/>
      </c>
      <c r="E476" s="114">
        <f>+'Invullen groen'!H486</f>
        <v/>
      </c>
      <c r="F476" s="114">
        <f>+'Invullen groen'!I486</f>
        <v/>
      </c>
      <c r="G476" s="114">
        <f>+'Invullen groen'!J486</f>
        <v/>
      </c>
      <c r="H476" s="114">
        <f>+'Invullen groen'!K486</f>
        <v/>
      </c>
      <c r="I476" s="124">
        <f>+'Invullen groen'!AW486</f>
        <v/>
      </c>
      <c r="J476" s="124">
        <f>+'Invullen groen'!AX486</f>
        <v/>
      </c>
      <c r="K476" s="124">
        <f>+'Invullen groen'!AY486</f>
        <v/>
      </c>
      <c r="L476" s="124">
        <f>+'Invullen groen'!AZ486</f>
        <v/>
      </c>
      <c r="M476" s="124">
        <f>+'Invullen groen'!BA486</f>
        <v/>
      </c>
      <c r="N476" s="124">
        <f>+'Invullen groen'!BB486</f>
        <v/>
      </c>
      <c r="O476" s="124">
        <f>+'Invullen groen'!BC486</f>
        <v/>
      </c>
      <c r="P476" s="124">
        <f>+'Invullen groen'!BD486</f>
        <v/>
      </c>
    </row>
    <row r="477">
      <c r="A477" s="113">
        <f>+'Invullen groen'!A487</f>
        <v/>
      </c>
      <c r="B477" s="154">
        <f>+'Invullen groen'!C487</f>
        <v/>
      </c>
      <c r="C477" s="124">
        <f>+'Invullen groen'!G487</f>
        <v/>
      </c>
      <c r="D477" s="113">
        <f>+'Invullen groen'!M487</f>
        <v/>
      </c>
      <c r="E477" s="114">
        <f>+'Invullen groen'!H487</f>
        <v/>
      </c>
      <c r="F477" s="114">
        <f>+'Invullen groen'!I487</f>
        <v/>
      </c>
      <c r="G477" s="114">
        <f>+'Invullen groen'!J487</f>
        <v/>
      </c>
      <c r="H477" s="114">
        <f>+'Invullen groen'!K487</f>
        <v/>
      </c>
      <c r="I477" s="124">
        <f>+'Invullen groen'!AW487</f>
        <v/>
      </c>
      <c r="J477" s="124">
        <f>+'Invullen groen'!AX487</f>
        <v/>
      </c>
      <c r="K477" s="124">
        <f>+'Invullen groen'!AY487</f>
        <v/>
      </c>
      <c r="L477" s="124">
        <f>+'Invullen groen'!AZ487</f>
        <v/>
      </c>
      <c r="M477" s="124">
        <f>+'Invullen groen'!BA487</f>
        <v/>
      </c>
      <c r="N477" s="124">
        <f>+'Invullen groen'!BB487</f>
        <v/>
      </c>
      <c r="O477" s="124">
        <f>+'Invullen groen'!BC487</f>
        <v/>
      </c>
      <c r="P477" s="124">
        <f>+'Invullen groen'!BD487</f>
        <v/>
      </c>
    </row>
    <row r="478">
      <c r="A478" s="113">
        <f>+'Invullen groen'!A488</f>
        <v/>
      </c>
      <c r="B478" s="154">
        <f>+'Invullen groen'!C488</f>
        <v/>
      </c>
      <c r="C478" s="124">
        <f>+'Invullen groen'!G488</f>
        <v/>
      </c>
      <c r="D478" s="113">
        <f>+'Invullen groen'!M488</f>
        <v/>
      </c>
      <c r="E478" s="114">
        <f>+'Invullen groen'!H488</f>
        <v/>
      </c>
      <c r="F478" s="114">
        <f>+'Invullen groen'!I488</f>
        <v/>
      </c>
      <c r="G478" s="114">
        <f>+'Invullen groen'!J488</f>
        <v/>
      </c>
      <c r="H478" s="114">
        <f>+'Invullen groen'!K488</f>
        <v/>
      </c>
      <c r="I478" s="124">
        <f>+'Invullen groen'!AW488</f>
        <v/>
      </c>
      <c r="J478" s="124">
        <f>+'Invullen groen'!AX488</f>
        <v/>
      </c>
      <c r="K478" s="124">
        <f>+'Invullen groen'!AY488</f>
        <v/>
      </c>
      <c r="L478" s="124">
        <f>+'Invullen groen'!AZ488</f>
        <v/>
      </c>
      <c r="M478" s="124">
        <f>+'Invullen groen'!BA488</f>
        <v/>
      </c>
      <c r="N478" s="124">
        <f>+'Invullen groen'!BB488</f>
        <v/>
      </c>
      <c r="O478" s="124">
        <f>+'Invullen groen'!BC488</f>
        <v/>
      </c>
      <c r="P478" s="124">
        <f>+'Invullen groen'!BD488</f>
        <v/>
      </c>
    </row>
    <row r="479">
      <c r="A479" s="113">
        <f>+'Invullen groen'!A489</f>
        <v/>
      </c>
      <c r="B479" s="154">
        <f>+'Invullen groen'!C489</f>
        <v/>
      </c>
      <c r="C479" s="124">
        <f>+'Invullen groen'!G489</f>
        <v/>
      </c>
      <c r="D479" s="113">
        <f>+'Invullen groen'!M489</f>
        <v/>
      </c>
      <c r="E479" s="114">
        <f>+'Invullen groen'!H489</f>
        <v/>
      </c>
      <c r="F479" s="114">
        <f>+'Invullen groen'!I489</f>
        <v/>
      </c>
      <c r="G479" s="114">
        <f>+'Invullen groen'!J489</f>
        <v/>
      </c>
      <c r="H479" s="114">
        <f>+'Invullen groen'!K489</f>
        <v/>
      </c>
      <c r="I479" s="124">
        <f>+'Invullen groen'!AW489</f>
        <v/>
      </c>
      <c r="J479" s="124">
        <f>+'Invullen groen'!AX489</f>
        <v/>
      </c>
      <c r="K479" s="124">
        <f>+'Invullen groen'!AY489</f>
        <v/>
      </c>
      <c r="L479" s="124">
        <f>+'Invullen groen'!AZ489</f>
        <v/>
      </c>
      <c r="M479" s="124">
        <f>+'Invullen groen'!BA489</f>
        <v/>
      </c>
      <c r="N479" s="124">
        <f>+'Invullen groen'!BB489</f>
        <v/>
      </c>
      <c r="O479" s="124">
        <f>+'Invullen groen'!BC489</f>
        <v/>
      </c>
      <c r="P479" s="124">
        <f>+'Invullen groen'!BD489</f>
        <v/>
      </c>
    </row>
    <row r="480">
      <c r="A480" s="113">
        <f>+'Invullen groen'!A490</f>
        <v/>
      </c>
      <c r="B480" s="154">
        <f>+'Invullen groen'!C490</f>
        <v/>
      </c>
      <c r="C480" s="124">
        <f>+'Invullen groen'!G490</f>
        <v/>
      </c>
      <c r="D480" s="113">
        <f>+'Invullen groen'!M490</f>
        <v/>
      </c>
      <c r="E480" s="114">
        <f>+'Invullen groen'!H490</f>
        <v/>
      </c>
      <c r="F480" s="114">
        <f>+'Invullen groen'!I490</f>
        <v/>
      </c>
      <c r="G480" s="114">
        <f>+'Invullen groen'!J490</f>
        <v/>
      </c>
      <c r="H480" s="114">
        <f>+'Invullen groen'!K490</f>
        <v/>
      </c>
      <c r="I480" s="124">
        <f>+'Invullen groen'!AW490</f>
        <v/>
      </c>
      <c r="J480" s="124">
        <f>+'Invullen groen'!AX490</f>
        <v/>
      </c>
      <c r="K480" s="124">
        <f>+'Invullen groen'!AY490</f>
        <v/>
      </c>
      <c r="L480" s="124">
        <f>+'Invullen groen'!AZ490</f>
        <v/>
      </c>
      <c r="M480" s="124">
        <f>+'Invullen groen'!BA490</f>
        <v/>
      </c>
      <c r="N480" s="124">
        <f>+'Invullen groen'!BB490</f>
        <v/>
      </c>
      <c r="O480" s="124">
        <f>+'Invullen groen'!BC490</f>
        <v/>
      </c>
      <c r="P480" s="124">
        <f>+'Invullen groen'!BD490</f>
        <v/>
      </c>
    </row>
    <row r="481">
      <c r="A481" s="113">
        <f>+'Invullen groen'!A491</f>
        <v/>
      </c>
      <c r="B481" s="154">
        <f>+'Invullen groen'!C491</f>
        <v/>
      </c>
      <c r="C481" s="124">
        <f>+'Invullen groen'!G491</f>
        <v/>
      </c>
      <c r="D481" s="113">
        <f>+'Invullen groen'!M491</f>
        <v/>
      </c>
      <c r="E481" s="114">
        <f>+'Invullen groen'!H491</f>
        <v/>
      </c>
      <c r="F481" s="114">
        <f>+'Invullen groen'!I491</f>
        <v/>
      </c>
      <c r="G481" s="114">
        <f>+'Invullen groen'!J491</f>
        <v/>
      </c>
      <c r="H481" s="114">
        <f>+'Invullen groen'!K491</f>
        <v/>
      </c>
      <c r="I481" s="124">
        <f>+'Invullen groen'!AW491</f>
        <v/>
      </c>
      <c r="J481" s="124">
        <f>+'Invullen groen'!AX491</f>
        <v/>
      </c>
      <c r="K481" s="124">
        <f>+'Invullen groen'!AY491</f>
        <v/>
      </c>
      <c r="L481" s="124">
        <f>+'Invullen groen'!AZ491</f>
        <v/>
      </c>
      <c r="M481" s="124">
        <f>+'Invullen groen'!BA491</f>
        <v/>
      </c>
      <c r="N481" s="124">
        <f>+'Invullen groen'!BB491</f>
        <v/>
      </c>
      <c r="O481" s="124">
        <f>+'Invullen groen'!BC491</f>
        <v/>
      </c>
      <c r="P481" s="124">
        <f>+'Invullen groen'!BD491</f>
        <v/>
      </c>
    </row>
    <row r="482">
      <c r="A482" s="113">
        <f>+'Invullen groen'!A492</f>
        <v/>
      </c>
      <c r="B482" s="154">
        <f>+'Invullen groen'!C492</f>
        <v/>
      </c>
      <c r="C482" s="124">
        <f>+'Invullen groen'!G492</f>
        <v/>
      </c>
      <c r="D482" s="113">
        <f>+'Invullen groen'!M492</f>
        <v/>
      </c>
      <c r="E482" s="114">
        <f>+'Invullen groen'!H492</f>
        <v/>
      </c>
      <c r="F482" s="114">
        <f>+'Invullen groen'!I492</f>
        <v/>
      </c>
      <c r="G482" s="114">
        <f>+'Invullen groen'!J492</f>
        <v/>
      </c>
      <c r="H482" s="114">
        <f>+'Invullen groen'!K492</f>
        <v/>
      </c>
      <c r="I482" s="124">
        <f>+'Invullen groen'!AW492</f>
        <v/>
      </c>
      <c r="J482" s="124">
        <f>+'Invullen groen'!AX492</f>
        <v/>
      </c>
      <c r="K482" s="124">
        <f>+'Invullen groen'!AY492</f>
        <v/>
      </c>
      <c r="L482" s="124">
        <f>+'Invullen groen'!AZ492</f>
        <v/>
      </c>
      <c r="M482" s="124">
        <f>+'Invullen groen'!BA492</f>
        <v/>
      </c>
      <c r="N482" s="124">
        <f>+'Invullen groen'!BB492</f>
        <v/>
      </c>
      <c r="O482" s="124">
        <f>+'Invullen groen'!BC492</f>
        <v/>
      </c>
      <c r="P482" s="124">
        <f>+'Invullen groen'!BD492</f>
        <v/>
      </c>
    </row>
    <row r="483">
      <c r="A483" s="113">
        <f>+'Invullen groen'!A493</f>
        <v/>
      </c>
      <c r="B483" s="154">
        <f>+'Invullen groen'!C493</f>
        <v/>
      </c>
      <c r="C483" s="124">
        <f>+'Invullen groen'!G493</f>
        <v/>
      </c>
      <c r="D483" s="113">
        <f>+'Invullen groen'!M493</f>
        <v/>
      </c>
      <c r="E483" s="114">
        <f>+'Invullen groen'!H493</f>
        <v/>
      </c>
      <c r="F483" s="114">
        <f>+'Invullen groen'!I493</f>
        <v/>
      </c>
      <c r="G483" s="114">
        <f>+'Invullen groen'!J493</f>
        <v/>
      </c>
      <c r="H483" s="114">
        <f>+'Invullen groen'!K493</f>
        <v/>
      </c>
      <c r="I483" s="124">
        <f>+'Invullen groen'!AW493</f>
        <v/>
      </c>
      <c r="J483" s="124">
        <f>+'Invullen groen'!AX493</f>
        <v/>
      </c>
      <c r="K483" s="124">
        <f>+'Invullen groen'!AY493</f>
        <v/>
      </c>
      <c r="L483" s="124">
        <f>+'Invullen groen'!AZ493</f>
        <v/>
      </c>
      <c r="M483" s="124">
        <f>+'Invullen groen'!BA493</f>
        <v/>
      </c>
      <c r="N483" s="124">
        <f>+'Invullen groen'!BB493</f>
        <v/>
      </c>
      <c r="O483" s="124">
        <f>+'Invullen groen'!BC493</f>
        <v/>
      </c>
      <c r="P483" s="124">
        <f>+'Invullen groen'!BD493</f>
        <v/>
      </c>
    </row>
    <row r="484">
      <c r="A484" s="113">
        <f>+'Invullen groen'!A494</f>
        <v/>
      </c>
      <c r="B484" s="154">
        <f>+'Invullen groen'!C494</f>
        <v/>
      </c>
      <c r="C484" s="124">
        <f>+'Invullen groen'!G494</f>
        <v/>
      </c>
      <c r="D484" s="113">
        <f>+'Invullen groen'!M494</f>
        <v/>
      </c>
      <c r="E484" s="114">
        <f>+'Invullen groen'!H494</f>
        <v/>
      </c>
      <c r="F484" s="114">
        <f>+'Invullen groen'!I494</f>
        <v/>
      </c>
      <c r="G484" s="114">
        <f>+'Invullen groen'!J494</f>
        <v/>
      </c>
      <c r="H484" s="114">
        <f>+'Invullen groen'!K494</f>
        <v/>
      </c>
      <c r="I484" s="124">
        <f>+'Invullen groen'!AW494</f>
        <v/>
      </c>
      <c r="J484" s="124">
        <f>+'Invullen groen'!AX494</f>
        <v/>
      </c>
      <c r="K484" s="124">
        <f>+'Invullen groen'!AY494</f>
        <v/>
      </c>
      <c r="L484" s="124">
        <f>+'Invullen groen'!AZ494</f>
        <v/>
      </c>
      <c r="M484" s="124">
        <f>+'Invullen groen'!BA494</f>
        <v/>
      </c>
      <c r="N484" s="124">
        <f>+'Invullen groen'!BB494</f>
        <v/>
      </c>
      <c r="O484" s="124">
        <f>+'Invullen groen'!BC494</f>
        <v/>
      </c>
      <c r="P484" s="124">
        <f>+'Invullen groen'!BD494</f>
        <v/>
      </c>
    </row>
    <row r="485">
      <c r="A485" s="113">
        <f>+'Invullen groen'!A495</f>
        <v/>
      </c>
      <c r="B485" s="154">
        <f>+'Invullen groen'!C495</f>
        <v/>
      </c>
      <c r="C485" s="124">
        <f>+'Invullen groen'!G495</f>
        <v/>
      </c>
      <c r="D485" s="113">
        <f>+'Invullen groen'!M495</f>
        <v/>
      </c>
      <c r="E485" s="114">
        <f>+'Invullen groen'!H495</f>
        <v/>
      </c>
      <c r="F485" s="114">
        <f>+'Invullen groen'!I495</f>
        <v/>
      </c>
      <c r="G485" s="114">
        <f>+'Invullen groen'!J495</f>
        <v/>
      </c>
      <c r="H485" s="114">
        <f>+'Invullen groen'!K495</f>
        <v/>
      </c>
      <c r="I485" s="124">
        <f>+'Invullen groen'!AW495</f>
        <v/>
      </c>
      <c r="J485" s="124">
        <f>+'Invullen groen'!AX495</f>
        <v/>
      </c>
      <c r="K485" s="124">
        <f>+'Invullen groen'!AY495</f>
        <v/>
      </c>
      <c r="L485" s="124">
        <f>+'Invullen groen'!AZ495</f>
        <v/>
      </c>
      <c r="M485" s="124">
        <f>+'Invullen groen'!BA495</f>
        <v/>
      </c>
      <c r="N485" s="124">
        <f>+'Invullen groen'!BB495</f>
        <v/>
      </c>
      <c r="O485" s="124">
        <f>+'Invullen groen'!BC495</f>
        <v/>
      </c>
      <c r="P485" s="124">
        <f>+'Invullen groen'!BD495</f>
        <v/>
      </c>
    </row>
    <row r="486">
      <c r="A486" s="113">
        <f>+'Invullen groen'!A496</f>
        <v/>
      </c>
      <c r="B486" s="154">
        <f>+'Invullen groen'!C496</f>
        <v/>
      </c>
      <c r="C486" s="124">
        <f>+'Invullen groen'!G496</f>
        <v/>
      </c>
      <c r="D486" s="113">
        <f>+'Invullen groen'!M496</f>
        <v/>
      </c>
      <c r="E486" s="114">
        <f>+'Invullen groen'!H496</f>
        <v/>
      </c>
      <c r="F486" s="114">
        <f>+'Invullen groen'!I496</f>
        <v/>
      </c>
      <c r="G486" s="114">
        <f>+'Invullen groen'!J496</f>
        <v/>
      </c>
      <c r="H486" s="114">
        <f>+'Invullen groen'!K496</f>
        <v/>
      </c>
      <c r="I486" s="124">
        <f>+'Invullen groen'!AW496</f>
        <v/>
      </c>
      <c r="J486" s="124">
        <f>+'Invullen groen'!AX496</f>
        <v/>
      </c>
      <c r="K486" s="124">
        <f>+'Invullen groen'!AY496</f>
        <v/>
      </c>
      <c r="L486" s="124">
        <f>+'Invullen groen'!AZ496</f>
        <v/>
      </c>
      <c r="M486" s="124">
        <f>+'Invullen groen'!BA496</f>
        <v/>
      </c>
      <c r="N486" s="124">
        <f>+'Invullen groen'!BB496</f>
        <v/>
      </c>
      <c r="O486" s="124">
        <f>+'Invullen groen'!BC496</f>
        <v/>
      </c>
      <c r="P486" s="124">
        <f>+'Invullen groen'!BD496</f>
        <v/>
      </c>
    </row>
    <row r="487">
      <c r="A487" s="113">
        <f>+'Invullen groen'!A497</f>
        <v/>
      </c>
      <c r="B487" s="154">
        <f>+'Invullen groen'!C497</f>
        <v/>
      </c>
      <c r="C487" s="124">
        <f>+'Invullen groen'!G497</f>
        <v/>
      </c>
      <c r="D487" s="113">
        <f>+'Invullen groen'!M497</f>
        <v/>
      </c>
      <c r="E487" s="114">
        <f>+'Invullen groen'!H497</f>
        <v/>
      </c>
      <c r="F487" s="114">
        <f>+'Invullen groen'!I497</f>
        <v/>
      </c>
      <c r="G487" s="114">
        <f>+'Invullen groen'!J497</f>
        <v/>
      </c>
      <c r="H487" s="114">
        <f>+'Invullen groen'!K497</f>
        <v/>
      </c>
      <c r="I487" s="124">
        <f>+'Invullen groen'!AW497</f>
        <v/>
      </c>
      <c r="J487" s="124">
        <f>+'Invullen groen'!AX497</f>
        <v/>
      </c>
      <c r="K487" s="124">
        <f>+'Invullen groen'!AY497</f>
        <v/>
      </c>
      <c r="L487" s="124">
        <f>+'Invullen groen'!AZ497</f>
        <v/>
      </c>
      <c r="M487" s="124">
        <f>+'Invullen groen'!BA497</f>
        <v/>
      </c>
      <c r="N487" s="124">
        <f>+'Invullen groen'!BB497</f>
        <v/>
      </c>
      <c r="O487" s="124">
        <f>+'Invullen groen'!BC497</f>
        <v/>
      </c>
      <c r="P487" s="124">
        <f>+'Invullen groen'!BD497</f>
        <v/>
      </c>
    </row>
    <row r="488">
      <c r="A488" s="113">
        <f>+'Invullen groen'!A498</f>
        <v/>
      </c>
      <c r="B488" s="154">
        <f>+'Invullen groen'!C498</f>
        <v/>
      </c>
      <c r="C488" s="124">
        <f>+'Invullen groen'!G498</f>
        <v/>
      </c>
      <c r="D488" s="113">
        <f>+'Invullen groen'!M498</f>
        <v/>
      </c>
      <c r="E488" s="114">
        <f>+'Invullen groen'!H498</f>
        <v/>
      </c>
      <c r="F488" s="114">
        <f>+'Invullen groen'!I498</f>
        <v/>
      </c>
      <c r="G488" s="114">
        <f>+'Invullen groen'!J498</f>
        <v/>
      </c>
      <c r="H488" s="114">
        <f>+'Invullen groen'!K498</f>
        <v/>
      </c>
      <c r="I488" s="124">
        <f>+'Invullen groen'!AW498</f>
        <v/>
      </c>
      <c r="J488" s="124">
        <f>+'Invullen groen'!AX498</f>
        <v/>
      </c>
      <c r="K488" s="124">
        <f>+'Invullen groen'!AY498</f>
        <v/>
      </c>
      <c r="L488" s="124">
        <f>+'Invullen groen'!AZ498</f>
        <v/>
      </c>
      <c r="M488" s="124">
        <f>+'Invullen groen'!BA498</f>
        <v/>
      </c>
      <c r="N488" s="124">
        <f>+'Invullen groen'!BB498</f>
        <v/>
      </c>
      <c r="O488" s="124">
        <f>+'Invullen groen'!BC498</f>
        <v/>
      </c>
      <c r="P488" s="124">
        <f>+'Invullen groen'!BD498</f>
        <v/>
      </c>
    </row>
    <row r="489">
      <c r="A489" s="113">
        <f>+'Invullen groen'!A499</f>
        <v/>
      </c>
      <c r="B489" s="154">
        <f>+'Invullen groen'!C499</f>
        <v/>
      </c>
      <c r="C489" s="124">
        <f>+'Invullen groen'!G499</f>
        <v/>
      </c>
      <c r="D489" s="113">
        <f>+'Invullen groen'!M499</f>
        <v/>
      </c>
      <c r="E489" s="114">
        <f>+'Invullen groen'!H499</f>
        <v/>
      </c>
      <c r="F489" s="114">
        <f>+'Invullen groen'!I499</f>
        <v/>
      </c>
      <c r="G489" s="114">
        <f>+'Invullen groen'!J499</f>
        <v/>
      </c>
      <c r="H489" s="114">
        <f>+'Invullen groen'!K499</f>
        <v/>
      </c>
      <c r="I489" s="124">
        <f>+'Invullen groen'!AW499</f>
        <v/>
      </c>
      <c r="J489" s="124">
        <f>+'Invullen groen'!AX499</f>
        <v/>
      </c>
      <c r="K489" s="124">
        <f>+'Invullen groen'!AY499</f>
        <v/>
      </c>
      <c r="L489" s="124">
        <f>+'Invullen groen'!AZ499</f>
        <v/>
      </c>
      <c r="M489" s="124">
        <f>+'Invullen groen'!BA499</f>
        <v/>
      </c>
      <c r="N489" s="124">
        <f>+'Invullen groen'!BB499</f>
        <v/>
      </c>
      <c r="O489" s="124">
        <f>+'Invullen groen'!BC499</f>
        <v/>
      </c>
      <c r="P489" s="124">
        <f>+'Invullen groen'!BD499</f>
        <v/>
      </c>
    </row>
    <row r="490">
      <c r="A490" s="113">
        <f>+'Invullen groen'!A500</f>
        <v/>
      </c>
      <c r="B490" s="154">
        <f>+'Invullen groen'!C500</f>
        <v/>
      </c>
      <c r="C490" s="124">
        <f>+'Invullen groen'!G500</f>
        <v/>
      </c>
      <c r="D490" s="113">
        <f>+'Invullen groen'!M500</f>
        <v/>
      </c>
      <c r="E490" s="114">
        <f>+'Invullen groen'!H500</f>
        <v/>
      </c>
      <c r="F490" s="114">
        <f>+'Invullen groen'!I500</f>
        <v/>
      </c>
      <c r="G490" s="114">
        <f>+'Invullen groen'!J500</f>
        <v/>
      </c>
      <c r="H490" s="114">
        <f>+'Invullen groen'!K500</f>
        <v/>
      </c>
      <c r="I490" s="124">
        <f>+'Invullen groen'!AW500</f>
        <v/>
      </c>
      <c r="J490" s="124">
        <f>+'Invullen groen'!AX500</f>
        <v/>
      </c>
      <c r="K490" s="124">
        <f>+'Invullen groen'!AY500</f>
        <v/>
      </c>
      <c r="L490" s="124">
        <f>+'Invullen groen'!AZ500</f>
        <v/>
      </c>
      <c r="M490" s="124">
        <f>+'Invullen groen'!BA500</f>
        <v/>
      </c>
      <c r="N490" s="124">
        <f>+'Invullen groen'!BB500</f>
        <v/>
      </c>
      <c r="O490" s="124">
        <f>+'Invullen groen'!BC500</f>
        <v/>
      </c>
      <c r="P490" s="124">
        <f>+'Invullen groen'!BD500</f>
        <v/>
      </c>
    </row>
    <row r="491">
      <c r="A491" s="113">
        <f>+'Invullen groen'!A501</f>
        <v/>
      </c>
      <c r="B491" s="154">
        <f>+'Invullen groen'!C501</f>
        <v/>
      </c>
      <c r="C491" s="124">
        <f>+'Invullen groen'!G501</f>
        <v/>
      </c>
      <c r="D491" s="113">
        <f>+'Invullen groen'!M501</f>
        <v/>
      </c>
      <c r="E491" s="114">
        <f>+'Invullen groen'!H501</f>
        <v/>
      </c>
      <c r="F491" s="114">
        <f>+'Invullen groen'!I501</f>
        <v/>
      </c>
      <c r="G491" s="114">
        <f>+'Invullen groen'!J501</f>
        <v/>
      </c>
      <c r="H491" s="114">
        <f>+'Invullen groen'!K501</f>
        <v/>
      </c>
      <c r="I491" s="124">
        <f>+'Invullen groen'!AW501</f>
        <v/>
      </c>
      <c r="J491" s="124">
        <f>+'Invullen groen'!AX501</f>
        <v/>
      </c>
      <c r="K491" s="124">
        <f>+'Invullen groen'!AY501</f>
        <v/>
      </c>
      <c r="L491" s="124">
        <f>+'Invullen groen'!AZ501</f>
        <v/>
      </c>
      <c r="M491" s="124">
        <f>+'Invullen groen'!BA501</f>
        <v/>
      </c>
      <c r="N491" s="124">
        <f>+'Invullen groen'!BB501</f>
        <v/>
      </c>
      <c r="O491" s="124">
        <f>+'Invullen groen'!BC501</f>
        <v/>
      </c>
      <c r="P491" s="124">
        <f>+'Invullen groen'!BD501</f>
        <v/>
      </c>
    </row>
    <row r="492">
      <c r="A492" s="113">
        <f>+'Invullen groen'!A502</f>
        <v/>
      </c>
      <c r="B492" s="154">
        <f>+'Invullen groen'!C502</f>
        <v/>
      </c>
      <c r="C492" s="124">
        <f>+'Invullen groen'!G502</f>
        <v/>
      </c>
      <c r="D492" s="113">
        <f>+'Invullen groen'!M502</f>
        <v/>
      </c>
      <c r="E492" s="114">
        <f>+'Invullen groen'!H502</f>
        <v/>
      </c>
      <c r="F492" s="114">
        <f>+'Invullen groen'!I502</f>
        <v/>
      </c>
      <c r="G492" s="114">
        <f>+'Invullen groen'!J502</f>
        <v/>
      </c>
      <c r="H492" s="114">
        <f>+'Invullen groen'!K502</f>
        <v/>
      </c>
      <c r="I492" s="124">
        <f>+'Invullen groen'!AW502</f>
        <v/>
      </c>
      <c r="J492" s="124">
        <f>+'Invullen groen'!AX502</f>
        <v/>
      </c>
      <c r="K492" s="124">
        <f>+'Invullen groen'!AY502</f>
        <v/>
      </c>
      <c r="L492" s="124">
        <f>+'Invullen groen'!AZ502</f>
        <v/>
      </c>
      <c r="M492" s="124">
        <f>+'Invullen groen'!BA502</f>
        <v/>
      </c>
      <c r="N492" s="124">
        <f>+'Invullen groen'!BB502</f>
        <v/>
      </c>
      <c r="O492" s="124">
        <f>+'Invullen groen'!BC502</f>
        <v/>
      </c>
      <c r="P492" s="124">
        <f>+'Invullen groen'!BD502</f>
        <v/>
      </c>
    </row>
    <row r="493">
      <c r="A493" s="113">
        <f>+'Invullen groen'!A503</f>
        <v/>
      </c>
      <c r="B493" s="154">
        <f>+'Invullen groen'!C503</f>
        <v/>
      </c>
      <c r="C493" s="124">
        <f>+'Invullen groen'!G503</f>
        <v/>
      </c>
      <c r="D493" s="113">
        <f>+'Invullen groen'!M503</f>
        <v/>
      </c>
      <c r="E493" s="114">
        <f>+'Invullen groen'!H503</f>
        <v/>
      </c>
      <c r="F493" s="114">
        <f>+'Invullen groen'!I503</f>
        <v/>
      </c>
      <c r="G493" s="114">
        <f>+'Invullen groen'!J503</f>
        <v/>
      </c>
      <c r="H493" s="114">
        <f>+'Invullen groen'!K503</f>
        <v/>
      </c>
      <c r="I493" s="124">
        <f>+'Invullen groen'!AW503</f>
        <v/>
      </c>
      <c r="J493" s="124">
        <f>+'Invullen groen'!AX503</f>
        <v/>
      </c>
      <c r="K493" s="124">
        <f>+'Invullen groen'!AY503</f>
        <v/>
      </c>
      <c r="L493" s="124">
        <f>+'Invullen groen'!AZ503</f>
        <v/>
      </c>
      <c r="M493" s="124">
        <f>+'Invullen groen'!BA503</f>
        <v/>
      </c>
      <c r="N493" s="124">
        <f>+'Invullen groen'!BB503</f>
        <v/>
      </c>
      <c r="O493" s="124">
        <f>+'Invullen groen'!BC503</f>
        <v/>
      </c>
      <c r="P493" s="124">
        <f>+'Invullen groen'!BD503</f>
        <v/>
      </c>
    </row>
    <row r="494">
      <c r="A494" s="113">
        <f>+'Invullen groen'!A504</f>
        <v/>
      </c>
      <c r="B494" s="154">
        <f>+'Invullen groen'!C504</f>
        <v/>
      </c>
      <c r="C494" s="124">
        <f>+'Invullen groen'!G504</f>
        <v/>
      </c>
      <c r="D494" s="113">
        <f>+'Invullen groen'!M504</f>
        <v/>
      </c>
      <c r="E494" s="114">
        <f>+'Invullen groen'!H504</f>
        <v/>
      </c>
      <c r="F494" s="114">
        <f>+'Invullen groen'!I504</f>
        <v/>
      </c>
      <c r="G494" s="114">
        <f>+'Invullen groen'!J504</f>
        <v/>
      </c>
      <c r="H494" s="114">
        <f>+'Invullen groen'!K504</f>
        <v/>
      </c>
      <c r="I494" s="124">
        <f>+'Invullen groen'!AW504</f>
        <v/>
      </c>
      <c r="J494" s="124">
        <f>+'Invullen groen'!AX504</f>
        <v/>
      </c>
      <c r="K494" s="124">
        <f>+'Invullen groen'!AY504</f>
        <v/>
      </c>
      <c r="L494" s="124">
        <f>+'Invullen groen'!AZ504</f>
        <v/>
      </c>
      <c r="M494" s="124">
        <f>+'Invullen groen'!BA504</f>
        <v/>
      </c>
      <c r="N494" s="124">
        <f>+'Invullen groen'!BB504</f>
        <v/>
      </c>
      <c r="O494" s="124">
        <f>+'Invullen groen'!BC504</f>
        <v/>
      </c>
      <c r="P494" s="124">
        <f>+'Invullen groen'!BD504</f>
        <v/>
      </c>
    </row>
    <row r="495">
      <c r="A495" s="113">
        <f>+'Invullen groen'!A505</f>
        <v/>
      </c>
      <c r="B495" s="154">
        <f>+'Invullen groen'!C505</f>
        <v/>
      </c>
      <c r="C495" s="124">
        <f>+'Invullen groen'!G505</f>
        <v/>
      </c>
      <c r="D495" s="113">
        <f>+'Invullen groen'!M505</f>
        <v/>
      </c>
      <c r="E495" s="114">
        <f>+'Invullen groen'!H505</f>
        <v/>
      </c>
      <c r="F495" s="114">
        <f>+'Invullen groen'!I505</f>
        <v/>
      </c>
      <c r="G495" s="114">
        <f>+'Invullen groen'!J505</f>
        <v/>
      </c>
      <c r="H495" s="114">
        <f>+'Invullen groen'!K505</f>
        <v/>
      </c>
      <c r="I495" s="124">
        <f>+'Invullen groen'!AW505</f>
        <v/>
      </c>
      <c r="J495" s="124">
        <f>+'Invullen groen'!AX505</f>
        <v/>
      </c>
      <c r="K495" s="124">
        <f>+'Invullen groen'!AY505</f>
        <v/>
      </c>
      <c r="L495" s="124">
        <f>+'Invullen groen'!AZ505</f>
        <v/>
      </c>
      <c r="M495" s="124">
        <f>+'Invullen groen'!BA505</f>
        <v/>
      </c>
      <c r="N495" s="124">
        <f>+'Invullen groen'!BB505</f>
        <v/>
      </c>
      <c r="O495" s="124">
        <f>+'Invullen groen'!BC505</f>
        <v/>
      </c>
      <c r="P495" s="124">
        <f>+'Invullen groen'!BD505</f>
        <v/>
      </c>
    </row>
    <row r="496">
      <c r="A496" s="113">
        <f>+'Invullen groen'!A506</f>
        <v/>
      </c>
      <c r="B496" s="154">
        <f>+'Invullen groen'!C506</f>
        <v/>
      </c>
      <c r="C496" s="124">
        <f>+'Invullen groen'!G506</f>
        <v/>
      </c>
      <c r="D496" s="113">
        <f>+'Invullen groen'!M506</f>
        <v/>
      </c>
      <c r="E496" s="114">
        <f>+'Invullen groen'!H506</f>
        <v/>
      </c>
      <c r="F496" s="114">
        <f>+'Invullen groen'!I506</f>
        <v/>
      </c>
      <c r="G496" s="114">
        <f>+'Invullen groen'!J506</f>
        <v/>
      </c>
      <c r="H496" s="114">
        <f>+'Invullen groen'!K506</f>
        <v/>
      </c>
      <c r="I496" s="124">
        <f>+'Invullen groen'!AW506</f>
        <v/>
      </c>
      <c r="J496" s="124">
        <f>+'Invullen groen'!AX506</f>
        <v/>
      </c>
      <c r="K496" s="124">
        <f>+'Invullen groen'!AY506</f>
        <v/>
      </c>
      <c r="L496" s="124">
        <f>+'Invullen groen'!AZ506</f>
        <v/>
      </c>
      <c r="M496" s="124">
        <f>+'Invullen groen'!BA506</f>
        <v/>
      </c>
      <c r="N496" s="124">
        <f>+'Invullen groen'!BB506</f>
        <v/>
      </c>
      <c r="O496" s="124">
        <f>+'Invullen groen'!BC506</f>
        <v/>
      </c>
      <c r="P496" s="124">
        <f>+'Invullen groen'!BD506</f>
        <v/>
      </c>
    </row>
    <row r="497">
      <c r="A497" s="113">
        <f>+'Invullen groen'!A507</f>
        <v/>
      </c>
      <c r="B497" s="154">
        <f>+'Invullen groen'!C507</f>
        <v/>
      </c>
      <c r="C497" s="124">
        <f>+'Invullen groen'!G507</f>
        <v/>
      </c>
      <c r="D497" s="113">
        <f>+'Invullen groen'!M507</f>
        <v/>
      </c>
      <c r="E497" s="114">
        <f>+'Invullen groen'!H507</f>
        <v/>
      </c>
      <c r="F497" s="114">
        <f>+'Invullen groen'!I507</f>
        <v/>
      </c>
      <c r="G497" s="114">
        <f>+'Invullen groen'!J507</f>
        <v/>
      </c>
      <c r="H497" s="114">
        <f>+'Invullen groen'!K507</f>
        <v/>
      </c>
      <c r="I497" s="124">
        <f>+'Invullen groen'!AW507</f>
        <v/>
      </c>
      <c r="J497" s="124">
        <f>+'Invullen groen'!AX507</f>
        <v/>
      </c>
      <c r="K497" s="124">
        <f>+'Invullen groen'!AY507</f>
        <v/>
      </c>
      <c r="L497" s="124">
        <f>+'Invullen groen'!AZ507</f>
        <v/>
      </c>
      <c r="M497" s="124">
        <f>+'Invullen groen'!BA507</f>
        <v/>
      </c>
      <c r="N497" s="124">
        <f>+'Invullen groen'!BB507</f>
        <v/>
      </c>
      <c r="O497" s="124">
        <f>+'Invullen groen'!BC507</f>
        <v/>
      </c>
      <c r="P497" s="124">
        <f>+'Invullen groen'!BD507</f>
        <v/>
      </c>
    </row>
    <row r="498">
      <c r="A498" s="113">
        <f>+'Invullen groen'!A508</f>
        <v/>
      </c>
      <c r="B498" s="154">
        <f>+'Invullen groen'!C508</f>
        <v/>
      </c>
      <c r="C498" s="124">
        <f>+'Invullen groen'!G508</f>
        <v/>
      </c>
      <c r="D498" s="113">
        <f>+'Invullen groen'!M508</f>
        <v/>
      </c>
      <c r="E498" s="114">
        <f>+'Invullen groen'!H508</f>
        <v/>
      </c>
      <c r="F498" s="114">
        <f>+'Invullen groen'!I508</f>
        <v/>
      </c>
      <c r="G498" s="114">
        <f>+'Invullen groen'!J508</f>
        <v/>
      </c>
      <c r="H498" s="114">
        <f>+'Invullen groen'!K508</f>
        <v/>
      </c>
      <c r="I498" s="124">
        <f>+'Invullen groen'!AW508</f>
        <v/>
      </c>
      <c r="J498" s="124">
        <f>+'Invullen groen'!AX508</f>
        <v/>
      </c>
      <c r="K498" s="124">
        <f>+'Invullen groen'!AY508</f>
        <v/>
      </c>
      <c r="L498" s="124">
        <f>+'Invullen groen'!AZ508</f>
        <v/>
      </c>
      <c r="M498" s="124">
        <f>+'Invullen groen'!BA508</f>
        <v/>
      </c>
      <c r="N498" s="124">
        <f>+'Invullen groen'!BB508</f>
        <v/>
      </c>
      <c r="O498" s="124">
        <f>+'Invullen groen'!BC508</f>
        <v/>
      </c>
      <c r="P498" s="124">
        <f>+'Invullen groen'!BD508</f>
        <v/>
      </c>
    </row>
    <row r="499">
      <c r="A499" s="113">
        <f>+'Invullen groen'!A509</f>
        <v/>
      </c>
      <c r="B499" s="154">
        <f>+'Invullen groen'!C509</f>
        <v/>
      </c>
      <c r="C499" s="124">
        <f>+'Invullen groen'!G509</f>
        <v/>
      </c>
      <c r="D499" s="113">
        <f>+'Invullen groen'!M509</f>
        <v/>
      </c>
      <c r="E499" s="114">
        <f>+'Invullen groen'!H509</f>
        <v/>
      </c>
      <c r="F499" s="114">
        <f>+'Invullen groen'!I509</f>
        <v/>
      </c>
      <c r="G499" s="114">
        <f>+'Invullen groen'!J509</f>
        <v/>
      </c>
      <c r="H499" s="114">
        <f>+'Invullen groen'!K509</f>
        <v/>
      </c>
      <c r="I499" s="124">
        <f>+'Invullen groen'!AW509</f>
        <v/>
      </c>
      <c r="J499" s="124">
        <f>+'Invullen groen'!AX509</f>
        <v/>
      </c>
      <c r="K499" s="124">
        <f>+'Invullen groen'!AY509</f>
        <v/>
      </c>
      <c r="L499" s="124">
        <f>+'Invullen groen'!AZ509</f>
        <v/>
      </c>
      <c r="M499" s="124">
        <f>+'Invullen groen'!BA509</f>
        <v/>
      </c>
      <c r="N499" s="124">
        <f>+'Invullen groen'!BB509</f>
        <v/>
      </c>
      <c r="O499" s="124">
        <f>+'Invullen groen'!BC509</f>
        <v/>
      </c>
      <c r="P499" s="124">
        <f>+'Invullen groen'!BD509</f>
        <v/>
      </c>
    </row>
    <row r="500">
      <c r="A500" s="113">
        <f>+'Invullen groen'!A510</f>
        <v/>
      </c>
      <c r="B500" s="154">
        <f>+'Invullen groen'!C510</f>
        <v/>
      </c>
      <c r="C500" s="124">
        <f>+'Invullen groen'!G510</f>
        <v/>
      </c>
      <c r="D500" s="113">
        <f>+'Invullen groen'!M510</f>
        <v/>
      </c>
      <c r="E500" s="114">
        <f>+'Invullen groen'!H510</f>
        <v/>
      </c>
      <c r="F500" s="114">
        <f>+'Invullen groen'!I510</f>
        <v/>
      </c>
      <c r="G500" s="114">
        <f>+'Invullen groen'!J510</f>
        <v/>
      </c>
      <c r="H500" s="114">
        <f>+'Invullen groen'!K510</f>
        <v/>
      </c>
      <c r="I500" s="124">
        <f>+'Invullen groen'!AW510</f>
        <v/>
      </c>
      <c r="J500" s="124">
        <f>+'Invullen groen'!AX510</f>
        <v/>
      </c>
      <c r="K500" s="124">
        <f>+'Invullen groen'!AY510</f>
        <v/>
      </c>
      <c r="L500" s="124">
        <f>+'Invullen groen'!AZ510</f>
        <v/>
      </c>
      <c r="M500" s="124">
        <f>+'Invullen groen'!BA510</f>
        <v/>
      </c>
      <c r="N500" s="124">
        <f>+'Invullen groen'!BB510</f>
        <v/>
      </c>
      <c r="O500" s="124">
        <f>+'Invullen groen'!BC510</f>
        <v/>
      </c>
      <c r="P500" s="124">
        <f>+'Invullen groen'!BD510</f>
        <v/>
      </c>
    </row>
    <row r="501">
      <c r="A501" s="113">
        <f>+'Invullen groen'!A511</f>
        <v/>
      </c>
      <c r="B501" s="154">
        <f>+'Invullen groen'!C511</f>
        <v/>
      </c>
      <c r="C501" s="124">
        <f>+'Invullen groen'!G511</f>
        <v/>
      </c>
      <c r="D501" s="113">
        <f>+'Invullen groen'!M511</f>
        <v/>
      </c>
      <c r="E501" s="114">
        <f>+'Invullen groen'!H511</f>
        <v/>
      </c>
      <c r="F501" s="114">
        <f>+'Invullen groen'!I511</f>
        <v/>
      </c>
      <c r="G501" s="114">
        <f>+'Invullen groen'!J511</f>
        <v/>
      </c>
      <c r="H501" s="114">
        <f>+'Invullen groen'!K511</f>
        <v/>
      </c>
      <c r="I501" s="124">
        <f>+'Invullen groen'!AW511</f>
        <v/>
      </c>
      <c r="J501" s="124">
        <f>+'Invullen groen'!AX511</f>
        <v/>
      </c>
      <c r="K501" s="124">
        <f>+'Invullen groen'!AY511</f>
        <v/>
      </c>
      <c r="L501" s="124">
        <f>+'Invullen groen'!AZ511</f>
        <v/>
      </c>
      <c r="M501" s="124">
        <f>+'Invullen groen'!BA511</f>
        <v/>
      </c>
      <c r="N501" s="124">
        <f>+'Invullen groen'!BB511</f>
        <v/>
      </c>
      <c r="O501" s="124">
        <f>+'Invullen groen'!BC511</f>
        <v/>
      </c>
      <c r="P501" s="124">
        <f>+'Invullen groen'!BD511</f>
        <v/>
      </c>
    </row>
    <row r="502">
      <c r="A502" s="113">
        <f>+'Invullen groen'!A512</f>
        <v/>
      </c>
      <c r="B502" s="154">
        <f>+'Invullen groen'!C512</f>
        <v/>
      </c>
      <c r="C502" s="124">
        <f>+'Invullen groen'!G512</f>
        <v/>
      </c>
      <c r="D502" s="113">
        <f>+'Invullen groen'!M512</f>
        <v/>
      </c>
      <c r="E502" s="114">
        <f>+'Invullen groen'!H512</f>
        <v/>
      </c>
      <c r="F502" s="114">
        <f>+'Invullen groen'!I512</f>
        <v/>
      </c>
      <c r="G502" s="114">
        <f>+'Invullen groen'!J512</f>
        <v/>
      </c>
      <c r="H502" s="114">
        <f>+'Invullen groen'!K512</f>
        <v/>
      </c>
      <c r="I502" s="124">
        <f>+'Invullen groen'!AW512</f>
        <v/>
      </c>
      <c r="J502" s="124">
        <f>+'Invullen groen'!AX512</f>
        <v/>
      </c>
      <c r="K502" s="124">
        <f>+'Invullen groen'!AY512</f>
        <v/>
      </c>
      <c r="L502" s="124">
        <f>+'Invullen groen'!AZ512</f>
        <v/>
      </c>
      <c r="M502" s="124">
        <f>+'Invullen groen'!BA512</f>
        <v/>
      </c>
      <c r="N502" s="124">
        <f>+'Invullen groen'!BB512</f>
        <v/>
      </c>
      <c r="O502" s="124">
        <f>+'Invullen groen'!BC512</f>
        <v/>
      </c>
      <c r="P502" s="124">
        <f>+'Invullen groen'!BD512</f>
        <v/>
      </c>
    </row>
    <row r="503">
      <c r="A503" s="113">
        <f>+'Invullen groen'!A513</f>
        <v/>
      </c>
      <c r="B503" s="154">
        <f>+'Invullen groen'!C513</f>
        <v/>
      </c>
      <c r="C503" s="124">
        <f>+'Invullen groen'!G513</f>
        <v/>
      </c>
      <c r="D503" s="113">
        <f>+'Invullen groen'!M513</f>
        <v/>
      </c>
      <c r="E503" s="114">
        <f>+'Invullen groen'!H513</f>
        <v/>
      </c>
      <c r="F503" s="114">
        <f>+'Invullen groen'!I513</f>
        <v/>
      </c>
      <c r="G503" s="114">
        <f>+'Invullen groen'!J513</f>
        <v/>
      </c>
      <c r="H503" s="114">
        <f>+'Invullen groen'!K513</f>
        <v/>
      </c>
      <c r="I503" s="124">
        <f>+'Invullen groen'!AW513</f>
        <v/>
      </c>
      <c r="J503" s="124">
        <f>+'Invullen groen'!AX513</f>
        <v/>
      </c>
      <c r="K503" s="124">
        <f>+'Invullen groen'!AY513</f>
        <v/>
      </c>
      <c r="L503" s="124">
        <f>+'Invullen groen'!AZ513</f>
        <v/>
      </c>
      <c r="M503" s="124">
        <f>+'Invullen groen'!BA513</f>
        <v/>
      </c>
      <c r="N503" s="124">
        <f>+'Invullen groen'!BB513</f>
        <v/>
      </c>
      <c r="O503" s="124">
        <f>+'Invullen groen'!BC513</f>
        <v/>
      </c>
      <c r="P503" s="124">
        <f>+'Invullen groen'!BD513</f>
        <v/>
      </c>
    </row>
    <row r="504">
      <c r="A504" s="113">
        <f>+'Invullen groen'!A514</f>
        <v/>
      </c>
      <c r="B504" s="154">
        <f>+'Invullen groen'!C514</f>
        <v/>
      </c>
      <c r="C504" s="124">
        <f>+'Invullen groen'!G514</f>
        <v/>
      </c>
      <c r="D504" s="113">
        <f>+'Invullen groen'!M514</f>
        <v/>
      </c>
      <c r="E504" s="114">
        <f>+'Invullen groen'!H514</f>
        <v/>
      </c>
      <c r="F504" s="114">
        <f>+'Invullen groen'!I514</f>
        <v/>
      </c>
      <c r="G504" s="114">
        <f>+'Invullen groen'!J514</f>
        <v/>
      </c>
      <c r="H504" s="114">
        <f>+'Invullen groen'!K514</f>
        <v/>
      </c>
      <c r="I504" s="124">
        <f>+'Invullen groen'!AW514</f>
        <v/>
      </c>
      <c r="J504" s="124">
        <f>+'Invullen groen'!AX514</f>
        <v/>
      </c>
      <c r="K504" s="124">
        <f>+'Invullen groen'!AY514</f>
        <v/>
      </c>
      <c r="L504" s="124">
        <f>+'Invullen groen'!AZ514</f>
        <v/>
      </c>
      <c r="M504" s="124">
        <f>+'Invullen groen'!BA514</f>
        <v/>
      </c>
      <c r="N504" s="124">
        <f>+'Invullen groen'!BB514</f>
        <v/>
      </c>
      <c r="O504" s="124">
        <f>+'Invullen groen'!BC514</f>
        <v/>
      </c>
      <c r="P504" s="124">
        <f>+'Invullen groen'!BD514</f>
        <v/>
      </c>
    </row>
    <row r="505">
      <c r="A505" s="113">
        <f>+'Invullen groen'!A515</f>
        <v/>
      </c>
      <c r="B505" s="154">
        <f>+'Invullen groen'!C515</f>
        <v/>
      </c>
      <c r="C505" s="124">
        <f>+'Invullen groen'!G515</f>
        <v/>
      </c>
      <c r="D505" s="113">
        <f>+'Invullen groen'!M515</f>
        <v/>
      </c>
      <c r="E505" s="114">
        <f>+'Invullen groen'!H515</f>
        <v/>
      </c>
      <c r="F505" s="114">
        <f>+'Invullen groen'!I515</f>
        <v/>
      </c>
      <c r="G505" s="114">
        <f>+'Invullen groen'!J515</f>
        <v/>
      </c>
      <c r="H505" s="114">
        <f>+'Invullen groen'!K515</f>
        <v/>
      </c>
      <c r="I505" s="124">
        <f>+'Invullen groen'!AW515</f>
        <v/>
      </c>
      <c r="J505" s="124">
        <f>+'Invullen groen'!AX515</f>
        <v/>
      </c>
      <c r="K505" s="124">
        <f>+'Invullen groen'!AY515</f>
        <v/>
      </c>
      <c r="L505" s="124">
        <f>+'Invullen groen'!AZ515</f>
        <v/>
      </c>
      <c r="M505" s="124">
        <f>+'Invullen groen'!BA515</f>
        <v/>
      </c>
      <c r="N505" s="124">
        <f>+'Invullen groen'!BB515</f>
        <v/>
      </c>
      <c r="O505" s="124">
        <f>+'Invullen groen'!BC515</f>
        <v/>
      </c>
      <c r="P505" s="124">
        <f>+'Invullen groen'!BD515</f>
        <v/>
      </c>
    </row>
    <row r="506">
      <c r="A506" s="113">
        <f>+'Invullen groen'!A516</f>
        <v/>
      </c>
      <c r="B506" s="154">
        <f>+'Invullen groen'!C516</f>
        <v/>
      </c>
      <c r="C506" s="124">
        <f>+'Invullen groen'!G516</f>
        <v/>
      </c>
      <c r="D506" s="113">
        <f>+'Invullen groen'!M516</f>
        <v/>
      </c>
      <c r="E506" s="114">
        <f>+'Invullen groen'!H516</f>
        <v/>
      </c>
      <c r="F506" s="114">
        <f>+'Invullen groen'!I516</f>
        <v/>
      </c>
      <c r="G506" s="114">
        <f>+'Invullen groen'!J516</f>
        <v/>
      </c>
      <c r="H506" s="114">
        <f>+'Invullen groen'!K516</f>
        <v/>
      </c>
      <c r="I506" s="124">
        <f>+'Invullen groen'!AW516</f>
        <v/>
      </c>
      <c r="J506" s="124">
        <f>+'Invullen groen'!AX516</f>
        <v/>
      </c>
      <c r="K506" s="124">
        <f>+'Invullen groen'!AY516</f>
        <v/>
      </c>
      <c r="L506" s="124">
        <f>+'Invullen groen'!AZ516</f>
        <v/>
      </c>
      <c r="M506" s="124">
        <f>+'Invullen groen'!BA516</f>
        <v/>
      </c>
      <c r="N506" s="124">
        <f>+'Invullen groen'!BB516</f>
        <v/>
      </c>
      <c r="O506" s="124">
        <f>+'Invullen groen'!BC516</f>
        <v/>
      </c>
      <c r="P506" s="124">
        <f>+'Invullen groen'!BD516</f>
        <v/>
      </c>
    </row>
    <row r="507">
      <c r="A507" s="113">
        <f>+'Invullen groen'!A517</f>
        <v/>
      </c>
      <c r="B507" s="154">
        <f>+'Invullen groen'!C517</f>
        <v/>
      </c>
      <c r="C507" s="124">
        <f>+'Invullen groen'!G517</f>
        <v/>
      </c>
      <c r="D507" s="113">
        <f>+'Invullen groen'!M517</f>
        <v/>
      </c>
      <c r="E507" s="114">
        <f>+'Invullen groen'!H517</f>
        <v/>
      </c>
      <c r="F507" s="114">
        <f>+'Invullen groen'!I517</f>
        <v/>
      </c>
      <c r="G507" s="114">
        <f>+'Invullen groen'!J517</f>
        <v/>
      </c>
      <c r="H507" s="114">
        <f>+'Invullen groen'!K517</f>
        <v/>
      </c>
      <c r="I507" s="124">
        <f>+'Invullen groen'!AW517</f>
        <v/>
      </c>
      <c r="J507" s="124">
        <f>+'Invullen groen'!AX517</f>
        <v/>
      </c>
      <c r="K507" s="124">
        <f>+'Invullen groen'!AY517</f>
        <v/>
      </c>
      <c r="L507" s="124">
        <f>+'Invullen groen'!AZ517</f>
        <v/>
      </c>
      <c r="M507" s="124">
        <f>+'Invullen groen'!BA517</f>
        <v/>
      </c>
      <c r="N507" s="124">
        <f>+'Invullen groen'!BB517</f>
        <v/>
      </c>
      <c r="O507" s="124">
        <f>+'Invullen groen'!BC517</f>
        <v/>
      </c>
      <c r="P507" s="124">
        <f>+'Invullen groen'!BD517</f>
        <v/>
      </c>
    </row>
    <row r="508">
      <c r="A508" s="113">
        <f>+'Invullen groen'!A518</f>
        <v/>
      </c>
      <c r="B508" s="154">
        <f>+'Invullen groen'!C518</f>
        <v/>
      </c>
      <c r="C508" s="124">
        <f>+'Invullen groen'!G518</f>
        <v/>
      </c>
      <c r="D508" s="113">
        <f>+'Invullen groen'!M518</f>
        <v/>
      </c>
      <c r="E508" s="114">
        <f>+'Invullen groen'!H518</f>
        <v/>
      </c>
      <c r="F508" s="114">
        <f>+'Invullen groen'!I518</f>
        <v/>
      </c>
      <c r="G508" s="114">
        <f>+'Invullen groen'!J518</f>
        <v/>
      </c>
      <c r="H508" s="114">
        <f>+'Invullen groen'!K518</f>
        <v/>
      </c>
      <c r="I508" s="124">
        <f>+'Invullen groen'!AW518</f>
        <v/>
      </c>
      <c r="J508" s="124">
        <f>+'Invullen groen'!AX518</f>
        <v/>
      </c>
      <c r="K508" s="124">
        <f>+'Invullen groen'!AY518</f>
        <v/>
      </c>
      <c r="L508" s="124">
        <f>+'Invullen groen'!AZ518</f>
        <v/>
      </c>
      <c r="M508" s="124">
        <f>+'Invullen groen'!BA518</f>
        <v/>
      </c>
      <c r="N508" s="124">
        <f>+'Invullen groen'!BB518</f>
        <v/>
      </c>
      <c r="O508" s="124">
        <f>+'Invullen groen'!BC518</f>
        <v/>
      </c>
      <c r="P508" s="124">
        <f>+'Invullen groen'!BD518</f>
        <v/>
      </c>
    </row>
    <row r="509">
      <c r="A509" s="113">
        <f>+'Invullen groen'!A519</f>
        <v/>
      </c>
      <c r="B509" s="154">
        <f>+'Invullen groen'!C519</f>
        <v/>
      </c>
      <c r="C509" s="124">
        <f>+'Invullen groen'!G519</f>
        <v/>
      </c>
      <c r="D509" s="113">
        <f>+'Invullen groen'!M519</f>
        <v/>
      </c>
      <c r="E509" s="114">
        <f>+'Invullen groen'!H519</f>
        <v/>
      </c>
      <c r="F509" s="114">
        <f>+'Invullen groen'!I519</f>
        <v/>
      </c>
      <c r="G509" s="114">
        <f>+'Invullen groen'!J519</f>
        <v/>
      </c>
      <c r="H509" s="114">
        <f>+'Invullen groen'!K519</f>
        <v/>
      </c>
      <c r="I509" s="124">
        <f>+'Invullen groen'!AW519</f>
        <v/>
      </c>
      <c r="J509" s="124">
        <f>+'Invullen groen'!AX519</f>
        <v/>
      </c>
      <c r="K509" s="124">
        <f>+'Invullen groen'!AY519</f>
        <v/>
      </c>
      <c r="L509" s="124">
        <f>+'Invullen groen'!AZ519</f>
        <v/>
      </c>
      <c r="M509" s="124">
        <f>+'Invullen groen'!BA519</f>
        <v/>
      </c>
      <c r="N509" s="124">
        <f>+'Invullen groen'!BB519</f>
        <v/>
      </c>
      <c r="O509" s="124">
        <f>+'Invullen groen'!BC519</f>
        <v/>
      </c>
      <c r="P509" s="124">
        <f>+'Invullen groen'!BD519</f>
        <v/>
      </c>
    </row>
    <row r="510">
      <c r="A510" s="113">
        <f>+'Invullen groen'!A520</f>
        <v/>
      </c>
      <c r="B510" s="154">
        <f>+'Invullen groen'!C520</f>
        <v/>
      </c>
      <c r="C510" s="124">
        <f>+'Invullen groen'!G520</f>
        <v/>
      </c>
      <c r="D510" s="113">
        <f>+'Invullen groen'!M520</f>
        <v/>
      </c>
      <c r="E510" s="114">
        <f>+'Invullen groen'!H520</f>
        <v/>
      </c>
      <c r="F510" s="114">
        <f>+'Invullen groen'!I520</f>
        <v/>
      </c>
      <c r="G510" s="114">
        <f>+'Invullen groen'!J520</f>
        <v/>
      </c>
      <c r="H510" s="114">
        <f>+'Invullen groen'!K520</f>
        <v/>
      </c>
      <c r="I510" s="124">
        <f>+'Invullen groen'!AW520</f>
        <v/>
      </c>
      <c r="J510" s="124">
        <f>+'Invullen groen'!AX520</f>
        <v/>
      </c>
      <c r="K510" s="124">
        <f>+'Invullen groen'!AY520</f>
        <v/>
      </c>
      <c r="L510" s="124">
        <f>+'Invullen groen'!AZ520</f>
        <v/>
      </c>
      <c r="M510" s="124">
        <f>+'Invullen groen'!BA520</f>
        <v/>
      </c>
      <c r="N510" s="124">
        <f>+'Invullen groen'!BB520</f>
        <v/>
      </c>
      <c r="O510" s="124">
        <f>+'Invullen groen'!BC520</f>
        <v/>
      </c>
      <c r="P510" s="124">
        <f>+'Invullen groen'!BD520</f>
        <v/>
      </c>
    </row>
    <row r="511">
      <c r="A511" s="113">
        <f>+'Invullen groen'!A521</f>
        <v/>
      </c>
      <c r="B511" s="154">
        <f>+'Invullen groen'!C521</f>
        <v/>
      </c>
      <c r="C511" s="124">
        <f>+'Invullen groen'!G521</f>
        <v/>
      </c>
      <c r="D511" s="113">
        <f>+'Invullen groen'!M521</f>
        <v/>
      </c>
      <c r="E511" s="114">
        <f>+'Invullen groen'!H521</f>
        <v/>
      </c>
      <c r="F511" s="114">
        <f>+'Invullen groen'!I521</f>
        <v/>
      </c>
      <c r="G511" s="114">
        <f>+'Invullen groen'!J521</f>
        <v/>
      </c>
      <c r="H511" s="114">
        <f>+'Invullen groen'!K521</f>
        <v/>
      </c>
      <c r="I511" s="124">
        <f>+'Invullen groen'!AW521</f>
        <v/>
      </c>
      <c r="J511" s="124">
        <f>+'Invullen groen'!AX521</f>
        <v/>
      </c>
      <c r="K511" s="124">
        <f>+'Invullen groen'!AY521</f>
        <v/>
      </c>
      <c r="L511" s="124">
        <f>+'Invullen groen'!AZ521</f>
        <v/>
      </c>
      <c r="M511" s="124">
        <f>+'Invullen groen'!BA521</f>
        <v/>
      </c>
      <c r="N511" s="124">
        <f>+'Invullen groen'!BB521</f>
        <v/>
      </c>
      <c r="O511" s="124">
        <f>+'Invullen groen'!BC521</f>
        <v/>
      </c>
      <c r="P511" s="124">
        <f>+'Invullen groen'!BD521</f>
        <v/>
      </c>
    </row>
    <row r="512">
      <c r="A512" s="113">
        <f>+'Invullen groen'!A522</f>
        <v/>
      </c>
      <c r="B512" s="154">
        <f>+'Invullen groen'!C522</f>
        <v/>
      </c>
      <c r="C512" s="124">
        <f>+'Invullen groen'!G522</f>
        <v/>
      </c>
      <c r="D512" s="113">
        <f>+'Invullen groen'!M522</f>
        <v/>
      </c>
      <c r="E512" s="114">
        <f>+'Invullen groen'!H522</f>
        <v/>
      </c>
      <c r="F512" s="114">
        <f>+'Invullen groen'!I522</f>
        <v/>
      </c>
      <c r="G512" s="114">
        <f>+'Invullen groen'!J522</f>
        <v/>
      </c>
      <c r="H512" s="114">
        <f>+'Invullen groen'!K522</f>
        <v/>
      </c>
      <c r="I512" s="124">
        <f>+'Invullen groen'!AW522</f>
        <v/>
      </c>
      <c r="J512" s="124">
        <f>+'Invullen groen'!AX522</f>
        <v/>
      </c>
      <c r="K512" s="124">
        <f>+'Invullen groen'!AY522</f>
        <v/>
      </c>
      <c r="L512" s="124">
        <f>+'Invullen groen'!AZ522</f>
        <v/>
      </c>
      <c r="M512" s="124">
        <f>+'Invullen groen'!BA522</f>
        <v/>
      </c>
      <c r="N512" s="124">
        <f>+'Invullen groen'!BB522</f>
        <v/>
      </c>
      <c r="O512" s="124">
        <f>+'Invullen groen'!BC522</f>
        <v/>
      </c>
      <c r="P512" s="124">
        <f>+'Invullen groen'!BD522</f>
        <v/>
      </c>
    </row>
    <row r="513">
      <c r="A513" s="113">
        <f>+'Invullen groen'!A523</f>
        <v/>
      </c>
      <c r="B513" s="154">
        <f>+'Invullen groen'!C523</f>
        <v/>
      </c>
      <c r="C513" s="124">
        <f>+'Invullen groen'!G523</f>
        <v/>
      </c>
      <c r="D513" s="113">
        <f>+'Invullen groen'!M523</f>
        <v/>
      </c>
      <c r="E513" s="114">
        <f>+'Invullen groen'!H523</f>
        <v/>
      </c>
      <c r="F513" s="114">
        <f>+'Invullen groen'!I523</f>
        <v/>
      </c>
      <c r="G513" s="114">
        <f>+'Invullen groen'!J523</f>
        <v/>
      </c>
      <c r="H513" s="114">
        <f>+'Invullen groen'!K523</f>
        <v/>
      </c>
      <c r="I513" s="124">
        <f>+'Invullen groen'!AW523</f>
        <v/>
      </c>
      <c r="J513" s="124">
        <f>+'Invullen groen'!AX523</f>
        <v/>
      </c>
      <c r="K513" s="124">
        <f>+'Invullen groen'!AY523</f>
        <v/>
      </c>
      <c r="L513" s="124">
        <f>+'Invullen groen'!AZ523</f>
        <v/>
      </c>
      <c r="M513" s="124">
        <f>+'Invullen groen'!BA523</f>
        <v/>
      </c>
      <c r="N513" s="124">
        <f>+'Invullen groen'!BB523</f>
        <v/>
      </c>
      <c r="O513" s="124">
        <f>+'Invullen groen'!BC523</f>
        <v/>
      </c>
      <c r="P513" s="124">
        <f>+'Invullen groen'!BD523</f>
        <v/>
      </c>
    </row>
    <row r="514">
      <c r="A514" s="113">
        <f>+'Invullen groen'!A524</f>
        <v/>
      </c>
      <c r="B514" s="154">
        <f>+'Invullen groen'!C524</f>
        <v/>
      </c>
      <c r="C514" s="124">
        <f>+'Invullen groen'!G524</f>
        <v/>
      </c>
      <c r="D514" s="113">
        <f>+'Invullen groen'!M524</f>
        <v/>
      </c>
      <c r="E514" s="114">
        <f>+'Invullen groen'!H524</f>
        <v/>
      </c>
      <c r="F514" s="114">
        <f>+'Invullen groen'!I524</f>
        <v/>
      </c>
      <c r="G514" s="114">
        <f>+'Invullen groen'!J524</f>
        <v/>
      </c>
      <c r="H514" s="114">
        <f>+'Invullen groen'!K524</f>
        <v/>
      </c>
      <c r="I514" s="124">
        <f>+'Invullen groen'!AW524</f>
        <v/>
      </c>
      <c r="J514" s="124">
        <f>+'Invullen groen'!AX524</f>
        <v/>
      </c>
      <c r="K514" s="124">
        <f>+'Invullen groen'!AY524</f>
        <v/>
      </c>
      <c r="L514" s="124">
        <f>+'Invullen groen'!AZ524</f>
        <v/>
      </c>
      <c r="M514" s="124">
        <f>+'Invullen groen'!BA524</f>
        <v/>
      </c>
      <c r="N514" s="124">
        <f>+'Invullen groen'!BB524</f>
        <v/>
      </c>
      <c r="O514" s="124">
        <f>+'Invullen groen'!BC524</f>
        <v/>
      </c>
      <c r="P514" s="124">
        <f>+'Invullen groen'!BD524</f>
        <v/>
      </c>
    </row>
    <row r="515">
      <c r="A515" s="113">
        <f>+'Invullen groen'!A525</f>
        <v/>
      </c>
      <c r="B515" s="154">
        <f>+'Invullen groen'!C525</f>
        <v/>
      </c>
      <c r="C515" s="124">
        <f>+'Invullen groen'!G525</f>
        <v/>
      </c>
      <c r="D515" s="113">
        <f>+'Invullen groen'!M525</f>
        <v/>
      </c>
      <c r="E515" s="114">
        <f>+'Invullen groen'!H525</f>
        <v/>
      </c>
      <c r="F515" s="114">
        <f>+'Invullen groen'!I525</f>
        <v/>
      </c>
      <c r="G515" s="114">
        <f>+'Invullen groen'!J525</f>
        <v/>
      </c>
      <c r="H515" s="114">
        <f>+'Invullen groen'!K525</f>
        <v/>
      </c>
      <c r="I515" s="124">
        <f>+'Invullen groen'!AW525</f>
        <v/>
      </c>
      <c r="J515" s="124">
        <f>+'Invullen groen'!AX525</f>
        <v/>
      </c>
      <c r="K515" s="124">
        <f>+'Invullen groen'!AY525</f>
        <v/>
      </c>
      <c r="L515" s="124">
        <f>+'Invullen groen'!AZ525</f>
        <v/>
      </c>
      <c r="M515" s="124">
        <f>+'Invullen groen'!BA525</f>
        <v/>
      </c>
      <c r="N515" s="124">
        <f>+'Invullen groen'!BB525</f>
        <v/>
      </c>
      <c r="O515" s="124">
        <f>+'Invullen groen'!BC525</f>
        <v/>
      </c>
      <c r="P515" s="124">
        <f>+'Invullen groen'!BD525</f>
        <v/>
      </c>
    </row>
    <row r="516">
      <c r="A516" s="113">
        <f>+'Invullen groen'!A526</f>
        <v/>
      </c>
      <c r="B516" s="154">
        <f>+'Invullen groen'!C526</f>
        <v/>
      </c>
      <c r="C516" s="124">
        <f>+'Invullen groen'!G526</f>
        <v/>
      </c>
      <c r="D516" s="113">
        <f>+'Invullen groen'!M526</f>
        <v/>
      </c>
      <c r="E516" s="114">
        <f>+'Invullen groen'!H526</f>
        <v/>
      </c>
      <c r="F516" s="114">
        <f>+'Invullen groen'!I526</f>
        <v/>
      </c>
      <c r="G516" s="114">
        <f>+'Invullen groen'!J526</f>
        <v/>
      </c>
      <c r="H516" s="114">
        <f>+'Invullen groen'!K526</f>
        <v/>
      </c>
      <c r="I516" s="124">
        <f>+'Invullen groen'!AW526</f>
        <v/>
      </c>
      <c r="J516" s="124">
        <f>+'Invullen groen'!AX526</f>
        <v/>
      </c>
      <c r="K516" s="124">
        <f>+'Invullen groen'!AY526</f>
        <v/>
      </c>
      <c r="L516" s="124">
        <f>+'Invullen groen'!AZ526</f>
        <v/>
      </c>
      <c r="M516" s="124">
        <f>+'Invullen groen'!BA526</f>
        <v/>
      </c>
      <c r="N516" s="124">
        <f>+'Invullen groen'!BB526</f>
        <v/>
      </c>
      <c r="O516" s="124">
        <f>+'Invullen groen'!BC526</f>
        <v/>
      </c>
      <c r="P516" s="124">
        <f>+'Invullen groen'!BD526</f>
        <v/>
      </c>
    </row>
    <row r="517">
      <c r="A517" s="113">
        <f>+'Invullen groen'!A527</f>
        <v/>
      </c>
      <c r="B517" s="154">
        <f>+'Invullen groen'!C527</f>
        <v/>
      </c>
      <c r="C517" s="124">
        <f>+'Invullen groen'!G527</f>
        <v/>
      </c>
      <c r="D517" s="113">
        <f>+'Invullen groen'!M527</f>
        <v/>
      </c>
      <c r="E517" s="114">
        <f>+'Invullen groen'!H527</f>
        <v/>
      </c>
      <c r="F517" s="114">
        <f>+'Invullen groen'!I527</f>
        <v/>
      </c>
      <c r="G517" s="114">
        <f>+'Invullen groen'!J527</f>
        <v/>
      </c>
      <c r="H517" s="114">
        <f>+'Invullen groen'!K527</f>
        <v/>
      </c>
      <c r="I517" s="124">
        <f>+'Invullen groen'!AW527</f>
        <v/>
      </c>
      <c r="J517" s="124">
        <f>+'Invullen groen'!AX527</f>
        <v/>
      </c>
      <c r="K517" s="124">
        <f>+'Invullen groen'!AY527</f>
        <v/>
      </c>
      <c r="L517" s="124">
        <f>+'Invullen groen'!AZ527</f>
        <v/>
      </c>
      <c r="M517" s="124">
        <f>+'Invullen groen'!BA527</f>
        <v/>
      </c>
      <c r="N517" s="124">
        <f>+'Invullen groen'!BB527</f>
        <v/>
      </c>
      <c r="O517" s="124">
        <f>+'Invullen groen'!BC527</f>
        <v/>
      </c>
      <c r="P517" s="124">
        <f>+'Invullen groen'!BD527</f>
        <v/>
      </c>
    </row>
    <row r="518">
      <c r="A518" s="113">
        <f>+'Invullen groen'!A528</f>
        <v/>
      </c>
      <c r="B518" s="154">
        <f>+'Invullen groen'!C528</f>
        <v/>
      </c>
      <c r="C518" s="124">
        <f>+'Invullen groen'!G528</f>
        <v/>
      </c>
      <c r="D518" s="113">
        <f>+'Invullen groen'!M528</f>
        <v/>
      </c>
      <c r="E518" s="114">
        <f>+'Invullen groen'!H528</f>
        <v/>
      </c>
      <c r="F518" s="114">
        <f>+'Invullen groen'!I528</f>
        <v/>
      </c>
      <c r="G518" s="114">
        <f>+'Invullen groen'!J528</f>
        <v/>
      </c>
      <c r="H518" s="114">
        <f>+'Invullen groen'!K528</f>
        <v/>
      </c>
      <c r="I518" s="124">
        <f>+'Invullen groen'!AW528</f>
        <v/>
      </c>
      <c r="J518" s="124">
        <f>+'Invullen groen'!AX528</f>
        <v/>
      </c>
      <c r="K518" s="124">
        <f>+'Invullen groen'!AY528</f>
        <v/>
      </c>
      <c r="L518" s="124">
        <f>+'Invullen groen'!AZ528</f>
        <v/>
      </c>
      <c r="M518" s="124">
        <f>+'Invullen groen'!BA528</f>
        <v/>
      </c>
      <c r="N518" s="124">
        <f>+'Invullen groen'!BB528</f>
        <v/>
      </c>
      <c r="O518" s="124">
        <f>+'Invullen groen'!BC528</f>
        <v/>
      </c>
      <c r="P518" s="124">
        <f>+'Invullen groen'!BD528</f>
        <v/>
      </c>
    </row>
    <row r="519">
      <c r="A519" s="113">
        <f>+'Invullen groen'!A529</f>
        <v/>
      </c>
      <c r="B519" s="154">
        <f>+'Invullen groen'!C529</f>
        <v/>
      </c>
      <c r="C519" s="124">
        <f>+'Invullen groen'!G529</f>
        <v/>
      </c>
      <c r="D519" s="113">
        <f>+'Invullen groen'!M529</f>
        <v/>
      </c>
      <c r="E519" s="114">
        <f>+'Invullen groen'!H529</f>
        <v/>
      </c>
      <c r="F519" s="114">
        <f>+'Invullen groen'!I529</f>
        <v/>
      </c>
      <c r="G519" s="114">
        <f>+'Invullen groen'!J529</f>
        <v/>
      </c>
      <c r="H519" s="114">
        <f>+'Invullen groen'!K529</f>
        <v/>
      </c>
      <c r="I519" s="124">
        <f>+'Invullen groen'!AW529</f>
        <v/>
      </c>
      <c r="J519" s="124">
        <f>+'Invullen groen'!AX529</f>
        <v/>
      </c>
      <c r="K519" s="124">
        <f>+'Invullen groen'!AY529</f>
        <v/>
      </c>
      <c r="L519" s="124">
        <f>+'Invullen groen'!AZ529</f>
        <v/>
      </c>
      <c r="M519" s="124">
        <f>+'Invullen groen'!BA529</f>
        <v/>
      </c>
      <c r="N519" s="124">
        <f>+'Invullen groen'!BB529</f>
        <v/>
      </c>
      <c r="O519" s="124">
        <f>+'Invullen groen'!BC529</f>
        <v/>
      </c>
      <c r="P519" s="124">
        <f>+'Invullen groen'!BD529</f>
        <v/>
      </c>
    </row>
    <row r="520">
      <c r="A520" s="113">
        <f>+'Invullen groen'!A530</f>
        <v/>
      </c>
      <c r="B520" s="154">
        <f>+'Invullen groen'!C530</f>
        <v/>
      </c>
      <c r="C520" s="124">
        <f>+'Invullen groen'!G530</f>
        <v/>
      </c>
      <c r="D520" s="113">
        <f>+'Invullen groen'!M530</f>
        <v/>
      </c>
      <c r="E520" s="114">
        <f>+'Invullen groen'!H530</f>
        <v/>
      </c>
      <c r="F520" s="114">
        <f>+'Invullen groen'!I530</f>
        <v/>
      </c>
      <c r="G520" s="114">
        <f>+'Invullen groen'!J530</f>
        <v/>
      </c>
      <c r="H520" s="114">
        <f>+'Invullen groen'!K530</f>
        <v/>
      </c>
      <c r="I520" s="124">
        <f>+'Invullen groen'!AW530</f>
        <v/>
      </c>
      <c r="J520" s="124">
        <f>+'Invullen groen'!AX530</f>
        <v/>
      </c>
      <c r="K520" s="124">
        <f>+'Invullen groen'!AY530</f>
        <v/>
      </c>
      <c r="L520" s="124">
        <f>+'Invullen groen'!AZ530</f>
        <v/>
      </c>
      <c r="M520" s="124">
        <f>+'Invullen groen'!BA530</f>
        <v/>
      </c>
      <c r="N520" s="124">
        <f>+'Invullen groen'!BB530</f>
        <v/>
      </c>
      <c r="O520" s="124">
        <f>+'Invullen groen'!BC530</f>
        <v/>
      </c>
      <c r="P520" s="124">
        <f>+'Invullen groen'!BD530</f>
        <v/>
      </c>
    </row>
    <row r="521">
      <c r="A521" s="113">
        <f>+'Invullen groen'!A531</f>
        <v/>
      </c>
      <c r="B521" s="154">
        <f>+'Invullen groen'!C531</f>
        <v/>
      </c>
      <c r="C521" s="124">
        <f>+'Invullen groen'!G531</f>
        <v/>
      </c>
      <c r="D521" s="113">
        <f>+'Invullen groen'!M531</f>
        <v/>
      </c>
      <c r="E521" s="114">
        <f>+'Invullen groen'!H531</f>
        <v/>
      </c>
      <c r="F521" s="114">
        <f>+'Invullen groen'!I531</f>
        <v/>
      </c>
      <c r="G521" s="114">
        <f>+'Invullen groen'!J531</f>
        <v/>
      </c>
      <c r="H521" s="114">
        <f>+'Invullen groen'!K531</f>
        <v/>
      </c>
      <c r="I521" s="124">
        <f>+'Invullen groen'!AW531</f>
        <v/>
      </c>
      <c r="J521" s="124">
        <f>+'Invullen groen'!AX531</f>
        <v/>
      </c>
      <c r="K521" s="124">
        <f>+'Invullen groen'!AY531</f>
        <v/>
      </c>
      <c r="L521" s="124">
        <f>+'Invullen groen'!AZ531</f>
        <v/>
      </c>
      <c r="M521" s="124">
        <f>+'Invullen groen'!BA531</f>
        <v/>
      </c>
      <c r="N521" s="124">
        <f>+'Invullen groen'!BB531</f>
        <v/>
      </c>
      <c r="O521" s="124">
        <f>+'Invullen groen'!BC531</f>
        <v/>
      </c>
      <c r="P521" s="124">
        <f>+'Invullen groen'!BD531</f>
        <v/>
      </c>
    </row>
    <row r="522">
      <c r="A522" s="113">
        <f>+'Invullen groen'!A532</f>
        <v/>
      </c>
      <c r="B522" s="154">
        <f>+'Invullen groen'!C532</f>
        <v/>
      </c>
      <c r="C522" s="124">
        <f>+'Invullen groen'!G532</f>
        <v/>
      </c>
      <c r="D522" s="113">
        <f>+'Invullen groen'!M532</f>
        <v/>
      </c>
      <c r="E522" s="114">
        <f>+'Invullen groen'!H532</f>
        <v/>
      </c>
      <c r="F522" s="114">
        <f>+'Invullen groen'!I532</f>
        <v/>
      </c>
      <c r="G522" s="114">
        <f>+'Invullen groen'!J532</f>
        <v/>
      </c>
      <c r="H522" s="114">
        <f>+'Invullen groen'!K532</f>
        <v/>
      </c>
      <c r="I522" s="124">
        <f>+'Invullen groen'!AW532</f>
        <v/>
      </c>
      <c r="J522" s="124">
        <f>+'Invullen groen'!AX532</f>
        <v/>
      </c>
      <c r="K522" s="124">
        <f>+'Invullen groen'!AY532</f>
        <v/>
      </c>
      <c r="L522" s="124">
        <f>+'Invullen groen'!AZ532</f>
        <v/>
      </c>
      <c r="M522" s="124">
        <f>+'Invullen groen'!BA532</f>
        <v/>
      </c>
      <c r="N522" s="124">
        <f>+'Invullen groen'!BB532</f>
        <v/>
      </c>
      <c r="O522" s="124">
        <f>+'Invullen groen'!BC532</f>
        <v/>
      </c>
      <c r="P522" s="124">
        <f>+'Invullen groen'!BD532</f>
        <v/>
      </c>
    </row>
    <row r="523">
      <c r="A523" s="113">
        <f>+'Invullen groen'!A533</f>
        <v/>
      </c>
      <c r="B523" s="154">
        <f>+'Invullen groen'!C533</f>
        <v/>
      </c>
      <c r="C523" s="124">
        <f>+'Invullen groen'!G533</f>
        <v/>
      </c>
      <c r="D523" s="113">
        <f>+'Invullen groen'!M533</f>
        <v/>
      </c>
      <c r="E523" s="114">
        <f>+'Invullen groen'!H533</f>
        <v/>
      </c>
      <c r="F523" s="114">
        <f>+'Invullen groen'!I533</f>
        <v/>
      </c>
      <c r="G523" s="114">
        <f>+'Invullen groen'!J533</f>
        <v/>
      </c>
      <c r="H523" s="114">
        <f>+'Invullen groen'!K533</f>
        <v/>
      </c>
      <c r="I523" s="124">
        <f>+'Invullen groen'!AW533</f>
        <v/>
      </c>
      <c r="J523" s="124">
        <f>+'Invullen groen'!AX533</f>
        <v/>
      </c>
      <c r="K523" s="124">
        <f>+'Invullen groen'!AY533</f>
        <v/>
      </c>
      <c r="L523" s="124">
        <f>+'Invullen groen'!AZ533</f>
        <v/>
      </c>
      <c r="M523" s="124">
        <f>+'Invullen groen'!BA533</f>
        <v/>
      </c>
      <c r="N523" s="124">
        <f>+'Invullen groen'!BB533</f>
        <v/>
      </c>
      <c r="O523" s="124">
        <f>+'Invullen groen'!BC533</f>
        <v/>
      </c>
      <c r="P523" s="124">
        <f>+'Invullen groen'!BD533</f>
        <v/>
      </c>
    </row>
    <row r="524">
      <c r="A524" s="113">
        <f>+'Invullen groen'!A534</f>
        <v/>
      </c>
      <c r="B524" s="154">
        <f>+'Invullen groen'!C534</f>
        <v/>
      </c>
      <c r="C524" s="124">
        <f>+'Invullen groen'!G534</f>
        <v/>
      </c>
      <c r="D524" s="113">
        <f>+'Invullen groen'!M534</f>
        <v/>
      </c>
      <c r="E524" s="114">
        <f>+'Invullen groen'!H534</f>
        <v/>
      </c>
      <c r="F524" s="114">
        <f>+'Invullen groen'!I534</f>
        <v/>
      </c>
      <c r="G524" s="114">
        <f>+'Invullen groen'!J534</f>
        <v/>
      </c>
      <c r="H524" s="114">
        <f>+'Invullen groen'!K534</f>
        <v/>
      </c>
      <c r="I524" s="124">
        <f>+'Invullen groen'!AW534</f>
        <v/>
      </c>
      <c r="J524" s="124">
        <f>+'Invullen groen'!AX534</f>
        <v/>
      </c>
      <c r="K524" s="124">
        <f>+'Invullen groen'!AY534</f>
        <v/>
      </c>
      <c r="L524" s="124">
        <f>+'Invullen groen'!AZ534</f>
        <v/>
      </c>
      <c r="M524" s="124">
        <f>+'Invullen groen'!BA534</f>
        <v/>
      </c>
      <c r="N524" s="124">
        <f>+'Invullen groen'!BB534</f>
        <v/>
      </c>
      <c r="O524" s="124">
        <f>+'Invullen groen'!BC534</f>
        <v/>
      </c>
      <c r="P524" s="124">
        <f>+'Invullen groen'!BD534</f>
        <v/>
      </c>
    </row>
    <row r="525">
      <c r="A525" s="113">
        <f>+'Invullen groen'!A535</f>
        <v/>
      </c>
      <c r="B525" s="154">
        <f>+'Invullen groen'!C535</f>
        <v/>
      </c>
      <c r="C525" s="124">
        <f>+'Invullen groen'!G535</f>
        <v/>
      </c>
      <c r="D525" s="113">
        <f>+'Invullen groen'!M535</f>
        <v/>
      </c>
      <c r="E525" s="114">
        <f>+'Invullen groen'!H535</f>
        <v/>
      </c>
      <c r="F525" s="114">
        <f>+'Invullen groen'!I535</f>
        <v/>
      </c>
      <c r="G525" s="114">
        <f>+'Invullen groen'!J535</f>
        <v/>
      </c>
      <c r="H525" s="114">
        <f>+'Invullen groen'!K535</f>
        <v/>
      </c>
      <c r="I525" s="124">
        <f>+'Invullen groen'!AW535</f>
        <v/>
      </c>
      <c r="J525" s="124">
        <f>+'Invullen groen'!AX535</f>
        <v/>
      </c>
      <c r="K525" s="124">
        <f>+'Invullen groen'!AY535</f>
        <v/>
      </c>
      <c r="L525" s="124">
        <f>+'Invullen groen'!AZ535</f>
        <v/>
      </c>
      <c r="M525" s="124">
        <f>+'Invullen groen'!BA535</f>
        <v/>
      </c>
      <c r="N525" s="124">
        <f>+'Invullen groen'!BB535</f>
        <v/>
      </c>
      <c r="O525" s="124">
        <f>+'Invullen groen'!BC535</f>
        <v/>
      </c>
      <c r="P525" s="124">
        <f>+'Invullen groen'!BD535</f>
        <v/>
      </c>
    </row>
    <row r="526">
      <c r="A526" s="113">
        <f>+'Invullen groen'!A536</f>
        <v/>
      </c>
      <c r="B526" s="154">
        <f>+'Invullen groen'!C536</f>
        <v/>
      </c>
      <c r="C526" s="124">
        <f>+'Invullen groen'!G536</f>
        <v/>
      </c>
      <c r="D526" s="113">
        <f>+'Invullen groen'!M536</f>
        <v/>
      </c>
      <c r="E526" s="114">
        <f>+'Invullen groen'!H536</f>
        <v/>
      </c>
      <c r="F526" s="114">
        <f>+'Invullen groen'!I536</f>
        <v/>
      </c>
      <c r="G526" s="114">
        <f>+'Invullen groen'!J536</f>
        <v/>
      </c>
      <c r="H526" s="114">
        <f>+'Invullen groen'!K536</f>
        <v/>
      </c>
      <c r="I526" s="124">
        <f>+'Invullen groen'!AW536</f>
        <v/>
      </c>
      <c r="J526" s="124">
        <f>+'Invullen groen'!AX536</f>
        <v/>
      </c>
      <c r="K526" s="124">
        <f>+'Invullen groen'!AY536</f>
        <v/>
      </c>
      <c r="L526" s="124">
        <f>+'Invullen groen'!AZ536</f>
        <v/>
      </c>
      <c r="M526" s="124">
        <f>+'Invullen groen'!BA536</f>
        <v/>
      </c>
      <c r="N526" s="124">
        <f>+'Invullen groen'!BB536</f>
        <v/>
      </c>
      <c r="O526" s="124">
        <f>+'Invullen groen'!BC536</f>
        <v/>
      </c>
      <c r="P526" s="124">
        <f>+'Invullen groen'!BD536</f>
        <v/>
      </c>
    </row>
    <row r="527">
      <c r="A527" s="113">
        <f>+'Invullen groen'!A537</f>
        <v/>
      </c>
      <c r="B527" s="154">
        <f>+'Invullen groen'!C537</f>
        <v/>
      </c>
      <c r="C527" s="124">
        <f>+'Invullen groen'!G537</f>
        <v/>
      </c>
      <c r="D527" s="113">
        <f>+'Invullen groen'!M537</f>
        <v/>
      </c>
      <c r="E527" s="114">
        <f>+'Invullen groen'!H537</f>
        <v/>
      </c>
      <c r="F527" s="114">
        <f>+'Invullen groen'!I537</f>
        <v/>
      </c>
      <c r="G527" s="114">
        <f>+'Invullen groen'!J537</f>
        <v/>
      </c>
      <c r="H527" s="114">
        <f>+'Invullen groen'!K537</f>
        <v/>
      </c>
      <c r="I527" s="124">
        <f>+'Invullen groen'!AW537</f>
        <v/>
      </c>
      <c r="J527" s="124">
        <f>+'Invullen groen'!AX537</f>
        <v/>
      </c>
      <c r="K527" s="124">
        <f>+'Invullen groen'!AY537</f>
        <v/>
      </c>
      <c r="L527" s="124">
        <f>+'Invullen groen'!AZ537</f>
        <v/>
      </c>
      <c r="M527" s="124">
        <f>+'Invullen groen'!BA537</f>
        <v/>
      </c>
      <c r="N527" s="124">
        <f>+'Invullen groen'!BB537</f>
        <v/>
      </c>
      <c r="O527" s="124">
        <f>+'Invullen groen'!BC537</f>
        <v/>
      </c>
      <c r="P527" s="124">
        <f>+'Invullen groen'!BD537</f>
        <v/>
      </c>
    </row>
    <row r="528">
      <c r="A528" s="113">
        <f>+'Invullen groen'!A538</f>
        <v/>
      </c>
      <c r="B528" s="154">
        <f>+'Invullen groen'!C538</f>
        <v/>
      </c>
      <c r="C528" s="124">
        <f>+'Invullen groen'!G538</f>
        <v/>
      </c>
      <c r="D528" s="113">
        <f>+'Invullen groen'!M538</f>
        <v/>
      </c>
      <c r="E528" s="114">
        <f>+'Invullen groen'!H538</f>
        <v/>
      </c>
      <c r="F528" s="114">
        <f>+'Invullen groen'!I538</f>
        <v/>
      </c>
      <c r="G528" s="114">
        <f>+'Invullen groen'!J538</f>
        <v/>
      </c>
      <c r="H528" s="114">
        <f>+'Invullen groen'!K538</f>
        <v/>
      </c>
      <c r="I528" s="124">
        <f>+'Invullen groen'!AW538</f>
        <v/>
      </c>
      <c r="J528" s="124">
        <f>+'Invullen groen'!AX538</f>
        <v/>
      </c>
      <c r="K528" s="124">
        <f>+'Invullen groen'!AY538</f>
        <v/>
      </c>
      <c r="L528" s="124">
        <f>+'Invullen groen'!AZ538</f>
        <v/>
      </c>
      <c r="M528" s="124">
        <f>+'Invullen groen'!BA538</f>
        <v/>
      </c>
      <c r="N528" s="124">
        <f>+'Invullen groen'!BB538</f>
        <v/>
      </c>
      <c r="O528" s="124">
        <f>+'Invullen groen'!BC538</f>
        <v/>
      </c>
      <c r="P528" s="124">
        <f>+'Invullen groen'!BD538</f>
        <v/>
      </c>
    </row>
    <row r="529">
      <c r="A529" s="113">
        <f>+'Invullen groen'!A539</f>
        <v/>
      </c>
      <c r="B529" s="154">
        <f>+'Invullen groen'!C539</f>
        <v/>
      </c>
      <c r="C529" s="124">
        <f>+'Invullen groen'!G539</f>
        <v/>
      </c>
      <c r="D529" s="113">
        <f>+'Invullen groen'!M539</f>
        <v/>
      </c>
      <c r="E529" s="114">
        <f>+'Invullen groen'!H539</f>
        <v/>
      </c>
      <c r="F529" s="114">
        <f>+'Invullen groen'!I539</f>
        <v/>
      </c>
      <c r="G529" s="114">
        <f>+'Invullen groen'!J539</f>
        <v/>
      </c>
      <c r="H529" s="114">
        <f>+'Invullen groen'!K539</f>
        <v/>
      </c>
      <c r="I529" s="124">
        <f>+'Invullen groen'!AW539</f>
        <v/>
      </c>
      <c r="J529" s="124">
        <f>+'Invullen groen'!AX539</f>
        <v/>
      </c>
      <c r="K529" s="124">
        <f>+'Invullen groen'!AY539</f>
        <v/>
      </c>
      <c r="L529" s="124">
        <f>+'Invullen groen'!AZ539</f>
        <v/>
      </c>
      <c r="M529" s="124">
        <f>+'Invullen groen'!BA539</f>
        <v/>
      </c>
      <c r="N529" s="124">
        <f>+'Invullen groen'!BB539</f>
        <v/>
      </c>
      <c r="O529" s="124">
        <f>+'Invullen groen'!BC539</f>
        <v/>
      </c>
      <c r="P529" s="124">
        <f>+'Invullen groen'!BD539</f>
        <v/>
      </c>
    </row>
    <row r="530">
      <c r="A530" s="113">
        <f>+'Invullen groen'!A540</f>
        <v/>
      </c>
      <c r="B530" s="154">
        <f>+'Invullen groen'!C540</f>
        <v/>
      </c>
      <c r="C530" s="124">
        <f>+'Invullen groen'!G540</f>
        <v/>
      </c>
      <c r="D530" s="113">
        <f>+'Invullen groen'!M540</f>
        <v/>
      </c>
      <c r="E530" s="114">
        <f>+'Invullen groen'!H540</f>
        <v/>
      </c>
      <c r="F530" s="114">
        <f>+'Invullen groen'!I540</f>
        <v/>
      </c>
      <c r="G530" s="114">
        <f>+'Invullen groen'!J540</f>
        <v/>
      </c>
      <c r="H530" s="114">
        <f>+'Invullen groen'!K540</f>
        <v/>
      </c>
      <c r="I530" s="124">
        <f>+'Invullen groen'!AW540</f>
        <v/>
      </c>
      <c r="J530" s="124">
        <f>+'Invullen groen'!AX540</f>
        <v/>
      </c>
      <c r="K530" s="124">
        <f>+'Invullen groen'!AY540</f>
        <v/>
      </c>
      <c r="L530" s="124">
        <f>+'Invullen groen'!AZ540</f>
        <v/>
      </c>
      <c r="M530" s="124">
        <f>+'Invullen groen'!BA540</f>
        <v/>
      </c>
      <c r="N530" s="124">
        <f>+'Invullen groen'!BB540</f>
        <v/>
      </c>
      <c r="O530" s="124">
        <f>+'Invullen groen'!BC540</f>
        <v/>
      </c>
      <c r="P530" s="124">
        <f>+'Invullen groen'!BD540</f>
        <v/>
      </c>
    </row>
    <row r="531">
      <c r="A531" s="113">
        <f>+'Invullen groen'!A541</f>
        <v/>
      </c>
      <c r="B531" s="154">
        <f>+'Invullen groen'!C541</f>
        <v/>
      </c>
      <c r="C531" s="124">
        <f>+'Invullen groen'!G541</f>
        <v/>
      </c>
      <c r="D531" s="113">
        <f>+'Invullen groen'!M541</f>
        <v/>
      </c>
      <c r="E531" s="114">
        <f>+'Invullen groen'!H541</f>
        <v/>
      </c>
      <c r="F531" s="114">
        <f>+'Invullen groen'!I541</f>
        <v/>
      </c>
      <c r="G531" s="114">
        <f>+'Invullen groen'!J541</f>
        <v/>
      </c>
      <c r="H531" s="114">
        <f>+'Invullen groen'!K541</f>
        <v/>
      </c>
      <c r="I531" s="124">
        <f>+'Invullen groen'!AW541</f>
        <v/>
      </c>
      <c r="J531" s="124">
        <f>+'Invullen groen'!AX541</f>
        <v/>
      </c>
      <c r="K531" s="124">
        <f>+'Invullen groen'!AY541</f>
        <v/>
      </c>
      <c r="L531" s="124">
        <f>+'Invullen groen'!AZ541</f>
        <v/>
      </c>
      <c r="M531" s="124">
        <f>+'Invullen groen'!BA541</f>
        <v/>
      </c>
      <c r="N531" s="124">
        <f>+'Invullen groen'!BB541</f>
        <v/>
      </c>
      <c r="O531" s="124">
        <f>+'Invullen groen'!BC541</f>
        <v/>
      </c>
      <c r="P531" s="124">
        <f>+'Invullen groen'!BD541</f>
        <v/>
      </c>
    </row>
    <row r="532">
      <c r="A532" s="113">
        <f>+'Invullen groen'!A542</f>
        <v/>
      </c>
      <c r="B532" s="154">
        <f>+'Invullen groen'!C542</f>
        <v/>
      </c>
      <c r="C532" s="124">
        <f>+'Invullen groen'!G542</f>
        <v/>
      </c>
      <c r="D532" s="113">
        <f>+'Invullen groen'!M542</f>
        <v/>
      </c>
      <c r="E532" s="114">
        <f>+'Invullen groen'!H542</f>
        <v/>
      </c>
      <c r="F532" s="114">
        <f>+'Invullen groen'!I542</f>
        <v/>
      </c>
      <c r="G532" s="114">
        <f>+'Invullen groen'!J542</f>
        <v/>
      </c>
      <c r="H532" s="114">
        <f>+'Invullen groen'!K542</f>
        <v/>
      </c>
      <c r="I532" s="124">
        <f>+'Invullen groen'!AW542</f>
        <v/>
      </c>
      <c r="J532" s="124">
        <f>+'Invullen groen'!AX542</f>
        <v/>
      </c>
      <c r="K532" s="124">
        <f>+'Invullen groen'!AY542</f>
        <v/>
      </c>
      <c r="L532" s="124">
        <f>+'Invullen groen'!AZ542</f>
        <v/>
      </c>
      <c r="M532" s="124">
        <f>+'Invullen groen'!BA542</f>
        <v/>
      </c>
      <c r="N532" s="124">
        <f>+'Invullen groen'!BB542</f>
        <v/>
      </c>
      <c r="O532" s="124">
        <f>+'Invullen groen'!BC542</f>
        <v/>
      </c>
      <c r="P532" s="124">
        <f>+'Invullen groen'!BD542</f>
        <v/>
      </c>
    </row>
    <row r="533">
      <c r="A533" s="113">
        <f>+'Invullen groen'!A543</f>
        <v/>
      </c>
      <c r="B533" s="154">
        <f>+'Invullen groen'!C543</f>
        <v/>
      </c>
      <c r="C533" s="124">
        <f>+'Invullen groen'!G543</f>
        <v/>
      </c>
      <c r="D533" s="113">
        <f>+'Invullen groen'!M543</f>
        <v/>
      </c>
      <c r="E533" s="114">
        <f>+'Invullen groen'!H543</f>
        <v/>
      </c>
      <c r="F533" s="114">
        <f>+'Invullen groen'!I543</f>
        <v/>
      </c>
      <c r="G533" s="114">
        <f>+'Invullen groen'!J543</f>
        <v/>
      </c>
      <c r="H533" s="114">
        <f>+'Invullen groen'!K543</f>
        <v/>
      </c>
      <c r="I533" s="124">
        <f>+'Invullen groen'!AW543</f>
        <v/>
      </c>
      <c r="J533" s="124">
        <f>+'Invullen groen'!AX543</f>
        <v/>
      </c>
      <c r="K533" s="124">
        <f>+'Invullen groen'!AY543</f>
        <v/>
      </c>
      <c r="L533" s="124">
        <f>+'Invullen groen'!AZ543</f>
        <v/>
      </c>
      <c r="M533" s="124">
        <f>+'Invullen groen'!BA543</f>
        <v/>
      </c>
      <c r="N533" s="124">
        <f>+'Invullen groen'!BB543</f>
        <v/>
      </c>
      <c r="O533" s="124">
        <f>+'Invullen groen'!BC543</f>
        <v/>
      </c>
      <c r="P533" s="124">
        <f>+'Invullen groen'!BD543</f>
        <v/>
      </c>
    </row>
    <row r="534">
      <c r="A534" s="113">
        <f>+'Invullen groen'!A544</f>
        <v/>
      </c>
      <c r="B534" s="154">
        <f>+'Invullen groen'!C544</f>
        <v/>
      </c>
      <c r="C534" s="124">
        <f>+'Invullen groen'!G544</f>
        <v/>
      </c>
      <c r="D534" s="113">
        <f>+'Invullen groen'!M544</f>
        <v/>
      </c>
      <c r="E534" s="114">
        <f>+'Invullen groen'!H544</f>
        <v/>
      </c>
      <c r="F534" s="114">
        <f>+'Invullen groen'!I544</f>
        <v/>
      </c>
      <c r="G534" s="114">
        <f>+'Invullen groen'!J544</f>
        <v/>
      </c>
      <c r="H534" s="114">
        <f>+'Invullen groen'!K544</f>
        <v/>
      </c>
      <c r="I534" s="124">
        <f>+'Invullen groen'!AW544</f>
        <v/>
      </c>
      <c r="J534" s="124">
        <f>+'Invullen groen'!AX544</f>
        <v/>
      </c>
      <c r="K534" s="124">
        <f>+'Invullen groen'!AY544</f>
        <v/>
      </c>
      <c r="L534" s="124">
        <f>+'Invullen groen'!AZ544</f>
        <v/>
      </c>
      <c r="M534" s="124">
        <f>+'Invullen groen'!BA544</f>
        <v/>
      </c>
      <c r="N534" s="124">
        <f>+'Invullen groen'!BB544</f>
        <v/>
      </c>
      <c r="O534" s="124">
        <f>+'Invullen groen'!BC544</f>
        <v/>
      </c>
      <c r="P534" s="124">
        <f>+'Invullen groen'!BD544</f>
        <v/>
      </c>
    </row>
    <row r="535">
      <c r="A535" s="113">
        <f>+'Invullen groen'!A545</f>
        <v/>
      </c>
      <c r="B535" s="154">
        <f>+'Invullen groen'!C545</f>
        <v/>
      </c>
      <c r="C535" s="124">
        <f>+'Invullen groen'!G545</f>
        <v/>
      </c>
      <c r="D535" s="113">
        <f>+'Invullen groen'!M545</f>
        <v/>
      </c>
      <c r="E535" s="114">
        <f>+'Invullen groen'!H545</f>
        <v/>
      </c>
      <c r="F535" s="114">
        <f>+'Invullen groen'!I545</f>
        <v/>
      </c>
      <c r="G535" s="114">
        <f>+'Invullen groen'!J545</f>
        <v/>
      </c>
      <c r="H535" s="114">
        <f>+'Invullen groen'!K545</f>
        <v/>
      </c>
      <c r="I535" s="124">
        <f>+'Invullen groen'!AW545</f>
        <v/>
      </c>
      <c r="J535" s="124">
        <f>+'Invullen groen'!AX545</f>
        <v/>
      </c>
      <c r="K535" s="124">
        <f>+'Invullen groen'!AY545</f>
        <v/>
      </c>
      <c r="L535" s="124">
        <f>+'Invullen groen'!AZ545</f>
        <v/>
      </c>
      <c r="M535" s="124">
        <f>+'Invullen groen'!BA545</f>
        <v/>
      </c>
      <c r="N535" s="124">
        <f>+'Invullen groen'!BB545</f>
        <v/>
      </c>
      <c r="O535" s="124">
        <f>+'Invullen groen'!BC545</f>
        <v/>
      </c>
      <c r="P535" s="124">
        <f>+'Invullen groen'!BD545</f>
        <v/>
      </c>
    </row>
    <row r="536">
      <c r="A536" s="113">
        <f>+'Invullen groen'!A546</f>
        <v/>
      </c>
      <c r="B536" s="154">
        <f>+'Invullen groen'!C546</f>
        <v/>
      </c>
      <c r="C536" s="124">
        <f>+'Invullen groen'!G546</f>
        <v/>
      </c>
      <c r="D536" s="113">
        <f>+'Invullen groen'!M546</f>
        <v/>
      </c>
      <c r="E536" s="114">
        <f>+'Invullen groen'!H546</f>
        <v/>
      </c>
      <c r="F536" s="114">
        <f>+'Invullen groen'!I546</f>
        <v/>
      </c>
      <c r="G536" s="114">
        <f>+'Invullen groen'!J546</f>
        <v/>
      </c>
      <c r="H536" s="114">
        <f>+'Invullen groen'!K546</f>
        <v/>
      </c>
      <c r="I536" s="124">
        <f>+'Invullen groen'!AW546</f>
        <v/>
      </c>
      <c r="J536" s="124">
        <f>+'Invullen groen'!AX546</f>
        <v/>
      </c>
      <c r="K536" s="124">
        <f>+'Invullen groen'!AY546</f>
        <v/>
      </c>
      <c r="L536" s="124">
        <f>+'Invullen groen'!AZ546</f>
        <v/>
      </c>
      <c r="M536" s="124">
        <f>+'Invullen groen'!BA546</f>
        <v/>
      </c>
      <c r="N536" s="124">
        <f>+'Invullen groen'!BB546</f>
        <v/>
      </c>
      <c r="O536" s="124">
        <f>+'Invullen groen'!BC546</f>
        <v/>
      </c>
      <c r="P536" s="124">
        <f>+'Invullen groen'!BD546</f>
        <v/>
      </c>
    </row>
    <row r="537">
      <c r="A537" s="113">
        <f>+'Invullen groen'!A547</f>
        <v/>
      </c>
      <c r="B537" s="154">
        <f>+'Invullen groen'!C547</f>
        <v/>
      </c>
      <c r="C537" s="124">
        <f>+'Invullen groen'!G547</f>
        <v/>
      </c>
      <c r="D537" s="113">
        <f>+'Invullen groen'!M547</f>
        <v/>
      </c>
      <c r="E537" s="114">
        <f>+'Invullen groen'!H547</f>
        <v/>
      </c>
      <c r="F537" s="114">
        <f>+'Invullen groen'!I547</f>
        <v/>
      </c>
      <c r="G537" s="114">
        <f>+'Invullen groen'!J547</f>
        <v/>
      </c>
      <c r="H537" s="114">
        <f>+'Invullen groen'!K547</f>
        <v/>
      </c>
      <c r="I537" s="124">
        <f>+'Invullen groen'!AW547</f>
        <v/>
      </c>
      <c r="J537" s="124">
        <f>+'Invullen groen'!AX547</f>
        <v/>
      </c>
      <c r="K537" s="124">
        <f>+'Invullen groen'!AY547</f>
        <v/>
      </c>
      <c r="L537" s="124">
        <f>+'Invullen groen'!AZ547</f>
        <v/>
      </c>
      <c r="M537" s="124">
        <f>+'Invullen groen'!BA547</f>
        <v/>
      </c>
      <c r="N537" s="124">
        <f>+'Invullen groen'!BB547</f>
        <v/>
      </c>
      <c r="O537" s="124">
        <f>+'Invullen groen'!BC547</f>
        <v/>
      </c>
      <c r="P537" s="124">
        <f>+'Invullen groen'!BD547</f>
        <v/>
      </c>
    </row>
    <row r="538">
      <c r="A538" s="113">
        <f>+'Invullen groen'!A548</f>
        <v/>
      </c>
      <c r="B538" s="154">
        <f>+'Invullen groen'!C548</f>
        <v/>
      </c>
      <c r="C538" s="124">
        <f>+'Invullen groen'!G548</f>
        <v/>
      </c>
      <c r="D538" s="113">
        <f>+'Invullen groen'!M548</f>
        <v/>
      </c>
      <c r="E538" s="114">
        <f>+'Invullen groen'!H548</f>
        <v/>
      </c>
      <c r="F538" s="114">
        <f>+'Invullen groen'!I548</f>
        <v/>
      </c>
      <c r="G538" s="114">
        <f>+'Invullen groen'!J548</f>
        <v/>
      </c>
      <c r="H538" s="114">
        <f>+'Invullen groen'!K548</f>
        <v/>
      </c>
      <c r="I538" s="124">
        <f>+'Invullen groen'!AW548</f>
        <v/>
      </c>
      <c r="J538" s="124">
        <f>+'Invullen groen'!AX548</f>
        <v/>
      </c>
      <c r="K538" s="124">
        <f>+'Invullen groen'!AY548</f>
        <v/>
      </c>
      <c r="L538" s="124">
        <f>+'Invullen groen'!AZ548</f>
        <v/>
      </c>
      <c r="M538" s="124">
        <f>+'Invullen groen'!BA548</f>
        <v/>
      </c>
      <c r="N538" s="124">
        <f>+'Invullen groen'!BB548</f>
        <v/>
      </c>
      <c r="O538" s="124">
        <f>+'Invullen groen'!BC548</f>
        <v/>
      </c>
      <c r="P538" s="124">
        <f>+'Invullen groen'!BD548</f>
        <v/>
      </c>
    </row>
    <row r="539">
      <c r="A539" s="113">
        <f>+'Invullen groen'!A549</f>
        <v/>
      </c>
      <c r="B539" s="154">
        <f>+'Invullen groen'!C549</f>
        <v/>
      </c>
      <c r="C539" s="124">
        <f>+'Invullen groen'!G549</f>
        <v/>
      </c>
      <c r="D539" s="113">
        <f>+'Invullen groen'!M549</f>
        <v/>
      </c>
      <c r="E539" s="114">
        <f>+'Invullen groen'!H549</f>
        <v/>
      </c>
      <c r="F539" s="114">
        <f>+'Invullen groen'!I549</f>
        <v/>
      </c>
      <c r="G539" s="114">
        <f>+'Invullen groen'!J549</f>
        <v/>
      </c>
      <c r="H539" s="114">
        <f>+'Invullen groen'!K549</f>
        <v/>
      </c>
      <c r="I539" s="124">
        <f>+'Invullen groen'!AW549</f>
        <v/>
      </c>
      <c r="J539" s="124">
        <f>+'Invullen groen'!AX549</f>
        <v/>
      </c>
      <c r="K539" s="124">
        <f>+'Invullen groen'!AY549</f>
        <v/>
      </c>
      <c r="L539" s="124">
        <f>+'Invullen groen'!AZ549</f>
        <v/>
      </c>
      <c r="M539" s="124">
        <f>+'Invullen groen'!BA549</f>
        <v/>
      </c>
      <c r="N539" s="124">
        <f>+'Invullen groen'!BB549</f>
        <v/>
      </c>
      <c r="O539" s="124">
        <f>+'Invullen groen'!BC549</f>
        <v/>
      </c>
      <c r="P539" s="124">
        <f>+'Invullen groen'!BD549</f>
        <v/>
      </c>
    </row>
    <row r="540">
      <c r="A540" s="113">
        <f>+'Invullen groen'!A550</f>
        <v/>
      </c>
      <c r="B540" s="154">
        <f>+'Invullen groen'!C550</f>
        <v/>
      </c>
      <c r="C540" s="124">
        <f>+'Invullen groen'!G550</f>
        <v/>
      </c>
      <c r="D540" s="113">
        <f>+'Invullen groen'!M550</f>
        <v/>
      </c>
      <c r="E540" s="114">
        <f>+'Invullen groen'!H550</f>
        <v/>
      </c>
      <c r="F540" s="114">
        <f>+'Invullen groen'!I550</f>
        <v/>
      </c>
      <c r="G540" s="114">
        <f>+'Invullen groen'!J550</f>
        <v/>
      </c>
      <c r="H540" s="114">
        <f>+'Invullen groen'!K550</f>
        <v/>
      </c>
      <c r="I540" s="124">
        <f>+'Invullen groen'!AW550</f>
        <v/>
      </c>
      <c r="J540" s="124">
        <f>+'Invullen groen'!AX550</f>
        <v/>
      </c>
      <c r="K540" s="124">
        <f>+'Invullen groen'!AY550</f>
        <v/>
      </c>
      <c r="L540" s="124">
        <f>+'Invullen groen'!AZ550</f>
        <v/>
      </c>
      <c r="M540" s="124">
        <f>+'Invullen groen'!BA550</f>
        <v/>
      </c>
      <c r="N540" s="124">
        <f>+'Invullen groen'!BB550</f>
        <v/>
      </c>
      <c r="O540" s="124">
        <f>+'Invullen groen'!BC550</f>
        <v/>
      </c>
      <c r="P540" s="124">
        <f>+'Invullen groen'!BD550</f>
        <v/>
      </c>
    </row>
    <row r="541">
      <c r="A541" s="113">
        <f>+'Invullen groen'!A551</f>
        <v/>
      </c>
      <c r="B541" s="154">
        <f>+'Invullen groen'!C551</f>
        <v/>
      </c>
      <c r="C541" s="124">
        <f>+'Invullen groen'!G551</f>
        <v/>
      </c>
      <c r="D541" s="113">
        <f>+'Invullen groen'!M551</f>
        <v/>
      </c>
      <c r="E541" s="114">
        <f>+'Invullen groen'!H551</f>
        <v/>
      </c>
      <c r="F541" s="114">
        <f>+'Invullen groen'!I551</f>
        <v/>
      </c>
      <c r="G541" s="114">
        <f>+'Invullen groen'!J551</f>
        <v/>
      </c>
      <c r="H541" s="114">
        <f>+'Invullen groen'!K551</f>
        <v/>
      </c>
      <c r="I541" s="124">
        <f>+'Invullen groen'!AW551</f>
        <v/>
      </c>
      <c r="J541" s="124">
        <f>+'Invullen groen'!AX551</f>
        <v/>
      </c>
      <c r="K541" s="124">
        <f>+'Invullen groen'!AY551</f>
        <v/>
      </c>
      <c r="L541" s="124">
        <f>+'Invullen groen'!AZ551</f>
        <v/>
      </c>
      <c r="M541" s="124">
        <f>+'Invullen groen'!BA551</f>
        <v/>
      </c>
      <c r="N541" s="124">
        <f>+'Invullen groen'!BB551</f>
        <v/>
      </c>
      <c r="O541" s="124">
        <f>+'Invullen groen'!BC551</f>
        <v/>
      </c>
      <c r="P541" s="124">
        <f>+'Invullen groen'!BD551</f>
        <v/>
      </c>
    </row>
    <row r="542">
      <c r="A542" s="113">
        <f>+'Invullen groen'!A552</f>
        <v/>
      </c>
      <c r="B542" s="154">
        <f>+'Invullen groen'!C552</f>
        <v/>
      </c>
      <c r="C542" s="124">
        <f>+'Invullen groen'!G552</f>
        <v/>
      </c>
      <c r="D542" s="113">
        <f>+'Invullen groen'!M552</f>
        <v/>
      </c>
      <c r="E542" s="114">
        <f>+'Invullen groen'!H552</f>
        <v/>
      </c>
      <c r="F542" s="114">
        <f>+'Invullen groen'!I552</f>
        <v/>
      </c>
      <c r="G542" s="114">
        <f>+'Invullen groen'!J552</f>
        <v/>
      </c>
      <c r="H542" s="114">
        <f>+'Invullen groen'!K552</f>
        <v/>
      </c>
      <c r="I542" s="124">
        <f>+'Invullen groen'!AW552</f>
        <v/>
      </c>
      <c r="J542" s="124">
        <f>+'Invullen groen'!AX552</f>
        <v/>
      </c>
      <c r="K542" s="124">
        <f>+'Invullen groen'!AY552</f>
        <v/>
      </c>
      <c r="L542" s="124">
        <f>+'Invullen groen'!AZ552</f>
        <v/>
      </c>
      <c r="M542" s="124">
        <f>+'Invullen groen'!BA552</f>
        <v/>
      </c>
      <c r="N542" s="124">
        <f>+'Invullen groen'!BB552</f>
        <v/>
      </c>
      <c r="O542" s="124">
        <f>+'Invullen groen'!BC552</f>
        <v/>
      </c>
      <c r="P542" s="124">
        <f>+'Invullen groen'!BD552</f>
        <v/>
      </c>
    </row>
    <row r="543">
      <c r="A543" s="113">
        <f>+'Invullen groen'!A553</f>
        <v/>
      </c>
      <c r="B543" s="154">
        <f>+'Invullen groen'!C553</f>
        <v/>
      </c>
      <c r="C543" s="124">
        <f>+'Invullen groen'!G553</f>
        <v/>
      </c>
      <c r="D543" s="113">
        <f>+'Invullen groen'!M553</f>
        <v/>
      </c>
      <c r="E543" s="114">
        <f>+'Invullen groen'!H553</f>
        <v/>
      </c>
      <c r="F543" s="114">
        <f>+'Invullen groen'!I553</f>
        <v/>
      </c>
      <c r="G543" s="114">
        <f>+'Invullen groen'!J553</f>
        <v/>
      </c>
      <c r="H543" s="114">
        <f>+'Invullen groen'!K553</f>
        <v/>
      </c>
      <c r="I543" s="124">
        <f>+'Invullen groen'!AW553</f>
        <v/>
      </c>
      <c r="J543" s="124">
        <f>+'Invullen groen'!AX553</f>
        <v/>
      </c>
      <c r="K543" s="124">
        <f>+'Invullen groen'!AY553</f>
        <v/>
      </c>
      <c r="L543" s="124">
        <f>+'Invullen groen'!AZ553</f>
        <v/>
      </c>
      <c r="M543" s="124">
        <f>+'Invullen groen'!BA553</f>
        <v/>
      </c>
      <c r="N543" s="124">
        <f>+'Invullen groen'!BB553</f>
        <v/>
      </c>
      <c r="O543" s="124">
        <f>+'Invullen groen'!BC553</f>
        <v/>
      </c>
      <c r="P543" s="124">
        <f>+'Invullen groen'!BD553</f>
        <v/>
      </c>
    </row>
    <row r="544">
      <c r="A544" s="113">
        <f>+'Invullen groen'!A554</f>
        <v/>
      </c>
      <c r="B544" s="154">
        <f>+'Invullen groen'!C554</f>
        <v/>
      </c>
      <c r="C544" s="124">
        <f>+'Invullen groen'!G554</f>
        <v/>
      </c>
      <c r="D544" s="113">
        <f>+'Invullen groen'!M554</f>
        <v/>
      </c>
      <c r="E544" s="114">
        <f>+'Invullen groen'!H554</f>
        <v/>
      </c>
      <c r="F544" s="114">
        <f>+'Invullen groen'!I554</f>
        <v/>
      </c>
      <c r="G544" s="114">
        <f>+'Invullen groen'!J554</f>
        <v/>
      </c>
      <c r="H544" s="114">
        <f>+'Invullen groen'!K554</f>
        <v/>
      </c>
      <c r="I544" s="124">
        <f>+'Invullen groen'!AW554</f>
        <v/>
      </c>
      <c r="J544" s="124">
        <f>+'Invullen groen'!AX554</f>
        <v/>
      </c>
      <c r="K544" s="124">
        <f>+'Invullen groen'!AY554</f>
        <v/>
      </c>
      <c r="L544" s="124">
        <f>+'Invullen groen'!AZ554</f>
        <v/>
      </c>
      <c r="M544" s="124">
        <f>+'Invullen groen'!BA554</f>
        <v/>
      </c>
      <c r="N544" s="124">
        <f>+'Invullen groen'!BB554</f>
        <v/>
      </c>
      <c r="O544" s="124">
        <f>+'Invullen groen'!BC554</f>
        <v/>
      </c>
      <c r="P544" s="124">
        <f>+'Invullen groen'!BD554</f>
        <v/>
      </c>
    </row>
    <row r="545">
      <c r="A545" s="113">
        <f>+'Invullen groen'!A555</f>
        <v/>
      </c>
      <c r="B545" s="154">
        <f>+'Invullen groen'!C555</f>
        <v/>
      </c>
      <c r="C545" s="124">
        <f>+'Invullen groen'!G555</f>
        <v/>
      </c>
      <c r="D545" s="113">
        <f>+'Invullen groen'!M555</f>
        <v/>
      </c>
      <c r="E545" s="114">
        <f>+'Invullen groen'!H555</f>
        <v/>
      </c>
      <c r="F545" s="114">
        <f>+'Invullen groen'!I555</f>
        <v/>
      </c>
      <c r="G545" s="114">
        <f>+'Invullen groen'!J555</f>
        <v/>
      </c>
      <c r="H545" s="114">
        <f>+'Invullen groen'!K555</f>
        <v/>
      </c>
      <c r="I545" s="124">
        <f>+'Invullen groen'!AW555</f>
        <v/>
      </c>
      <c r="J545" s="124">
        <f>+'Invullen groen'!AX555</f>
        <v/>
      </c>
      <c r="K545" s="124">
        <f>+'Invullen groen'!AY555</f>
        <v/>
      </c>
      <c r="L545" s="124">
        <f>+'Invullen groen'!AZ555</f>
        <v/>
      </c>
      <c r="M545" s="124">
        <f>+'Invullen groen'!BA555</f>
        <v/>
      </c>
      <c r="N545" s="124">
        <f>+'Invullen groen'!BB555</f>
        <v/>
      </c>
      <c r="O545" s="124">
        <f>+'Invullen groen'!BC555</f>
        <v/>
      </c>
      <c r="P545" s="124">
        <f>+'Invullen groen'!BD555</f>
        <v/>
      </c>
    </row>
    <row r="546">
      <c r="A546" s="113">
        <f>+'Invullen groen'!A556</f>
        <v/>
      </c>
      <c r="B546" s="154">
        <f>+'Invullen groen'!C556</f>
        <v/>
      </c>
      <c r="C546" s="124">
        <f>+'Invullen groen'!G556</f>
        <v/>
      </c>
      <c r="D546" s="113">
        <f>+'Invullen groen'!M556</f>
        <v/>
      </c>
      <c r="E546" s="114">
        <f>+'Invullen groen'!H556</f>
        <v/>
      </c>
      <c r="F546" s="114">
        <f>+'Invullen groen'!I556</f>
        <v/>
      </c>
      <c r="G546" s="114">
        <f>+'Invullen groen'!J556</f>
        <v/>
      </c>
      <c r="H546" s="114">
        <f>+'Invullen groen'!K556</f>
        <v/>
      </c>
      <c r="I546" s="124">
        <f>+'Invullen groen'!AW556</f>
        <v/>
      </c>
      <c r="J546" s="124">
        <f>+'Invullen groen'!AX556</f>
        <v/>
      </c>
      <c r="K546" s="124">
        <f>+'Invullen groen'!AY556</f>
        <v/>
      </c>
      <c r="L546" s="124">
        <f>+'Invullen groen'!AZ556</f>
        <v/>
      </c>
      <c r="M546" s="124">
        <f>+'Invullen groen'!BA556</f>
        <v/>
      </c>
      <c r="N546" s="124">
        <f>+'Invullen groen'!BB556</f>
        <v/>
      </c>
      <c r="O546" s="124">
        <f>+'Invullen groen'!BC556</f>
        <v/>
      </c>
      <c r="P546" s="124">
        <f>+'Invullen groen'!BD556</f>
        <v/>
      </c>
    </row>
    <row r="547">
      <c r="A547" s="113">
        <f>+'Invullen groen'!A557</f>
        <v/>
      </c>
      <c r="B547" s="154">
        <f>+'Invullen groen'!C557</f>
        <v/>
      </c>
      <c r="C547" s="124">
        <f>+'Invullen groen'!G557</f>
        <v/>
      </c>
      <c r="D547" s="113">
        <f>+'Invullen groen'!M557</f>
        <v/>
      </c>
      <c r="E547" s="114">
        <f>+'Invullen groen'!H557</f>
        <v/>
      </c>
      <c r="F547" s="114">
        <f>+'Invullen groen'!I557</f>
        <v/>
      </c>
      <c r="G547" s="114">
        <f>+'Invullen groen'!J557</f>
        <v/>
      </c>
      <c r="H547" s="114">
        <f>+'Invullen groen'!K557</f>
        <v/>
      </c>
      <c r="I547" s="124">
        <f>+'Invullen groen'!AW557</f>
        <v/>
      </c>
      <c r="J547" s="124">
        <f>+'Invullen groen'!AX557</f>
        <v/>
      </c>
      <c r="K547" s="124">
        <f>+'Invullen groen'!AY557</f>
        <v/>
      </c>
      <c r="L547" s="124">
        <f>+'Invullen groen'!AZ557</f>
        <v/>
      </c>
      <c r="M547" s="124">
        <f>+'Invullen groen'!BA557</f>
        <v/>
      </c>
      <c r="N547" s="124">
        <f>+'Invullen groen'!BB557</f>
        <v/>
      </c>
      <c r="O547" s="124">
        <f>+'Invullen groen'!BC557</f>
        <v/>
      </c>
      <c r="P547" s="124">
        <f>+'Invullen groen'!BD557</f>
        <v/>
      </c>
    </row>
    <row r="548">
      <c r="A548" s="113">
        <f>+'Invullen groen'!A558</f>
        <v/>
      </c>
      <c r="B548" s="154">
        <f>+'Invullen groen'!C558</f>
        <v/>
      </c>
      <c r="C548" s="124">
        <f>+'Invullen groen'!G558</f>
        <v/>
      </c>
      <c r="D548" s="113">
        <f>+'Invullen groen'!M558</f>
        <v/>
      </c>
      <c r="E548" s="114">
        <f>+'Invullen groen'!H558</f>
        <v/>
      </c>
      <c r="F548" s="114">
        <f>+'Invullen groen'!I558</f>
        <v/>
      </c>
      <c r="G548" s="114">
        <f>+'Invullen groen'!J558</f>
        <v/>
      </c>
      <c r="H548" s="114">
        <f>+'Invullen groen'!K558</f>
        <v/>
      </c>
      <c r="I548" s="124">
        <f>+'Invullen groen'!AW558</f>
        <v/>
      </c>
      <c r="J548" s="124">
        <f>+'Invullen groen'!AX558</f>
        <v/>
      </c>
      <c r="K548" s="124">
        <f>+'Invullen groen'!AY558</f>
        <v/>
      </c>
      <c r="L548" s="124">
        <f>+'Invullen groen'!AZ558</f>
        <v/>
      </c>
      <c r="M548" s="124">
        <f>+'Invullen groen'!BA558</f>
        <v/>
      </c>
      <c r="N548" s="124">
        <f>+'Invullen groen'!BB558</f>
        <v/>
      </c>
      <c r="O548" s="124">
        <f>+'Invullen groen'!BC558</f>
        <v/>
      </c>
      <c r="P548" s="124">
        <f>+'Invullen groen'!BD558</f>
        <v/>
      </c>
    </row>
    <row r="549">
      <c r="A549" s="113">
        <f>+'Invullen groen'!A559</f>
        <v/>
      </c>
      <c r="B549" s="154">
        <f>+'Invullen groen'!C559</f>
        <v/>
      </c>
      <c r="C549" s="124">
        <f>+'Invullen groen'!G559</f>
        <v/>
      </c>
      <c r="D549" s="113">
        <f>+'Invullen groen'!M559</f>
        <v/>
      </c>
      <c r="E549" s="114">
        <f>+'Invullen groen'!H559</f>
        <v/>
      </c>
      <c r="F549" s="114">
        <f>+'Invullen groen'!I559</f>
        <v/>
      </c>
      <c r="G549" s="114">
        <f>+'Invullen groen'!J559</f>
        <v/>
      </c>
      <c r="H549" s="114">
        <f>+'Invullen groen'!K559</f>
        <v/>
      </c>
      <c r="I549" s="124">
        <f>+'Invullen groen'!AW559</f>
        <v/>
      </c>
      <c r="J549" s="124">
        <f>+'Invullen groen'!AX559</f>
        <v/>
      </c>
      <c r="K549" s="124">
        <f>+'Invullen groen'!AY559</f>
        <v/>
      </c>
      <c r="L549" s="124">
        <f>+'Invullen groen'!AZ559</f>
        <v/>
      </c>
      <c r="M549" s="124">
        <f>+'Invullen groen'!BA559</f>
        <v/>
      </c>
      <c r="N549" s="124">
        <f>+'Invullen groen'!BB559</f>
        <v/>
      </c>
      <c r="O549" s="124">
        <f>+'Invullen groen'!BC559</f>
        <v/>
      </c>
      <c r="P549" s="124">
        <f>+'Invullen groen'!BD559</f>
        <v/>
      </c>
    </row>
    <row r="550">
      <c r="A550" s="113">
        <f>+'Invullen groen'!A560</f>
        <v/>
      </c>
      <c r="B550" s="154">
        <f>+'Invullen groen'!C560</f>
        <v/>
      </c>
      <c r="C550" s="124">
        <f>+'Invullen groen'!G560</f>
        <v/>
      </c>
      <c r="D550" s="113">
        <f>+'Invullen groen'!M560</f>
        <v/>
      </c>
      <c r="E550" s="114">
        <f>+'Invullen groen'!H560</f>
        <v/>
      </c>
      <c r="F550" s="114">
        <f>+'Invullen groen'!I560</f>
        <v/>
      </c>
      <c r="G550" s="114">
        <f>+'Invullen groen'!J560</f>
        <v/>
      </c>
      <c r="H550" s="114">
        <f>+'Invullen groen'!K560</f>
        <v/>
      </c>
      <c r="I550" s="124">
        <f>+'Invullen groen'!AW560</f>
        <v/>
      </c>
      <c r="J550" s="124">
        <f>+'Invullen groen'!AX560</f>
        <v/>
      </c>
      <c r="K550" s="124">
        <f>+'Invullen groen'!AY560</f>
        <v/>
      </c>
      <c r="L550" s="124">
        <f>+'Invullen groen'!AZ560</f>
        <v/>
      </c>
      <c r="M550" s="124">
        <f>+'Invullen groen'!BA560</f>
        <v/>
      </c>
      <c r="N550" s="124">
        <f>+'Invullen groen'!BB560</f>
        <v/>
      </c>
      <c r="O550" s="124">
        <f>+'Invullen groen'!BC560</f>
        <v/>
      </c>
      <c r="P550" s="124">
        <f>+'Invullen groen'!BD560</f>
        <v/>
      </c>
    </row>
    <row r="551">
      <c r="A551" s="113">
        <f>+'Invullen groen'!A561</f>
        <v/>
      </c>
      <c r="B551" s="154">
        <f>+'Invullen groen'!C561</f>
        <v/>
      </c>
      <c r="C551" s="124">
        <f>+'Invullen groen'!G561</f>
        <v/>
      </c>
      <c r="D551" s="113">
        <f>+'Invullen groen'!M561</f>
        <v/>
      </c>
      <c r="E551" s="114">
        <f>+'Invullen groen'!H561</f>
        <v/>
      </c>
      <c r="F551" s="114">
        <f>+'Invullen groen'!I561</f>
        <v/>
      </c>
      <c r="G551" s="114">
        <f>+'Invullen groen'!J561</f>
        <v/>
      </c>
      <c r="H551" s="114">
        <f>+'Invullen groen'!K561</f>
        <v/>
      </c>
      <c r="I551" s="124">
        <f>+'Invullen groen'!AW561</f>
        <v/>
      </c>
      <c r="J551" s="124">
        <f>+'Invullen groen'!AX561</f>
        <v/>
      </c>
      <c r="K551" s="124">
        <f>+'Invullen groen'!AY561</f>
        <v/>
      </c>
      <c r="L551" s="124">
        <f>+'Invullen groen'!AZ561</f>
        <v/>
      </c>
      <c r="M551" s="124">
        <f>+'Invullen groen'!BA561</f>
        <v/>
      </c>
      <c r="N551" s="124">
        <f>+'Invullen groen'!BB561</f>
        <v/>
      </c>
      <c r="O551" s="124">
        <f>+'Invullen groen'!BC561</f>
        <v/>
      </c>
      <c r="P551" s="124">
        <f>+'Invullen groen'!BD561</f>
        <v/>
      </c>
    </row>
    <row r="552">
      <c r="A552" s="113">
        <f>+'Invullen groen'!A562</f>
        <v/>
      </c>
      <c r="B552" s="154">
        <f>+'Invullen groen'!C562</f>
        <v/>
      </c>
      <c r="C552" s="124">
        <f>+'Invullen groen'!G562</f>
        <v/>
      </c>
      <c r="D552" s="113">
        <f>+'Invullen groen'!M562</f>
        <v/>
      </c>
      <c r="E552" s="114">
        <f>+'Invullen groen'!H562</f>
        <v/>
      </c>
      <c r="F552" s="114">
        <f>+'Invullen groen'!I562</f>
        <v/>
      </c>
      <c r="G552" s="114">
        <f>+'Invullen groen'!J562</f>
        <v/>
      </c>
      <c r="H552" s="114">
        <f>+'Invullen groen'!K562</f>
        <v/>
      </c>
      <c r="I552" s="124">
        <f>+'Invullen groen'!AW562</f>
        <v/>
      </c>
      <c r="J552" s="124">
        <f>+'Invullen groen'!AX562</f>
        <v/>
      </c>
      <c r="K552" s="124">
        <f>+'Invullen groen'!AY562</f>
        <v/>
      </c>
      <c r="L552" s="124">
        <f>+'Invullen groen'!AZ562</f>
        <v/>
      </c>
      <c r="M552" s="124">
        <f>+'Invullen groen'!BA562</f>
        <v/>
      </c>
      <c r="N552" s="124">
        <f>+'Invullen groen'!BB562</f>
        <v/>
      </c>
      <c r="O552" s="124">
        <f>+'Invullen groen'!BC562</f>
        <v/>
      </c>
      <c r="P552" s="124">
        <f>+'Invullen groen'!BD562</f>
        <v/>
      </c>
    </row>
    <row r="553">
      <c r="A553" s="113">
        <f>+'Invullen groen'!A563</f>
        <v/>
      </c>
      <c r="B553" s="154">
        <f>+'Invullen groen'!C563</f>
        <v/>
      </c>
      <c r="C553" s="124">
        <f>+'Invullen groen'!G563</f>
        <v/>
      </c>
      <c r="D553" s="113">
        <f>+'Invullen groen'!M563</f>
        <v/>
      </c>
      <c r="E553" s="114">
        <f>+'Invullen groen'!H563</f>
        <v/>
      </c>
      <c r="F553" s="114">
        <f>+'Invullen groen'!I563</f>
        <v/>
      </c>
      <c r="G553" s="114">
        <f>+'Invullen groen'!J563</f>
        <v/>
      </c>
      <c r="H553" s="114">
        <f>+'Invullen groen'!K563</f>
        <v/>
      </c>
      <c r="I553" s="124">
        <f>+'Invullen groen'!AW563</f>
        <v/>
      </c>
      <c r="J553" s="124">
        <f>+'Invullen groen'!AX563</f>
        <v/>
      </c>
      <c r="K553" s="124">
        <f>+'Invullen groen'!AY563</f>
        <v/>
      </c>
      <c r="L553" s="124">
        <f>+'Invullen groen'!AZ563</f>
        <v/>
      </c>
      <c r="M553" s="124">
        <f>+'Invullen groen'!BA563</f>
        <v/>
      </c>
      <c r="N553" s="124">
        <f>+'Invullen groen'!BB563</f>
        <v/>
      </c>
      <c r="O553" s="124">
        <f>+'Invullen groen'!BC563</f>
        <v/>
      </c>
      <c r="P553" s="124">
        <f>+'Invullen groen'!BD563</f>
        <v/>
      </c>
    </row>
    <row r="554">
      <c r="A554" s="113">
        <f>+'Invullen groen'!A564</f>
        <v/>
      </c>
      <c r="B554" s="154">
        <f>+'Invullen groen'!C564</f>
        <v/>
      </c>
      <c r="C554" s="124">
        <f>+'Invullen groen'!G564</f>
        <v/>
      </c>
      <c r="D554" s="113">
        <f>+'Invullen groen'!M564</f>
        <v/>
      </c>
      <c r="E554" s="114">
        <f>+'Invullen groen'!H564</f>
        <v/>
      </c>
      <c r="F554" s="114">
        <f>+'Invullen groen'!I564</f>
        <v/>
      </c>
      <c r="G554" s="114">
        <f>+'Invullen groen'!J564</f>
        <v/>
      </c>
      <c r="H554" s="114">
        <f>+'Invullen groen'!K564</f>
        <v/>
      </c>
      <c r="I554" s="124">
        <f>+'Invullen groen'!AW564</f>
        <v/>
      </c>
      <c r="J554" s="124">
        <f>+'Invullen groen'!AX564</f>
        <v/>
      </c>
      <c r="K554" s="124">
        <f>+'Invullen groen'!AY564</f>
        <v/>
      </c>
      <c r="L554" s="124">
        <f>+'Invullen groen'!AZ564</f>
        <v/>
      </c>
      <c r="M554" s="124">
        <f>+'Invullen groen'!BA564</f>
        <v/>
      </c>
      <c r="N554" s="124">
        <f>+'Invullen groen'!BB564</f>
        <v/>
      </c>
      <c r="O554" s="124">
        <f>+'Invullen groen'!BC564</f>
        <v/>
      </c>
      <c r="P554" s="124">
        <f>+'Invullen groen'!BD564</f>
        <v/>
      </c>
    </row>
    <row r="555">
      <c r="A555" s="113">
        <f>+'Invullen groen'!A565</f>
        <v/>
      </c>
      <c r="B555" s="154">
        <f>+'Invullen groen'!C565</f>
        <v/>
      </c>
      <c r="C555" s="124">
        <f>+'Invullen groen'!G565</f>
        <v/>
      </c>
      <c r="D555" s="113">
        <f>+'Invullen groen'!M565</f>
        <v/>
      </c>
      <c r="E555" s="114">
        <f>+'Invullen groen'!H565</f>
        <v/>
      </c>
      <c r="F555" s="114">
        <f>+'Invullen groen'!I565</f>
        <v/>
      </c>
      <c r="G555" s="114">
        <f>+'Invullen groen'!J565</f>
        <v/>
      </c>
      <c r="H555" s="114">
        <f>+'Invullen groen'!K565</f>
        <v/>
      </c>
      <c r="I555" s="124">
        <f>+'Invullen groen'!AW565</f>
        <v/>
      </c>
      <c r="J555" s="124">
        <f>+'Invullen groen'!AX565</f>
        <v/>
      </c>
      <c r="K555" s="124">
        <f>+'Invullen groen'!AY565</f>
        <v/>
      </c>
      <c r="L555" s="124">
        <f>+'Invullen groen'!AZ565</f>
        <v/>
      </c>
      <c r="M555" s="124">
        <f>+'Invullen groen'!BA565</f>
        <v/>
      </c>
      <c r="N555" s="124">
        <f>+'Invullen groen'!BB565</f>
        <v/>
      </c>
      <c r="O555" s="124">
        <f>+'Invullen groen'!BC565</f>
        <v/>
      </c>
      <c r="P555" s="124">
        <f>+'Invullen groen'!BD565</f>
        <v/>
      </c>
    </row>
    <row r="556">
      <c r="A556" s="113">
        <f>+'Invullen groen'!A566</f>
        <v/>
      </c>
      <c r="B556" s="154">
        <f>+'Invullen groen'!C566</f>
        <v/>
      </c>
      <c r="C556" s="124">
        <f>+'Invullen groen'!G566</f>
        <v/>
      </c>
      <c r="D556" s="113">
        <f>+'Invullen groen'!M566</f>
        <v/>
      </c>
      <c r="E556" s="114">
        <f>+'Invullen groen'!H566</f>
        <v/>
      </c>
      <c r="F556" s="114">
        <f>+'Invullen groen'!I566</f>
        <v/>
      </c>
      <c r="G556" s="114">
        <f>+'Invullen groen'!J566</f>
        <v/>
      </c>
      <c r="H556" s="114">
        <f>+'Invullen groen'!K566</f>
        <v/>
      </c>
      <c r="I556" s="124">
        <f>+'Invullen groen'!AW566</f>
        <v/>
      </c>
      <c r="J556" s="124">
        <f>+'Invullen groen'!AX566</f>
        <v/>
      </c>
      <c r="K556" s="124">
        <f>+'Invullen groen'!AY566</f>
        <v/>
      </c>
      <c r="L556" s="124">
        <f>+'Invullen groen'!AZ566</f>
        <v/>
      </c>
      <c r="M556" s="124">
        <f>+'Invullen groen'!BA566</f>
        <v/>
      </c>
      <c r="N556" s="124">
        <f>+'Invullen groen'!BB566</f>
        <v/>
      </c>
      <c r="O556" s="124">
        <f>+'Invullen groen'!BC566</f>
        <v/>
      </c>
      <c r="P556" s="124">
        <f>+'Invullen groen'!BD566</f>
        <v/>
      </c>
    </row>
    <row r="557">
      <c r="A557" s="113">
        <f>+'Invullen groen'!A567</f>
        <v/>
      </c>
      <c r="B557" s="154">
        <f>+'Invullen groen'!C567</f>
        <v/>
      </c>
      <c r="C557" s="124">
        <f>+'Invullen groen'!G567</f>
        <v/>
      </c>
      <c r="D557" s="113">
        <f>+'Invullen groen'!M567</f>
        <v/>
      </c>
      <c r="E557" s="114">
        <f>+'Invullen groen'!H567</f>
        <v/>
      </c>
      <c r="F557" s="114">
        <f>+'Invullen groen'!I567</f>
        <v/>
      </c>
      <c r="G557" s="114">
        <f>+'Invullen groen'!J567</f>
        <v/>
      </c>
      <c r="H557" s="114">
        <f>+'Invullen groen'!K567</f>
        <v/>
      </c>
      <c r="I557" s="124">
        <f>+'Invullen groen'!AW567</f>
        <v/>
      </c>
      <c r="J557" s="124">
        <f>+'Invullen groen'!AX567</f>
        <v/>
      </c>
      <c r="K557" s="124">
        <f>+'Invullen groen'!AY567</f>
        <v/>
      </c>
      <c r="L557" s="124">
        <f>+'Invullen groen'!AZ567</f>
        <v/>
      </c>
      <c r="M557" s="124">
        <f>+'Invullen groen'!BA567</f>
        <v/>
      </c>
      <c r="N557" s="124">
        <f>+'Invullen groen'!BB567</f>
        <v/>
      </c>
      <c r="O557" s="124">
        <f>+'Invullen groen'!BC567</f>
        <v/>
      </c>
      <c r="P557" s="124">
        <f>+'Invullen groen'!BD567</f>
        <v/>
      </c>
    </row>
    <row r="558">
      <c r="A558" s="113">
        <f>+'Invullen groen'!A568</f>
        <v/>
      </c>
      <c r="B558" s="154">
        <f>+'Invullen groen'!C568</f>
        <v/>
      </c>
      <c r="C558" s="124">
        <f>+'Invullen groen'!G568</f>
        <v/>
      </c>
      <c r="D558" s="113">
        <f>+'Invullen groen'!M568</f>
        <v/>
      </c>
      <c r="E558" s="114">
        <f>+'Invullen groen'!H568</f>
        <v/>
      </c>
      <c r="F558" s="114">
        <f>+'Invullen groen'!I568</f>
        <v/>
      </c>
      <c r="G558" s="114">
        <f>+'Invullen groen'!J568</f>
        <v/>
      </c>
      <c r="H558" s="114">
        <f>+'Invullen groen'!K568</f>
        <v/>
      </c>
      <c r="I558" s="124">
        <f>+'Invullen groen'!AW568</f>
        <v/>
      </c>
      <c r="J558" s="124">
        <f>+'Invullen groen'!AX568</f>
        <v/>
      </c>
      <c r="K558" s="124">
        <f>+'Invullen groen'!AY568</f>
        <v/>
      </c>
      <c r="L558" s="124">
        <f>+'Invullen groen'!AZ568</f>
        <v/>
      </c>
      <c r="M558" s="124">
        <f>+'Invullen groen'!BA568</f>
        <v/>
      </c>
      <c r="N558" s="124">
        <f>+'Invullen groen'!BB568</f>
        <v/>
      </c>
      <c r="O558" s="124">
        <f>+'Invullen groen'!BC568</f>
        <v/>
      </c>
      <c r="P558" s="124">
        <f>+'Invullen groen'!BD568</f>
        <v/>
      </c>
    </row>
    <row r="559">
      <c r="A559" s="113">
        <f>+'Invullen groen'!A569</f>
        <v/>
      </c>
      <c r="B559" s="154">
        <f>+'Invullen groen'!C569</f>
        <v/>
      </c>
      <c r="C559" s="124">
        <f>+'Invullen groen'!G569</f>
        <v/>
      </c>
      <c r="D559" s="113">
        <f>+'Invullen groen'!M569</f>
        <v/>
      </c>
      <c r="E559" s="114">
        <f>+'Invullen groen'!H569</f>
        <v/>
      </c>
      <c r="F559" s="114">
        <f>+'Invullen groen'!I569</f>
        <v/>
      </c>
      <c r="G559" s="114">
        <f>+'Invullen groen'!J569</f>
        <v/>
      </c>
      <c r="H559" s="114">
        <f>+'Invullen groen'!K569</f>
        <v/>
      </c>
      <c r="I559" s="124">
        <f>+'Invullen groen'!AW569</f>
        <v/>
      </c>
      <c r="J559" s="124">
        <f>+'Invullen groen'!AX569</f>
        <v/>
      </c>
      <c r="K559" s="124">
        <f>+'Invullen groen'!AY569</f>
        <v/>
      </c>
      <c r="L559" s="124">
        <f>+'Invullen groen'!AZ569</f>
        <v/>
      </c>
      <c r="M559" s="124">
        <f>+'Invullen groen'!BA569</f>
        <v/>
      </c>
      <c r="N559" s="124">
        <f>+'Invullen groen'!BB569</f>
        <v/>
      </c>
      <c r="O559" s="124">
        <f>+'Invullen groen'!BC569</f>
        <v/>
      </c>
      <c r="P559" s="124">
        <f>+'Invullen groen'!BD569</f>
        <v/>
      </c>
    </row>
    <row r="560">
      <c r="A560" s="113">
        <f>+'Invullen groen'!A570</f>
        <v/>
      </c>
      <c r="B560" s="154">
        <f>+'Invullen groen'!C570</f>
        <v/>
      </c>
      <c r="C560" s="124">
        <f>+'Invullen groen'!G570</f>
        <v/>
      </c>
      <c r="D560" s="113">
        <f>+'Invullen groen'!M570</f>
        <v/>
      </c>
      <c r="E560" s="114">
        <f>+'Invullen groen'!H570</f>
        <v/>
      </c>
      <c r="F560" s="114">
        <f>+'Invullen groen'!I570</f>
        <v/>
      </c>
      <c r="G560" s="114">
        <f>+'Invullen groen'!J570</f>
        <v/>
      </c>
      <c r="H560" s="114">
        <f>+'Invullen groen'!K570</f>
        <v/>
      </c>
      <c r="I560" s="124">
        <f>+'Invullen groen'!AW570</f>
        <v/>
      </c>
      <c r="J560" s="124">
        <f>+'Invullen groen'!AX570</f>
        <v/>
      </c>
      <c r="K560" s="124">
        <f>+'Invullen groen'!AY570</f>
        <v/>
      </c>
      <c r="L560" s="124">
        <f>+'Invullen groen'!AZ570</f>
        <v/>
      </c>
      <c r="M560" s="124">
        <f>+'Invullen groen'!BA570</f>
        <v/>
      </c>
      <c r="N560" s="124">
        <f>+'Invullen groen'!BB570</f>
        <v/>
      </c>
      <c r="O560" s="124">
        <f>+'Invullen groen'!BC570</f>
        <v/>
      </c>
      <c r="P560" s="124">
        <f>+'Invullen groen'!BD570</f>
        <v/>
      </c>
    </row>
    <row r="561">
      <c r="A561" s="113">
        <f>+'Invullen groen'!A571</f>
        <v/>
      </c>
      <c r="B561" s="154">
        <f>+'Invullen groen'!C571</f>
        <v/>
      </c>
      <c r="C561" s="124">
        <f>+'Invullen groen'!G571</f>
        <v/>
      </c>
      <c r="D561" s="113">
        <f>+'Invullen groen'!M571</f>
        <v/>
      </c>
      <c r="E561" s="114">
        <f>+'Invullen groen'!H571</f>
        <v/>
      </c>
      <c r="F561" s="114">
        <f>+'Invullen groen'!I571</f>
        <v/>
      </c>
      <c r="G561" s="114">
        <f>+'Invullen groen'!J571</f>
        <v/>
      </c>
      <c r="H561" s="114">
        <f>+'Invullen groen'!K571</f>
        <v/>
      </c>
      <c r="I561" s="124">
        <f>+'Invullen groen'!AW571</f>
        <v/>
      </c>
      <c r="J561" s="124">
        <f>+'Invullen groen'!AX571</f>
        <v/>
      </c>
      <c r="K561" s="124">
        <f>+'Invullen groen'!AY571</f>
        <v/>
      </c>
      <c r="L561" s="124">
        <f>+'Invullen groen'!AZ571</f>
        <v/>
      </c>
      <c r="M561" s="124">
        <f>+'Invullen groen'!BA571</f>
        <v/>
      </c>
      <c r="N561" s="124">
        <f>+'Invullen groen'!BB571</f>
        <v/>
      </c>
      <c r="O561" s="124">
        <f>+'Invullen groen'!BC571</f>
        <v/>
      </c>
      <c r="P561" s="124">
        <f>+'Invullen groen'!BD571</f>
        <v/>
      </c>
    </row>
    <row r="562">
      <c r="A562" s="113">
        <f>+'Invullen groen'!A572</f>
        <v/>
      </c>
      <c r="B562" s="154">
        <f>+'Invullen groen'!C572</f>
        <v/>
      </c>
      <c r="C562" s="124">
        <f>+'Invullen groen'!G572</f>
        <v/>
      </c>
      <c r="D562" s="113">
        <f>+'Invullen groen'!M572</f>
        <v/>
      </c>
      <c r="E562" s="114">
        <f>+'Invullen groen'!H572</f>
        <v/>
      </c>
      <c r="F562" s="114">
        <f>+'Invullen groen'!I572</f>
        <v/>
      </c>
      <c r="G562" s="114">
        <f>+'Invullen groen'!J572</f>
        <v/>
      </c>
      <c r="H562" s="114">
        <f>+'Invullen groen'!K572</f>
        <v/>
      </c>
      <c r="I562" s="124">
        <f>+'Invullen groen'!AW572</f>
        <v/>
      </c>
      <c r="J562" s="124">
        <f>+'Invullen groen'!AX572</f>
        <v/>
      </c>
      <c r="K562" s="124">
        <f>+'Invullen groen'!AY572</f>
        <v/>
      </c>
      <c r="L562" s="124">
        <f>+'Invullen groen'!AZ572</f>
        <v/>
      </c>
      <c r="M562" s="124">
        <f>+'Invullen groen'!BA572</f>
        <v/>
      </c>
      <c r="N562" s="124">
        <f>+'Invullen groen'!BB572</f>
        <v/>
      </c>
      <c r="O562" s="124">
        <f>+'Invullen groen'!BC572</f>
        <v/>
      </c>
      <c r="P562" s="124">
        <f>+'Invullen groen'!BD572</f>
        <v/>
      </c>
    </row>
    <row r="563">
      <c r="A563" s="113">
        <f>+'Invullen groen'!A573</f>
        <v/>
      </c>
      <c r="B563" s="154">
        <f>+'Invullen groen'!C573</f>
        <v/>
      </c>
      <c r="C563" s="124">
        <f>+'Invullen groen'!G573</f>
        <v/>
      </c>
      <c r="D563" s="113">
        <f>+'Invullen groen'!M573</f>
        <v/>
      </c>
      <c r="E563" s="114">
        <f>+'Invullen groen'!H573</f>
        <v/>
      </c>
      <c r="F563" s="114">
        <f>+'Invullen groen'!I573</f>
        <v/>
      </c>
      <c r="G563" s="114">
        <f>+'Invullen groen'!J573</f>
        <v/>
      </c>
      <c r="H563" s="114">
        <f>+'Invullen groen'!K573</f>
        <v/>
      </c>
      <c r="I563" s="124">
        <f>+'Invullen groen'!AW573</f>
        <v/>
      </c>
      <c r="J563" s="124">
        <f>+'Invullen groen'!AX573</f>
        <v/>
      </c>
      <c r="K563" s="124">
        <f>+'Invullen groen'!AY573</f>
        <v/>
      </c>
      <c r="L563" s="124">
        <f>+'Invullen groen'!AZ573</f>
        <v/>
      </c>
      <c r="M563" s="124">
        <f>+'Invullen groen'!BA573</f>
        <v/>
      </c>
      <c r="N563" s="124">
        <f>+'Invullen groen'!BB573</f>
        <v/>
      </c>
      <c r="O563" s="124">
        <f>+'Invullen groen'!BC573</f>
        <v/>
      </c>
      <c r="P563" s="124">
        <f>+'Invullen groen'!BD573</f>
        <v/>
      </c>
    </row>
    <row r="564">
      <c r="A564" s="113">
        <f>+'Invullen groen'!A574</f>
        <v/>
      </c>
      <c r="B564" s="154">
        <f>+'Invullen groen'!C574</f>
        <v/>
      </c>
      <c r="C564" s="124">
        <f>+'Invullen groen'!G574</f>
        <v/>
      </c>
      <c r="D564" s="113">
        <f>+'Invullen groen'!M574</f>
        <v/>
      </c>
      <c r="E564" s="114">
        <f>+'Invullen groen'!H574</f>
        <v/>
      </c>
      <c r="F564" s="114">
        <f>+'Invullen groen'!I574</f>
        <v/>
      </c>
      <c r="G564" s="114">
        <f>+'Invullen groen'!J574</f>
        <v/>
      </c>
      <c r="H564" s="114">
        <f>+'Invullen groen'!K574</f>
        <v/>
      </c>
      <c r="I564" s="124">
        <f>+'Invullen groen'!AW574</f>
        <v/>
      </c>
      <c r="J564" s="124">
        <f>+'Invullen groen'!AX574</f>
        <v/>
      </c>
      <c r="K564" s="124">
        <f>+'Invullen groen'!AY574</f>
        <v/>
      </c>
      <c r="L564" s="124">
        <f>+'Invullen groen'!AZ574</f>
        <v/>
      </c>
      <c r="M564" s="124">
        <f>+'Invullen groen'!BA574</f>
        <v/>
      </c>
      <c r="N564" s="124">
        <f>+'Invullen groen'!BB574</f>
        <v/>
      </c>
      <c r="O564" s="124">
        <f>+'Invullen groen'!BC574</f>
        <v/>
      </c>
      <c r="P564" s="124">
        <f>+'Invullen groen'!BD574</f>
        <v/>
      </c>
    </row>
    <row r="565">
      <c r="A565" s="113">
        <f>+'Invullen groen'!A575</f>
        <v/>
      </c>
      <c r="B565" s="154">
        <f>+'Invullen groen'!C575</f>
        <v/>
      </c>
      <c r="C565" s="124">
        <f>+'Invullen groen'!G575</f>
        <v/>
      </c>
      <c r="D565" s="113">
        <f>+'Invullen groen'!M575</f>
        <v/>
      </c>
      <c r="E565" s="114">
        <f>+'Invullen groen'!H575</f>
        <v/>
      </c>
      <c r="F565" s="114">
        <f>+'Invullen groen'!I575</f>
        <v/>
      </c>
      <c r="G565" s="114">
        <f>+'Invullen groen'!J575</f>
        <v/>
      </c>
      <c r="H565" s="114">
        <f>+'Invullen groen'!K575</f>
        <v/>
      </c>
      <c r="I565" s="124">
        <f>+'Invullen groen'!AW575</f>
        <v/>
      </c>
      <c r="J565" s="124">
        <f>+'Invullen groen'!AX575</f>
        <v/>
      </c>
      <c r="K565" s="124">
        <f>+'Invullen groen'!AY575</f>
        <v/>
      </c>
      <c r="L565" s="124">
        <f>+'Invullen groen'!AZ575</f>
        <v/>
      </c>
      <c r="M565" s="124">
        <f>+'Invullen groen'!BA575</f>
        <v/>
      </c>
      <c r="N565" s="124">
        <f>+'Invullen groen'!BB575</f>
        <v/>
      </c>
      <c r="O565" s="124">
        <f>+'Invullen groen'!BC575</f>
        <v/>
      </c>
      <c r="P565" s="124">
        <f>+'Invullen groen'!BD575</f>
        <v/>
      </c>
    </row>
    <row r="566">
      <c r="A566" s="113">
        <f>+'Invullen groen'!A576</f>
        <v/>
      </c>
      <c r="B566" s="154">
        <f>+'Invullen groen'!C576</f>
        <v/>
      </c>
      <c r="C566" s="124">
        <f>+'Invullen groen'!G576</f>
        <v/>
      </c>
      <c r="D566" s="113">
        <f>+'Invullen groen'!M576</f>
        <v/>
      </c>
      <c r="E566" s="114">
        <f>+'Invullen groen'!H576</f>
        <v/>
      </c>
      <c r="F566" s="114">
        <f>+'Invullen groen'!I576</f>
        <v/>
      </c>
      <c r="G566" s="114">
        <f>+'Invullen groen'!J576</f>
        <v/>
      </c>
      <c r="H566" s="114">
        <f>+'Invullen groen'!K576</f>
        <v/>
      </c>
      <c r="I566" s="124">
        <f>+'Invullen groen'!AW576</f>
        <v/>
      </c>
      <c r="J566" s="124">
        <f>+'Invullen groen'!AX576</f>
        <v/>
      </c>
      <c r="K566" s="124">
        <f>+'Invullen groen'!AY576</f>
        <v/>
      </c>
      <c r="L566" s="124">
        <f>+'Invullen groen'!AZ576</f>
        <v/>
      </c>
      <c r="M566" s="124">
        <f>+'Invullen groen'!BA576</f>
        <v/>
      </c>
      <c r="N566" s="124">
        <f>+'Invullen groen'!BB576</f>
        <v/>
      </c>
      <c r="O566" s="124">
        <f>+'Invullen groen'!BC576</f>
        <v/>
      </c>
      <c r="P566" s="124">
        <f>+'Invullen groen'!BD576</f>
        <v/>
      </c>
    </row>
    <row r="567">
      <c r="A567" s="113">
        <f>+'Invullen groen'!A577</f>
        <v/>
      </c>
      <c r="B567" s="154">
        <f>+'Invullen groen'!C577</f>
        <v/>
      </c>
      <c r="C567" s="124">
        <f>+'Invullen groen'!G577</f>
        <v/>
      </c>
      <c r="D567" s="113">
        <f>+'Invullen groen'!M577</f>
        <v/>
      </c>
      <c r="E567" s="114">
        <f>+'Invullen groen'!H577</f>
        <v/>
      </c>
      <c r="F567" s="114">
        <f>+'Invullen groen'!I577</f>
        <v/>
      </c>
      <c r="G567" s="114">
        <f>+'Invullen groen'!J577</f>
        <v/>
      </c>
      <c r="H567" s="114">
        <f>+'Invullen groen'!K577</f>
        <v/>
      </c>
      <c r="I567" s="124">
        <f>+'Invullen groen'!AW577</f>
        <v/>
      </c>
      <c r="J567" s="124">
        <f>+'Invullen groen'!AX577</f>
        <v/>
      </c>
      <c r="K567" s="124">
        <f>+'Invullen groen'!AY577</f>
        <v/>
      </c>
      <c r="L567" s="124">
        <f>+'Invullen groen'!AZ577</f>
        <v/>
      </c>
      <c r="M567" s="124">
        <f>+'Invullen groen'!BA577</f>
        <v/>
      </c>
      <c r="N567" s="124">
        <f>+'Invullen groen'!BB577</f>
        <v/>
      </c>
      <c r="O567" s="124">
        <f>+'Invullen groen'!BC577</f>
        <v/>
      </c>
      <c r="P567" s="124">
        <f>+'Invullen groen'!BD577</f>
        <v/>
      </c>
    </row>
    <row r="568">
      <c r="A568" s="113">
        <f>+'Invullen groen'!A578</f>
        <v/>
      </c>
      <c r="B568" s="154">
        <f>+'Invullen groen'!C578</f>
        <v/>
      </c>
      <c r="C568" s="124">
        <f>+'Invullen groen'!G578</f>
        <v/>
      </c>
      <c r="D568" s="113">
        <f>+'Invullen groen'!M578</f>
        <v/>
      </c>
      <c r="E568" s="114">
        <f>+'Invullen groen'!H578</f>
        <v/>
      </c>
      <c r="F568" s="114">
        <f>+'Invullen groen'!I578</f>
        <v/>
      </c>
      <c r="G568" s="114">
        <f>+'Invullen groen'!J578</f>
        <v/>
      </c>
      <c r="H568" s="114">
        <f>+'Invullen groen'!K578</f>
        <v/>
      </c>
      <c r="I568" s="124">
        <f>+'Invullen groen'!AW578</f>
        <v/>
      </c>
      <c r="J568" s="124">
        <f>+'Invullen groen'!AX578</f>
        <v/>
      </c>
      <c r="K568" s="124">
        <f>+'Invullen groen'!AY578</f>
        <v/>
      </c>
      <c r="L568" s="124">
        <f>+'Invullen groen'!AZ578</f>
        <v/>
      </c>
      <c r="M568" s="124">
        <f>+'Invullen groen'!BA578</f>
        <v/>
      </c>
      <c r="N568" s="124">
        <f>+'Invullen groen'!BB578</f>
        <v/>
      </c>
      <c r="O568" s="124">
        <f>+'Invullen groen'!BC578</f>
        <v/>
      </c>
      <c r="P568" s="124">
        <f>+'Invullen groen'!BD578</f>
        <v/>
      </c>
    </row>
    <row r="569">
      <c r="A569" s="113">
        <f>+'Invullen groen'!A579</f>
        <v/>
      </c>
      <c r="B569" s="154">
        <f>+'Invullen groen'!C579</f>
        <v/>
      </c>
      <c r="C569" s="124">
        <f>+'Invullen groen'!G579</f>
        <v/>
      </c>
      <c r="D569" s="113">
        <f>+'Invullen groen'!M579</f>
        <v/>
      </c>
      <c r="E569" s="114">
        <f>+'Invullen groen'!H579</f>
        <v/>
      </c>
      <c r="F569" s="114">
        <f>+'Invullen groen'!I579</f>
        <v/>
      </c>
      <c r="G569" s="114">
        <f>+'Invullen groen'!J579</f>
        <v/>
      </c>
      <c r="H569" s="114">
        <f>+'Invullen groen'!K579</f>
        <v/>
      </c>
      <c r="I569" s="124">
        <f>+'Invullen groen'!AW579</f>
        <v/>
      </c>
      <c r="J569" s="124">
        <f>+'Invullen groen'!AX579</f>
        <v/>
      </c>
      <c r="K569" s="124">
        <f>+'Invullen groen'!AY579</f>
        <v/>
      </c>
      <c r="L569" s="124">
        <f>+'Invullen groen'!AZ579</f>
        <v/>
      </c>
      <c r="M569" s="124">
        <f>+'Invullen groen'!BA579</f>
        <v/>
      </c>
      <c r="N569" s="124">
        <f>+'Invullen groen'!BB579</f>
        <v/>
      </c>
      <c r="O569" s="124">
        <f>+'Invullen groen'!BC579</f>
        <v/>
      </c>
      <c r="P569" s="124">
        <f>+'Invullen groen'!BD579</f>
        <v/>
      </c>
    </row>
    <row r="570">
      <c r="A570" s="113">
        <f>+'Invullen groen'!A580</f>
        <v/>
      </c>
      <c r="B570" s="154">
        <f>+'Invullen groen'!C580</f>
        <v/>
      </c>
      <c r="C570" s="124">
        <f>+'Invullen groen'!G580</f>
        <v/>
      </c>
      <c r="D570" s="113">
        <f>+'Invullen groen'!M580</f>
        <v/>
      </c>
      <c r="E570" s="114">
        <f>+'Invullen groen'!H580</f>
        <v/>
      </c>
      <c r="F570" s="114">
        <f>+'Invullen groen'!I580</f>
        <v/>
      </c>
      <c r="G570" s="114">
        <f>+'Invullen groen'!J580</f>
        <v/>
      </c>
      <c r="H570" s="114">
        <f>+'Invullen groen'!K580</f>
        <v/>
      </c>
      <c r="I570" s="124">
        <f>+'Invullen groen'!AW580</f>
        <v/>
      </c>
      <c r="J570" s="124">
        <f>+'Invullen groen'!AX580</f>
        <v/>
      </c>
      <c r="K570" s="124">
        <f>+'Invullen groen'!AY580</f>
        <v/>
      </c>
      <c r="L570" s="124">
        <f>+'Invullen groen'!AZ580</f>
        <v/>
      </c>
      <c r="M570" s="124">
        <f>+'Invullen groen'!BA580</f>
        <v/>
      </c>
      <c r="N570" s="124">
        <f>+'Invullen groen'!BB580</f>
        <v/>
      </c>
      <c r="O570" s="124">
        <f>+'Invullen groen'!BC580</f>
        <v/>
      </c>
      <c r="P570" s="124">
        <f>+'Invullen groen'!BD580</f>
        <v/>
      </c>
    </row>
    <row r="571">
      <c r="A571" s="113">
        <f>+'Invullen groen'!A581</f>
        <v/>
      </c>
      <c r="B571" s="154">
        <f>+'Invullen groen'!C581</f>
        <v/>
      </c>
      <c r="C571" s="124">
        <f>+'Invullen groen'!G581</f>
        <v/>
      </c>
      <c r="D571" s="113">
        <f>+'Invullen groen'!M581</f>
        <v/>
      </c>
      <c r="E571" s="114">
        <f>+'Invullen groen'!H581</f>
        <v/>
      </c>
      <c r="F571" s="114">
        <f>+'Invullen groen'!I581</f>
        <v/>
      </c>
      <c r="G571" s="114">
        <f>+'Invullen groen'!J581</f>
        <v/>
      </c>
      <c r="H571" s="114">
        <f>+'Invullen groen'!K581</f>
        <v/>
      </c>
      <c r="I571" s="124">
        <f>+'Invullen groen'!AW581</f>
        <v/>
      </c>
      <c r="J571" s="124">
        <f>+'Invullen groen'!AX581</f>
        <v/>
      </c>
      <c r="K571" s="124">
        <f>+'Invullen groen'!AY581</f>
        <v/>
      </c>
      <c r="L571" s="124">
        <f>+'Invullen groen'!AZ581</f>
        <v/>
      </c>
      <c r="M571" s="124">
        <f>+'Invullen groen'!BA581</f>
        <v/>
      </c>
      <c r="N571" s="124">
        <f>+'Invullen groen'!BB581</f>
        <v/>
      </c>
      <c r="O571" s="124">
        <f>+'Invullen groen'!BC581</f>
        <v/>
      </c>
      <c r="P571" s="124">
        <f>+'Invullen groen'!BD581</f>
        <v/>
      </c>
    </row>
    <row r="572">
      <c r="A572" s="113">
        <f>+'Invullen groen'!A582</f>
        <v/>
      </c>
      <c r="B572" s="154">
        <f>+'Invullen groen'!C582</f>
        <v/>
      </c>
      <c r="C572" s="124">
        <f>+'Invullen groen'!G582</f>
        <v/>
      </c>
      <c r="D572" s="113">
        <f>+'Invullen groen'!M582</f>
        <v/>
      </c>
      <c r="E572" s="114">
        <f>+'Invullen groen'!H582</f>
        <v/>
      </c>
      <c r="F572" s="114">
        <f>+'Invullen groen'!I582</f>
        <v/>
      </c>
      <c r="G572" s="114">
        <f>+'Invullen groen'!J582</f>
        <v/>
      </c>
      <c r="H572" s="114">
        <f>+'Invullen groen'!K582</f>
        <v/>
      </c>
      <c r="I572" s="124">
        <f>+'Invullen groen'!AW582</f>
        <v/>
      </c>
      <c r="J572" s="124">
        <f>+'Invullen groen'!AX582</f>
        <v/>
      </c>
      <c r="K572" s="124">
        <f>+'Invullen groen'!AY582</f>
        <v/>
      </c>
      <c r="L572" s="124">
        <f>+'Invullen groen'!AZ582</f>
        <v/>
      </c>
      <c r="M572" s="124">
        <f>+'Invullen groen'!BA582</f>
        <v/>
      </c>
      <c r="N572" s="124">
        <f>+'Invullen groen'!BB582</f>
        <v/>
      </c>
      <c r="O572" s="124">
        <f>+'Invullen groen'!BC582</f>
        <v/>
      </c>
      <c r="P572" s="124">
        <f>+'Invullen groen'!BD582</f>
        <v/>
      </c>
    </row>
    <row r="573">
      <c r="A573" s="113">
        <f>+'Invullen groen'!A583</f>
        <v/>
      </c>
      <c r="B573" s="154">
        <f>+'Invullen groen'!C583</f>
        <v/>
      </c>
      <c r="C573" s="124">
        <f>+'Invullen groen'!G583</f>
        <v/>
      </c>
      <c r="D573" s="113">
        <f>+'Invullen groen'!M583</f>
        <v/>
      </c>
      <c r="E573" s="114">
        <f>+'Invullen groen'!H583</f>
        <v/>
      </c>
      <c r="F573" s="114">
        <f>+'Invullen groen'!I583</f>
        <v/>
      </c>
      <c r="G573" s="114">
        <f>+'Invullen groen'!J583</f>
        <v/>
      </c>
      <c r="H573" s="114">
        <f>+'Invullen groen'!K583</f>
        <v/>
      </c>
      <c r="I573" s="124">
        <f>+'Invullen groen'!AW583</f>
        <v/>
      </c>
      <c r="J573" s="124">
        <f>+'Invullen groen'!AX583</f>
        <v/>
      </c>
      <c r="K573" s="124">
        <f>+'Invullen groen'!AY583</f>
        <v/>
      </c>
      <c r="L573" s="124">
        <f>+'Invullen groen'!AZ583</f>
        <v/>
      </c>
      <c r="M573" s="124">
        <f>+'Invullen groen'!BA583</f>
        <v/>
      </c>
      <c r="N573" s="124">
        <f>+'Invullen groen'!BB583</f>
        <v/>
      </c>
      <c r="O573" s="124">
        <f>+'Invullen groen'!BC583</f>
        <v/>
      </c>
      <c r="P573" s="124">
        <f>+'Invullen groen'!BD583</f>
        <v/>
      </c>
    </row>
    <row r="574">
      <c r="A574" s="113">
        <f>+'Invullen groen'!A584</f>
        <v/>
      </c>
      <c r="B574" s="154">
        <f>+'Invullen groen'!C584</f>
        <v/>
      </c>
      <c r="C574" s="124">
        <f>+'Invullen groen'!G584</f>
        <v/>
      </c>
      <c r="D574" s="113">
        <f>+'Invullen groen'!M584</f>
        <v/>
      </c>
      <c r="E574" s="114">
        <f>+'Invullen groen'!H584</f>
        <v/>
      </c>
      <c r="F574" s="114">
        <f>+'Invullen groen'!I584</f>
        <v/>
      </c>
      <c r="G574" s="114">
        <f>+'Invullen groen'!J584</f>
        <v/>
      </c>
      <c r="H574" s="114">
        <f>+'Invullen groen'!K584</f>
        <v/>
      </c>
      <c r="I574" s="124">
        <f>+'Invullen groen'!AW584</f>
        <v/>
      </c>
      <c r="J574" s="124">
        <f>+'Invullen groen'!AX584</f>
        <v/>
      </c>
      <c r="K574" s="124">
        <f>+'Invullen groen'!AY584</f>
        <v/>
      </c>
      <c r="L574" s="124">
        <f>+'Invullen groen'!AZ584</f>
        <v/>
      </c>
      <c r="M574" s="124">
        <f>+'Invullen groen'!BA584</f>
        <v/>
      </c>
      <c r="N574" s="124">
        <f>+'Invullen groen'!BB584</f>
        <v/>
      </c>
      <c r="O574" s="124">
        <f>+'Invullen groen'!BC584</f>
        <v/>
      </c>
      <c r="P574" s="124">
        <f>+'Invullen groen'!BD584</f>
        <v/>
      </c>
    </row>
    <row r="575">
      <c r="A575" s="113">
        <f>+'Invullen groen'!A585</f>
        <v/>
      </c>
      <c r="B575" s="154">
        <f>+'Invullen groen'!C585</f>
        <v/>
      </c>
      <c r="C575" s="124">
        <f>+'Invullen groen'!G585</f>
        <v/>
      </c>
      <c r="D575" s="113">
        <f>+'Invullen groen'!M585</f>
        <v/>
      </c>
      <c r="E575" s="114">
        <f>+'Invullen groen'!H585</f>
        <v/>
      </c>
      <c r="F575" s="114">
        <f>+'Invullen groen'!I585</f>
        <v/>
      </c>
      <c r="G575" s="114">
        <f>+'Invullen groen'!J585</f>
        <v/>
      </c>
      <c r="H575" s="114">
        <f>+'Invullen groen'!K585</f>
        <v/>
      </c>
      <c r="I575" s="124">
        <f>+'Invullen groen'!AW585</f>
        <v/>
      </c>
      <c r="J575" s="124">
        <f>+'Invullen groen'!AX585</f>
        <v/>
      </c>
      <c r="K575" s="124">
        <f>+'Invullen groen'!AY585</f>
        <v/>
      </c>
      <c r="L575" s="124">
        <f>+'Invullen groen'!AZ585</f>
        <v/>
      </c>
      <c r="M575" s="124">
        <f>+'Invullen groen'!BA585</f>
        <v/>
      </c>
      <c r="N575" s="124">
        <f>+'Invullen groen'!BB585</f>
        <v/>
      </c>
      <c r="O575" s="124">
        <f>+'Invullen groen'!BC585</f>
        <v/>
      </c>
      <c r="P575" s="124">
        <f>+'Invullen groen'!BD585</f>
        <v/>
      </c>
    </row>
    <row r="576">
      <c r="A576" s="113">
        <f>+'Invullen groen'!A586</f>
        <v/>
      </c>
      <c r="B576" s="154">
        <f>+'Invullen groen'!C586</f>
        <v/>
      </c>
      <c r="C576" s="124">
        <f>+'Invullen groen'!G586</f>
        <v/>
      </c>
      <c r="D576" s="113">
        <f>+'Invullen groen'!M586</f>
        <v/>
      </c>
      <c r="E576" s="114">
        <f>+'Invullen groen'!H586</f>
        <v/>
      </c>
      <c r="F576" s="114">
        <f>+'Invullen groen'!I586</f>
        <v/>
      </c>
      <c r="G576" s="114">
        <f>+'Invullen groen'!J586</f>
        <v/>
      </c>
      <c r="H576" s="114">
        <f>+'Invullen groen'!K586</f>
        <v/>
      </c>
      <c r="I576" s="124">
        <f>+'Invullen groen'!AW586</f>
        <v/>
      </c>
      <c r="J576" s="124">
        <f>+'Invullen groen'!AX586</f>
        <v/>
      </c>
      <c r="K576" s="124">
        <f>+'Invullen groen'!AY586</f>
        <v/>
      </c>
      <c r="L576" s="124">
        <f>+'Invullen groen'!AZ586</f>
        <v/>
      </c>
      <c r="M576" s="124">
        <f>+'Invullen groen'!BA586</f>
        <v/>
      </c>
      <c r="N576" s="124">
        <f>+'Invullen groen'!BB586</f>
        <v/>
      </c>
      <c r="O576" s="124">
        <f>+'Invullen groen'!BC586</f>
        <v/>
      </c>
      <c r="P576" s="124">
        <f>+'Invullen groen'!BD586</f>
        <v/>
      </c>
    </row>
    <row r="577">
      <c r="A577" s="113">
        <f>+'Invullen groen'!A587</f>
        <v/>
      </c>
      <c r="B577" s="154">
        <f>+'Invullen groen'!C587</f>
        <v/>
      </c>
      <c r="C577" s="124">
        <f>+'Invullen groen'!G587</f>
        <v/>
      </c>
      <c r="D577" s="113">
        <f>+'Invullen groen'!M587</f>
        <v/>
      </c>
      <c r="E577" s="114">
        <f>+'Invullen groen'!H587</f>
        <v/>
      </c>
      <c r="F577" s="114">
        <f>+'Invullen groen'!I587</f>
        <v/>
      </c>
      <c r="G577" s="114">
        <f>+'Invullen groen'!J587</f>
        <v/>
      </c>
      <c r="H577" s="114">
        <f>+'Invullen groen'!K587</f>
        <v/>
      </c>
      <c r="I577" s="124">
        <f>+'Invullen groen'!AW587</f>
        <v/>
      </c>
      <c r="J577" s="124">
        <f>+'Invullen groen'!AX587</f>
        <v/>
      </c>
      <c r="K577" s="124">
        <f>+'Invullen groen'!AY587</f>
        <v/>
      </c>
      <c r="L577" s="124">
        <f>+'Invullen groen'!AZ587</f>
        <v/>
      </c>
      <c r="M577" s="124">
        <f>+'Invullen groen'!BA587</f>
        <v/>
      </c>
      <c r="N577" s="124">
        <f>+'Invullen groen'!BB587</f>
        <v/>
      </c>
      <c r="O577" s="124">
        <f>+'Invullen groen'!BC587</f>
        <v/>
      </c>
      <c r="P577" s="124">
        <f>+'Invullen groen'!BD587</f>
        <v/>
      </c>
    </row>
    <row r="578">
      <c r="A578" s="113">
        <f>+'Invullen groen'!A588</f>
        <v/>
      </c>
      <c r="B578" s="154">
        <f>+'Invullen groen'!C588</f>
        <v/>
      </c>
      <c r="C578" s="124">
        <f>+'Invullen groen'!G588</f>
        <v/>
      </c>
      <c r="D578" s="113">
        <f>+'Invullen groen'!M588</f>
        <v/>
      </c>
      <c r="E578" s="114">
        <f>+'Invullen groen'!H588</f>
        <v/>
      </c>
      <c r="F578" s="114">
        <f>+'Invullen groen'!I588</f>
        <v/>
      </c>
      <c r="G578" s="114">
        <f>+'Invullen groen'!J588</f>
        <v/>
      </c>
      <c r="H578" s="114">
        <f>+'Invullen groen'!K588</f>
        <v/>
      </c>
      <c r="I578" s="124">
        <f>+'Invullen groen'!AW588</f>
        <v/>
      </c>
      <c r="J578" s="124">
        <f>+'Invullen groen'!AX588</f>
        <v/>
      </c>
      <c r="K578" s="124">
        <f>+'Invullen groen'!AY588</f>
        <v/>
      </c>
      <c r="L578" s="124">
        <f>+'Invullen groen'!AZ588</f>
        <v/>
      </c>
      <c r="M578" s="124">
        <f>+'Invullen groen'!BA588</f>
        <v/>
      </c>
      <c r="N578" s="124">
        <f>+'Invullen groen'!BB588</f>
        <v/>
      </c>
      <c r="O578" s="124">
        <f>+'Invullen groen'!BC588</f>
        <v/>
      </c>
      <c r="P578" s="124">
        <f>+'Invullen groen'!BD588</f>
        <v/>
      </c>
    </row>
    <row r="579">
      <c r="A579" s="113">
        <f>+'Invullen groen'!A589</f>
        <v/>
      </c>
      <c r="B579" s="154">
        <f>+'Invullen groen'!C589</f>
        <v/>
      </c>
      <c r="C579" s="124">
        <f>+'Invullen groen'!G589</f>
        <v/>
      </c>
      <c r="D579" s="113">
        <f>+'Invullen groen'!M589</f>
        <v/>
      </c>
      <c r="E579" s="114">
        <f>+'Invullen groen'!H589</f>
        <v/>
      </c>
      <c r="F579" s="114">
        <f>+'Invullen groen'!I589</f>
        <v/>
      </c>
      <c r="G579" s="114">
        <f>+'Invullen groen'!J589</f>
        <v/>
      </c>
      <c r="H579" s="114">
        <f>+'Invullen groen'!K589</f>
        <v/>
      </c>
      <c r="I579" s="124">
        <f>+'Invullen groen'!AW589</f>
        <v/>
      </c>
      <c r="J579" s="124">
        <f>+'Invullen groen'!AX589</f>
        <v/>
      </c>
      <c r="K579" s="124">
        <f>+'Invullen groen'!AY589</f>
        <v/>
      </c>
      <c r="L579" s="124">
        <f>+'Invullen groen'!AZ589</f>
        <v/>
      </c>
      <c r="M579" s="124">
        <f>+'Invullen groen'!BA589</f>
        <v/>
      </c>
      <c r="N579" s="124">
        <f>+'Invullen groen'!BB589</f>
        <v/>
      </c>
      <c r="O579" s="124">
        <f>+'Invullen groen'!BC589</f>
        <v/>
      </c>
      <c r="P579" s="124">
        <f>+'Invullen groen'!BD589</f>
        <v/>
      </c>
    </row>
    <row r="580">
      <c r="A580" s="113">
        <f>+'Invullen groen'!A590</f>
        <v/>
      </c>
      <c r="B580" s="154">
        <f>+'Invullen groen'!C590</f>
        <v/>
      </c>
      <c r="C580" s="124">
        <f>+'Invullen groen'!G590</f>
        <v/>
      </c>
      <c r="D580" s="113">
        <f>+'Invullen groen'!M590</f>
        <v/>
      </c>
      <c r="E580" s="114">
        <f>+'Invullen groen'!H590</f>
        <v/>
      </c>
      <c r="F580" s="114">
        <f>+'Invullen groen'!I590</f>
        <v/>
      </c>
      <c r="G580" s="114">
        <f>+'Invullen groen'!J590</f>
        <v/>
      </c>
      <c r="H580" s="114">
        <f>+'Invullen groen'!K590</f>
        <v/>
      </c>
      <c r="I580" s="124">
        <f>+'Invullen groen'!AW590</f>
        <v/>
      </c>
      <c r="J580" s="124">
        <f>+'Invullen groen'!AX590</f>
        <v/>
      </c>
      <c r="K580" s="124">
        <f>+'Invullen groen'!AY590</f>
        <v/>
      </c>
      <c r="L580" s="124">
        <f>+'Invullen groen'!AZ590</f>
        <v/>
      </c>
      <c r="M580" s="124">
        <f>+'Invullen groen'!BA590</f>
        <v/>
      </c>
      <c r="N580" s="124">
        <f>+'Invullen groen'!BB590</f>
        <v/>
      </c>
      <c r="O580" s="124">
        <f>+'Invullen groen'!BC590</f>
        <v/>
      </c>
      <c r="P580" s="124">
        <f>+'Invullen groen'!BD590</f>
        <v/>
      </c>
    </row>
    <row r="581">
      <c r="A581" s="113">
        <f>+'Invullen groen'!A591</f>
        <v/>
      </c>
      <c r="B581" s="154">
        <f>+'Invullen groen'!C591</f>
        <v/>
      </c>
      <c r="C581" s="124">
        <f>+'Invullen groen'!G591</f>
        <v/>
      </c>
      <c r="D581" s="113">
        <f>+'Invullen groen'!M591</f>
        <v/>
      </c>
      <c r="E581" s="114">
        <f>+'Invullen groen'!H591</f>
        <v/>
      </c>
      <c r="F581" s="114">
        <f>+'Invullen groen'!I591</f>
        <v/>
      </c>
      <c r="G581" s="114">
        <f>+'Invullen groen'!J591</f>
        <v/>
      </c>
      <c r="H581" s="114">
        <f>+'Invullen groen'!K591</f>
        <v/>
      </c>
      <c r="I581" s="124">
        <f>+'Invullen groen'!AW591</f>
        <v/>
      </c>
      <c r="J581" s="124">
        <f>+'Invullen groen'!AX591</f>
        <v/>
      </c>
      <c r="K581" s="124">
        <f>+'Invullen groen'!AY591</f>
        <v/>
      </c>
      <c r="L581" s="124">
        <f>+'Invullen groen'!AZ591</f>
        <v/>
      </c>
      <c r="M581" s="124">
        <f>+'Invullen groen'!BA591</f>
        <v/>
      </c>
      <c r="N581" s="124">
        <f>+'Invullen groen'!BB591</f>
        <v/>
      </c>
      <c r="O581" s="124">
        <f>+'Invullen groen'!BC591</f>
        <v/>
      </c>
      <c r="P581" s="124">
        <f>+'Invullen groen'!BD591</f>
        <v/>
      </c>
    </row>
    <row r="582">
      <c r="A582" s="113">
        <f>+'Invullen groen'!A592</f>
        <v/>
      </c>
      <c r="B582" s="154">
        <f>+'Invullen groen'!C592</f>
        <v/>
      </c>
      <c r="C582" s="124">
        <f>+'Invullen groen'!G592</f>
        <v/>
      </c>
      <c r="D582" s="113">
        <f>+'Invullen groen'!M592</f>
        <v/>
      </c>
      <c r="E582" s="114">
        <f>+'Invullen groen'!H592</f>
        <v/>
      </c>
      <c r="F582" s="114">
        <f>+'Invullen groen'!I592</f>
        <v/>
      </c>
      <c r="G582" s="114">
        <f>+'Invullen groen'!J592</f>
        <v/>
      </c>
      <c r="H582" s="114">
        <f>+'Invullen groen'!K592</f>
        <v/>
      </c>
      <c r="I582" s="124">
        <f>+'Invullen groen'!AW592</f>
        <v/>
      </c>
      <c r="J582" s="124">
        <f>+'Invullen groen'!AX592</f>
        <v/>
      </c>
      <c r="K582" s="124">
        <f>+'Invullen groen'!AY592</f>
        <v/>
      </c>
      <c r="L582" s="124">
        <f>+'Invullen groen'!AZ592</f>
        <v/>
      </c>
      <c r="M582" s="124">
        <f>+'Invullen groen'!BA592</f>
        <v/>
      </c>
      <c r="N582" s="124">
        <f>+'Invullen groen'!BB592</f>
        <v/>
      </c>
      <c r="O582" s="124">
        <f>+'Invullen groen'!BC592</f>
        <v/>
      </c>
      <c r="P582" s="124">
        <f>+'Invullen groen'!BD592</f>
        <v/>
      </c>
    </row>
    <row r="583">
      <c r="A583" s="113">
        <f>+'Invullen groen'!A593</f>
        <v/>
      </c>
      <c r="B583" s="154">
        <f>+'Invullen groen'!C593</f>
        <v/>
      </c>
      <c r="C583" s="124">
        <f>+'Invullen groen'!G593</f>
        <v/>
      </c>
      <c r="D583" s="113">
        <f>+'Invullen groen'!M593</f>
        <v/>
      </c>
      <c r="E583" s="114">
        <f>+'Invullen groen'!H593</f>
        <v/>
      </c>
      <c r="F583" s="114">
        <f>+'Invullen groen'!I593</f>
        <v/>
      </c>
      <c r="G583" s="114">
        <f>+'Invullen groen'!J593</f>
        <v/>
      </c>
      <c r="H583" s="114">
        <f>+'Invullen groen'!K593</f>
        <v/>
      </c>
      <c r="I583" s="124">
        <f>+'Invullen groen'!AW593</f>
        <v/>
      </c>
      <c r="J583" s="124">
        <f>+'Invullen groen'!AX593</f>
        <v/>
      </c>
      <c r="K583" s="124">
        <f>+'Invullen groen'!AY593</f>
        <v/>
      </c>
      <c r="L583" s="124">
        <f>+'Invullen groen'!AZ593</f>
        <v/>
      </c>
      <c r="M583" s="124">
        <f>+'Invullen groen'!BA593</f>
        <v/>
      </c>
      <c r="N583" s="124">
        <f>+'Invullen groen'!BB593</f>
        <v/>
      </c>
      <c r="O583" s="124">
        <f>+'Invullen groen'!BC593</f>
        <v/>
      </c>
      <c r="P583" s="124">
        <f>+'Invullen groen'!BD593</f>
        <v/>
      </c>
    </row>
    <row r="584">
      <c r="A584" s="113">
        <f>+'Invullen groen'!A594</f>
        <v/>
      </c>
      <c r="B584" s="154">
        <f>+'Invullen groen'!C594</f>
        <v/>
      </c>
      <c r="C584" s="124">
        <f>+'Invullen groen'!G594</f>
        <v/>
      </c>
      <c r="D584" s="113">
        <f>+'Invullen groen'!M594</f>
        <v/>
      </c>
      <c r="E584" s="114">
        <f>+'Invullen groen'!H594</f>
        <v/>
      </c>
      <c r="F584" s="114">
        <f>+'Invullen groen'!I594</f>
        <v/>
      </c>
      <c r="G584" s="114">
        <f>+'Invullen groen'!J594</f>
        <v/>
      </c>
      <c r="H584" s="114">
        <f>+'Invullen groen'!K594</f>
        <v/>
      </c>
      <c r="I584" s="124">
        <f>+'Invullen groen'!AW594</f>
        <v/>
      </c>
      <c r="J584" s="124">
        <f>+'Invullen groen'!AX594</f>
        <v/>
      </c>
      <c r="K584" s="124">
        <f>+'Invullen groen'!AY594</f>
        <v/>
      </c>
      <c r="L584" s="124">
        <f>+'Invullen groen'!AZ594</f>
        <v/>
      </c>
      <c r="M584" s="124">
        <f>+'Invullen groen'!BA594</f>
        <v/>
      </c>
      <c r="N584" s="124">
        <f>+'Invullen groen'!BB594</f>
        <v/>
      </c>
      <c r="O584" s="124">
        <f>+'Invullen groen'!BC594</f>
        <v/>
      </c>
      <c r="P584" s="124">
        <f>+'Invullen groen'!BD594</f>
        <v/>
      </c>
    </row>
    <row r="585">
      <c r="A585" s="113">
        <f>+'Invullen groen'!A595</f>
        <v/>
      </c>
      <c r="B585" s="154">
        <f>+'Invullen groen'!C595</f>
        <v/>
      </c>
      <c r="C585" s="124">
        <f>+'Invullen groen'!G595</f>
        <v/>
      </c>
      <c r="D585" s="113">
        <f>+'Invullen groen'!M595</f>
        <v/>
      </c>
      <c r="E585" s="114">
        <f>+'Invullen groen'!H595</f>
        <v/>
      </c>
      <c r="F585" s="114">
        <f>+'Invullen groen'!I595</f>
        <v/>
      </c>
      <c r="G585" s="114">
        <f>+'Invullen groen'!J595</f>
        <v/>
      </c>
      <c r="H585" s="114">
        <f>+'Invullen groen'!K595</f>
        <v/>
      </c>
      <c r="I585" s="124">
        <f>+'Invullen groen'!AW595</f>
        <v/>
      </c>
      <c r="J585" s="124">
        <f>+'Invullen groen'!AX595</f>
        <v/>
      </c>
      <c r="K585" s="124">
        <f>+'Invullen groen'!AY595</f>
        <v/>
      </c>
      <c r="L585" s="124">
        <f>+'Invullen groen'!AZ595</f>
        <v/>
      </c>
      <c r="M585" s="124">
        <f>+'Invullen groen'!BA595</f>
        <v/>
      </c>
      <c r="N585" s="124">
        <f>+'Invullen groen'!BB595</f>
        <v/>
      </c>
      <c r="O585" s="124">
        <f>+'Invullen groen'!BC595</f>
        <v/>
      </c>
      <c r="P585" s="124">
        <f>+'Invullen groen'!BD595</f>
        <v/>
      </c>
    </row>
    <row r="586">
      <c r="A586" s="113">
        <f>+'Invullen groen'!A596</f>
        <v/>
      </c>
      <c r="B586" s="154">
        <f>+'Invullen groen'!C596</f>
        <v/>
      </c>
      <c r="C586" s="124">
        <f>+'Invullen groen'!G596</f>
        <v/>
      </c>
      <c r="D586" s="113">
        <f>+'Invullen groen'!M596</f>
        <v/>
      </c>
      <c r="E586" s="114">
        <f>+'Invullen groen'!H596</f>
        <v/>
      </c>
      <c r="F586" s="114">
        <f>+'Invullen groen'!I596</f>
        <v/>
      </c>
      <c r="G586" s="114">
        <f>+'Invullen groen'!J596</f>
        <v/>
      </c>
      <c r="H586" s="114">
        <f>+'Invullen groen'!K596</f>
        <v/>
      </c>
      <c r="I586" s="124">
        <f>+'Invullen groen'!AW596</f>
        <v/>
      </c>
      <c r="J586" s="124">
        <f>+'Invullen groen'!AX596</f>
        <v/>
      </c>
      <c r="K586" s="124">
        <f>+'Invullen groen'!AY596</f>
        <v/>
      </c>
      <c r="L586" s="124">
        <f>+'Invullen groen'!AZ596</f>
        <v/>
      </c>
      <c r="M586" s="124">
        <f>+'Invullen groen'!BA596</f>
        <v/>
      </c>
      <c r="N586" s="124">
        <f>+'Invullen groen'!BB596</f>
        <v/>
      </c>
      <c r="O586" s="124">
        <f>+'Invullen groen'!BC596</f>
        <v/>
      </c>
      <c r="P586" s="124">
        <f>+'Invullen groen'!BD596</f>
        <v/>
      </c>
    </row>
    <row r="587">
      <c r="A587" s="113">
        <f>+'Invullen groen'!A597</f>
        <v/>
      </c>
      <c r="B587" s="154">
        <f>+'Invullen groen'!C597</f>
        <v/>
      </c>
      <c r="C587" s="124">
        <f>+'Invullen groen'!G597</f>
        <v/>
      </c>
      <c r="D587" s="113">
        <f>+'Invullen groen'!M597</f>
        <v/>
      </c>
      <c r="E587" s="114">
        <f>+'Invullen groen'!H597</f>
        <v/>
      </c>
      <c r="F587" s="114">
        <f>+'Invullen groen'!I597</f>
        <v/>
      </c>
      <c r="G587" s="114">
        <f>+'Invullen groen'!J597</f>
        <v/>
      </c>
      <c r="H587" s="114">
        <f>+'Invullen groen'!K597</f>
        <v/>
      </c>
      <c r="I587" s="124">
        <f>+'Invullen groen'!AW597</f>
        <v/>
      </c>
      <c r="J587" s="124">
        <f>+'Invullen groen'!AX597</f>
        <v/>
      </c>
      <c r="K587" s="124">
        <f>+'Invullen groen'!AY597</f>
        <v/>
      </c>
      <c r="L587" s="124">
        <f>+'Invullen groen'!AZ597</f>
        <v/>
      </c>
      <c r="M587" s="124">
        <f>+'Invullen groen'!BA597</f>
        <v/>
      </c>
      <c r="N587" s="124">
        <f>+'Invullen groen'!BB597</f>
        <v/>
      </c>
      <c r="O587" s="124">
        <f>+'Invullen groen'!BC597</f>
        <v/>
      </c>
      <c r="P587" s="124">
        <f>+'Invullen groen'!BD597</f>
        <v/>
      </c>
    </row>
    <row r="588">
      <c r="A588" s="113">
        <f>+'Invullen groen'!A598</f>
        <v/>
      </c>
      <c r="B588" s="154">
        <f>+'Invullen groen'!C598</f>
        <v/>
      </c>
      <c r="C588" s="124">
        <f>+'Invullen groen'!G598</f>
        <v/>
      </c>
      <c r="D588" s="113">
        <f>+'Invullen groen'!M598</f>
        <v/>
      </c>
      <c r="E588" s="114">
        <f>+'Invullen groen'!H598</f>
        <v/>
      </c>
      <c r="F588" s="114">
        <f>+'Invullen groen'!I598</f>
        <v/>
      </c>
      <c r="G588" s="114">
        <f>+'Invullen groen'!J598</f>
        <v/>
      </c>
      <c r="H588" s="114">
        <f>+'Invullen groen'!K598</f>
        <v/>
      </c>
      <c r="I588" s="124">
        <f>+'Invullen groen'!AW598</f>
        <v/>
      </c>
      <c r="J588" s="124">
        <f>+'Invullen groen'!AX598</f>
        <v/>
      </c>
      <c r="K588" s="124">
        <f>+'Invullen groen'!AY598</f>
        <v/>
      </c>
      <c r="L588" s="124">
        <f>+'Invullen groen'!AZ598</f>
        <v/>
      </c>
      <c r="M588" s="124">
        <f>+'Invullen groen'!BA598</f>
        <v/>
      </c>
      <c r="N588" s="124">
        <f>+'Invullen groen'!BB598</f>
        <v/>
      </c>
      <c r="O588" s="124">
        <f>+'Invullen groen'!BC598</f>
        <v/>
      </c>
      <c r="P588" s="124">
        <f>+'Invullen groen'!BD598</f>
        <v/>
      </c>
    </row>
    <row r="589">
      <c r="A589" s="113">
        <f>+'Invullen groen'!A599</f>
        <v/>
      </c>
      <c r="B589" s="154">
        <f>+'Invullen groen'!C599</f>
        <v/>
      </c>
      <c r="C589" s="124">
        <f>+'Invullen groen'!G599</f>
        <v/>
      </c>
      <c r="D589" s="113">
        <f>+'Invullen groen'!M599</f>
        <v/>
      </c>
      <c r="E589" s="114">
        <f>+'Invullen groen'!H599</f>
        <v/>
      </c>
      <c r="F589" s="114">
        <f>+'Invullen groen'!I599</f>
        <v/>
      </c>
      <c r="G589" s="114">
        <f>+'Invullen groen'!J599</f>
        <v/>
      </c>
      <c r="H589" s="114">
        <f>+'Invullen groen'!K599</f>
        <v/>
      </c>
      <c r="I589" s="124">
        <f>+'Invullen groen'!AW599</f>
        <v/>
      </c>
      <c r="J589" s="124">
        <f>+'Invullen groen'!AX599</f>
        <v/>
      </c>
      <c r="K589" s="124">
        <f>+'Invullen groen'!AY599</f>
        <v/>
      </c>
      <c r="L589" s="124">
        <f>+'Invullen groen'!AZ599</f>
        <v/>
      </c>
      <c r="M589" s="124">
        <f>+'Invullen groen'!BA599</f>
        <v/>
      </c>
      <c r="N589" s="124">
        <f>+'Invullen groen'!BB599</f>
        <v/>
      </c>
      <c r="O589" s="124">
        <f>+'Invullen groen'!BC599</f>
        <v/>
      </c>
      <c r="P589" s="124">
        <f>+'Invullen groen'!BD599</f>
        <v/>
      </c>
    </row>
    <row r="590">
      <c r="A590" s="113">
        <f>+'Invullen groen'!A600</f>
        <v/>
      </c>
      <c r="B590" s="154">
        <f>+'Invullen groen'!C600</f>
        <v/>
      </c>
      <c r="C590" s="124">
        <f>+'Invullen groen'!G600</f>
        <v/>
      </c>
      <c r="D590" s="113">
        <f>+'Invullen groen'!M600</f>
        <v/>
      </c>
      <c r="E590" s="114">
        <f>+'Invullen groen'!H600</f>
        <v/>
      </c>
      <c r="F590" s="114">
        <f>+'Invullen groen'!I600</f>
        <v/>
      </c>
      <c r="G590" s="114">
        <f>+'Invullen groen'!J600</f>
        <v/>
      </c>
      <c r="H590" s="114">
        <f>+'Invullen groen'!K600</f>
        <v/>
      </c>
      <c r="I590" s="124">
        <f>+'Invullen groen'!AW600</f>
        <v/>
      </c>
      <c r="J590" s="124">
        <f>+'Invullen groen'!AX600</f>
        <v/>
      </c>
      <c r="K590" s="124">
        <f>+'Invullen groen'!AY600</f>
        <v/>
      </c>
      <c r="L590" s="124">
        <f>+'Invullen groen'!AZ600</f>
        <v/>
      </c>
      <c r="M590" s="124">
        <f>+'Invullen groen'!BA600</f>
        <v/>
      </c>
      <c r="N590" s="124">
        <f>+'Invullen groen'!BB600</f>
        <v/>
      </c>
      <c r="O590" s="124">
        <f>+'Invullen groen'!BC600</f>
        <v/>
      </c>
      <c r="P590" s="124">
        <f>+'Invullen groen'!BD600</f>
        <v/>
      </c>
    </row>
    <row r="591">
      <c r="A591" s="113">
        <f>+'Invullen groen'!A601</f>
        <v/>
      </c>
      <c r="B591" s="154">
        <f>+'Invullen groen'!C601</f>
        <v/>
      </c>
      <c r="C591" s="124">
        <f>+'Invullen groen'!G601</f>
        <v/>
      </c>
      <c r="D591" s="113">
        <f>+'Invullen groen'!M601</f>
        <v/>
      </c>
      <c r="E591" s="114">
        <f>+'Invullen groen'!H601</f>
        <v/>
      </c>
      <c r="F591" s="114">
        <f>+'Invullen groen'!I601</f>
        <v/>
      </c>
      <c r="G591" s="114">
        <f>+'Invullen groen'!J601</f>
        <v/>
      </c>
      <c r="H591" s="114">
        <f>+'Invullen groen'!K601</f>
        <v/>
      </c>
      <c r="I591" s="124">
        <f>+'Invullen groen'!AW601</f>
        <v/>
      </c>
      <c r="J591" s="124">
        <f>+'Invullen groen'!AX601</f>
        <v/>
      </c>
      <c r="K591" s="124">
        <f>+'Invullen groen'!AY601</f>
        <v/>
      </c>
      <c r="L591" s="124">
        <f>+'Invullen groen'!AZ601</f>
        <v/>
      </c>
      <c r="M591" s="124">
        <f>+'Invullen groen'!BA601</f>
        <v/>
      </c>
      <c r="N591" s="124">
        <f>+'Invullen groen'!BB601</f>
        <v/>
      </c>
      <c r="O591" s="124">
        <f>+'Invullen groen'!BC601</f>
        <v/>
      </c>
      <c r="P591" s="124">
        <f>+'Invullen groen'!BD601</f>
        <v/>
      </c>
    </row>
    <row r="592">
      <c r="A592" s="113">
        <f>+'Invullen groen'!A602</f>
        <v/>
      </c>
      <c r="B592" s="154">
        <f>+'Invullen groen'!C602</f>
        <v/>
      </c>
      <c r="C592" s="124">
        <f>+'Invullen groen'!G602</f>
        <v/>
      </c>
      <c r="D592" s="113">
        <f>+'Invullen groen'!M602</f>
        <v/>
      </c>
      <c r="E592" s="114">
        <f>+'Invullen groen'!H602</f>
        <v/>
      </c>
      <c r="F592" s="114">
        <f>+'Invullen groen'!I602</f>
        <v/>
      </c>
      <c r="G592" s="114">
        <f>+'Invullen groen'!J602</f>
        <v/>
      </c>
      <c r="H592" s="114">
        <f>+'Invullen groen'!K602</f>
        <v/>
      </c>
      <c r="I592" s="124">
        <f>+'Invullen groen'!AW602</f>
        <v/>
      </c>
      <c r="J592" s="124">
        <f>+'Invullen groen'!AX602</f>
        <v/>
      </c>
      <c r="K592" s="124">
        <f>+'Invullen groen'!AY602</f>
        <v/>
      </c>
      <c r="L592" s="124">
        <f>+'Invullen groen'!AZ602</f>
        <v/>
      </c>
      <c r="M592" s="124">
        <f>+'Invullen groen'!BA602</f>
        <v/>
      </c>
      <c r="N592" s="124">
        <f>+'Invullen groen'!BB602</f>
        <v/>
      </c>
      <c r="O592" s="124">
        <f>+'Invullen groen'!BC602</f>
        <v/>
      </c>
      <c r="P592" s="124">
        <f>+'Invullen groen'!BD602</f>
        <v/>
      </c>
    </row>
    <row r="593">
      <c r="A593" s="113">
        <f>+'Invullen groen'!A603</f>
        <v/>
      </c>
      <c r="B593" s="154">
        <f>+'Invullen groen'!C603</f>
        <v/>
      </c>
      <c r="C593" s="124">
        <f>+'Invullen groen'!G603</f>
        <v/>
      </c>
      <c r="D593" s="113">
        <f>+'Invullen groen'!M603</f>
        <v/>
      </c>
      <c r="E593" s="114">
        <f>+'Invullen groen'!H603</f>
        <v/>
      </c>
      <c r="F593" s="114">
        <f>+'Invullen groen'!I603</f>
        <v/>
      </c>
      <c r="G593" s="114">
        <f>+'Invullen groen'!J603</f>
        <v/>
      </c>
      <c r="H593" s="114">
        <f>+'Invullen groen'!K603</f>
        <v/>
      </c>
      <c r="I593" s="124">
        <f>+'Invullen groen'!AW603</f>
        <v/>
      </c>
      <c r="J593" s="124">
        <f>+'Invullen groen'!AX603</f>
        <v/>
      </c>
      <c r="K593" s="124">
        <f>+'Invullen groen'!AY603</f>
        <v/>
      </c>
      <c r="L593" s="124">
        <f>+'Invullen groen'!AZ603</f>
        <v/>
      </c>
      <c r="M593" s="124">
        <f>+'Invullen groen'!BA603</f>
        <v/>
      </c>
      <c r="N593" s="124">
        <f>+'Invullen groen'!BB603</f>
        <v/>
      </c>
      <c r="O593" s="124">
        <f>+'Invullen groen'!BC603</f>
        <v/>
      </c>
      <c r="P593" s="124">
        <f>+'Invullen groen'!BD603</f>
        <v/>
      </c>
    </row>
    <row r="594">
      <c r="A594" s="113">
        <f>+'Invullen groen'!A604</f>
        <v/>
      </c>
      <c r="B594" s="154">
        <f>+'Invullen groen'!C604</f>
        <v/>
      </c>
      <c r="C594" s="124">
        <f>+'Invullen groen'!G604</f>
        <v/>
      </c>
      <c r="D594" s="113">
        <f>+'Invullen groen'!M604</f>
        <v/>
      </c>
      <c r="E594" s="114">
        <f>+'Invullen groen'!H604</f>
        <v/>
      </c>
      <c r="F594" s="114">
        <f>+'Invullen groen'!I604</f>
        <v/>
      </c>
      <c r="G594" s="114">
        <f>+'Invullen groen'!J604</f>
        <v/>
      </c>
      <c r="H594" s="114">
        <f>+'Invullen groen'!K604</f>
        <v/>
      </c>
      <c r="I594" s="124">
        <f>+'Invullen groen'!AW604</f>
        <v/>
      </c>
      <c r="J594" s="124">
        <f>+'Invullen groen'!AX604</f>
        <v/>
      </c>
      <c r="K594" s="124">
        <f>+'Invullen groen'!AY604</f>
        <v/>
      </c>
      <c r="L594" s="124">
        <f>+'Invullen groen'!AZ604</f>
        <v/>
      </c>
      <c r="M594" s="124">
        <f>+'Invullen groen'!BA604</f>
        <v/>
      </c>
      <c r="N594" s="124">
        <f>+'Invullen groen'!BB604</f>
        <v/>
      </c>
      <c r="O594" s="124">
        <f>+'Invullen groen'!BC604</f>
        <v/>
      </c>
      <c r="P594" s="124">
        <f>+'Invullen groen'!BD604</f>
        <v/>
      </c>
    </row>
    <row r="595">
      <c r="A595" s="113">
        <f>+'Invullen groen'!A605</f>
        <v/>
      </c>
      <c r="B595" s="154">
        <f>+'Invullen groen'!C605</f>
        <v/>
      </c>
      <c r="C595" s="124">
        <f>+'Invullen groen'!G605</f>
        <v/>
      </c>
      <c r="D595" s="113">
        <f>+'Invullen groen'!M605</f>
        <v/>
      </c>
      <c r="E595" s="114">
        <f>+'Invullen groen'!H605</f>
        <v/>
      </c>
      <c r="F595" s="114">
        <f>+'Invullen groen'!I605</f>
        <v/>
      </c>
      <c r="G595" s="114">
        <f>+'Invullen groen'!J605</f>
        <v/>
      </c>
      <c r="H595" s="114">
        <f>+'Invullen groen'!K605</f>
        <v/>
      </c>
      <c r="I595" s="124">
        <f>+'Invullen groen'!AW605</f>
        <v/>
      </c>
      <c r="J595" s="124">
        <f>+'Invullen groen'!AX605</f>
        <v/>
      </c>
      <c r="K595" s="124">
        <f>+'Invullen groen'!AY605</f>
        <v/>
      </c>
      <c r="L595" s="124">
        <f>+'Invullen groen'!AZ605</f>
        <v/>
      </c>
      <c r="M595" s="124">
        <f>+'Invullen groen'!BA605</f>
        <v/>
      </c>
      <c r="N595" s="124">
        <f>+'Invullen groen'!BB605</f>
        <v/>
      </c>
      <c r="O595" s="124">
        <f>+'Invullen groen'!BC605</f>
        <v/>
      </c>
      <c r="P595" s="124">
        <f>+'Invullen groen'!BD605</f>
        <v/>
      </c>
    </row>
    <row r="596">
      <c r="A596" s="113">
        <f>+'Invullen groen'!A606</f>
        <v/>
      </c>
      <c r="B596" s="154">
        <f>+'Invullen groen'!C606</f>
        <v/>
      </c>
      <c r="C596" s="124">
        <f>+'Invullen groen'!G606</f>
        <v/>
      </c>
      <c r="D596" s="113">
        <f>+'Invullen groen'!M606</f>
        <v/>
      </c>
      <c r="E596" s="114">
        <f>+'Invullen groen'!H606</f>
        <v/>
      </c>
      <c r="F596" s="114">
        <f>+'Invullen groen'!I606</f>
        <v/>
      </c>
      <c r="G596" s="114">
        <f>+'Invullen groen'!J606</f>
        <v/>
      </c>
      <c r="H596" s="114">
        <f>+'Invullen groen'!K606</f>
        <v/>
      </c>
      <c r="I596" s="124">
        <f>+'Invullen groen'!AW606</f>
        <v/>
      </c>
      <c r="J596" s="124">
        <f>+'Invullen groen'!AX606</f>
        <v/>
      </c>
      <c r="K596" s="124">
        <f>+'Invullen groen'!AY606</f>
        <v/>
      </c>
      <c r="L596" s="124">
        <f>+'Invullen groen'!AZ606</f>
        <v/>
      </c>
      <c r="M596" s="124">
        <f>+'Invullen groen'!BA606</f>
        <v/>
      </c>
      <c r="N596" s="124">
        <f>+'Invullen groen'!BB606</f>
        <v/>
      </c>
      <c r="O596" s="124">
        <f>+'Invullen groen'!BC606</f>
        <v/>
      </c>
      <c r="P596" s="124">
        <f>+'Invullen groen'!BD606</f>
        <v/>
      </c>
    </row>
    <row r="597">
      <c r="A597" s="113">
        <f>+'Invullen groen'!A607</f>
        <v/>
      </c>
      <c r="B597" s="154">
        <f>+'Invullen groen'!C607</f>
        <v/>
      </c>
      <c r="C597" s="124">
        <f>+'Invullen groen'!G607</f>
        <v/>
      </c>
      <c r="D597" s="113">
        <f>+'Invullen groen'!M607</f>
        <v/>
      </c>
      <c r="E597" s="114">
        <f>+'Invullen groen'!H607</f>
        <v/>
      </c>
      <c r="F597" s="114">
        <f>+'Invullen groen'!I607</f>
        <v/>
      </c>
      <c r="G597" s="114">
        <f>+'Invullen groen'!J607</f>
        <v/>
      </c>
      <c r="H597" s="114">
        <f>+'Invullen groen'!K607</f>
        <v/>
      </c>
      <c r="I597" s="124">
        <f>+'Invullen groen'!AW607</f>
        <v/>
      </c>
      <c r="J597" s="124">
        <f>+'Invullen groen'!AX607</f>
        <v/>
      </c>
      <c r="K597" s="124">
        <f>+'Invullen groen'!AY607</f>
        <v/>
      </c>
      <c r="L597" s="124">
        <f>+'Invullen groen'!AZ607</f>
        <v/>
      </c>
      <c r="M597" s="124">
        <f>+'Invullen groen'!BA607</f>
        <v/>
      </c>
      <c r="N597" s="124">
        <f>+'Invullen groen'!BB607</f>
        <v/>
      </c>
      <c r="O597" s="124">
        <f>+'Invullen groen'!BC607</f>
        <v/>
      </c>
      <c r="P597" s="124">
        <f>+'Invullen groen'!BD607</f>
        <v/>
      </c>
    </row>
    <row r="598">
      <c r="A598" s="113">
        <f>+'Invullen groen'!A608</f>
        <v/>
      </c>
      <c r="B598" s="154">
        <f>+'Invullen groen'!C608</f>
        <v/>
      </c>
      <c r="C598" s="124">
        <f>+'Invullen groen'!G608</f>
        <v/>
      </c>
      <c r="D598" s="113">
        <f>+'Invullen groen'!M608</f>
        <v/>
      </c>
      <c r="E598" s="114">
        <f>+'Invullen groen'!H608</f>
        <v/>
      </c>
      <c r="F598" s="114">
        <f>+'Invullen groen'!I608</f>
        <v/>
      </c>
      <c r="G598" s="114">
        <f>+'Invullen groen'!J608</f>
        <v/>
      </c>
      <c r="H598" s="114">
        <f>+'Invullen groen'!K608</f>
        <v/>
      </c>
      <c r="I598" s="124">
        <f>+'Invullen groen'!AW608</f>
        <v/>
      </c>
      <c r="J598" s="124">
        <f>+'Invullen groen'!AX608</f>
        <v/>
      </c>
      <c r="K598" s="124">
        <f>+'Invullen groen'!AY608</f>
        <v/>
      </c>
      <c r="L598" s="124">
        <f>+'Invullen groen'!AZ608</f>
        <v/>
      </c>
      <c r="M598" s="124">
        <f>+'Invullen groen'!BA608</f>
        <v/>
      </c>
      <c r="N598" s="124">
        <f>+'Invullen groen'!BB608</f>
        <v/>
      </c>
      <c r="O598" s="124">
        <f>+'Invullen groen'!BC608</f>
        <v/>
      </c>
      <c r="P598" s="124">
        <f>+'Invullen groen'!BD608</f>
        <v/>
      </c>
    </row>
    <row r="599">
      <c r="A599" s="113">
        <f>+'Invullen groen'!A609</f>
        <v/>
      </c>
      <c r="B599" s="154">
        <f>+'Invullen groen'!C609</f>
        <v/>
      </c>
      <c r="C599" s="124">
        <f>+'Invullen groen'!G609</f>
        <v/>
      </c>
      <c r="D599" s="113">
        <f>+'Invullen groen'!M609</f>
        <v/>
      </c>
      <c r="E599" s="114">
        <f>+'Invullen groen'!H609</f>
        <v/>
      </c>
      <c r="F599" s="114">
        <f>+'Invullen groen'!I609</f>
        <v/>
      </c>
      <c r="G599" s="114">
        <f>+'Invullen groen'!J609</f>
        <v/>
      </c>
      <c r="H599" s="114">
        <f>+'Invullen groen'!K609</f>
        <v/>
      </c>
      <c r="I599" s="124">
        <f>+'Invullen groen'!AW609</f>
        <v/>
      </c>
      <c r="J599" s="124">
        <f>+'Invullen groen'!AX609</f>
        <v/>
      </c>
      <c r="K599" s="124">
        <f>+'Invullen groen'!AY609</f>
        <v/>
      </c>
      <c r="L599" s="124">
        <f>+'Invullen groen'!AZ609</f>
        <v/>
      </c>
      <c r="M599" s="124">
        <f>+'Invullen groen'!BA609</f>
        <v/>
      </c>
      <c r="N599" s="124">
        <f>+'Invullen groen'!BB609</f>
        <v/>
      </c>
      <c r="O599" s="124">
        <f>+'Invullen groen'!BC609</f>
        <v/>
      </c>
      <c r="P599" s="124">
        <f>+'Invullen groen'!BD609</f>
        <v/>
      </c>
    </row>
    <row r="600">
      <c r="A600" s="113">
        <f>+'Invullen groen'!A610</f>
        <v/>
      </c>
      <c r="B600" s="154">
        <f>+'Invullen groen'!C610</f>
        <v/>
      </c>
      <c r="C600" s="124">
        <f>+'Invullen groen'!G610</f>
        <v/>
      </c>
      <c r="D600" s="113">
        <f>+'Invullen groen'!M610</f>
        <v/>
      </c>
      <c r="E600" s="114">
        <f>+'Invullen groen'!H610</f>
        <v/>
      </c>
      <c r="F600" s="114">
        <f>+'Invullen groen'!I610</f>
        <v/>
      </c>
      <c r="G600" s="114">
        <f>+'Invullen groen'!J610</f>
        <v/>
      </c>
      <c r="H600" s="114">
        <f>+'Invullen groen'!K610</f>
        <v/>
      </c>
      <c r="I600" s="124">
        <f>+'Invullen groen'!AW610</f>
        <v/>
      </c>
      <c r="J600" s="124">
        <f>+'Invullen groen'!AX610</f>
        <v/>
      </c>
      <c r="K600" s="124">
        <f>+'Invullen groen'!AY610</f>
        <v/>
      </c>
      <c r="L600" s="124">
        <f>+'Invullen groen'!AZ610</f>
        <v/>
      </c>
      <c r="M600" s="124">
        <f>+'Invullen groen'!BA610</f>
        <v/>
      </c>
      <c r="N600" s="124">
        <f>+'Invullen groen'!BB610</f>
        <v/>
      </c>
      <c r="O600" s="124">
        <f>+'Invullen groen'!BC610</f>
        <v/>
      </c>
      <c r="P600" s="124">
        <f>+'Invullen groen'!BD610</f>
        <v/>
      </c>
    </row>
    <row r="601">
      <c r="A601" s="113">
        <f>+'Invullen groen'!A611</f>
        <v/>
      </c>
      <c r="B601" s="154">
        <f>+'Invullen groen'!C611</f>
        <v/>
      </c>
      <c r="C601" s="124">
        <f>+'Invullen groen'!G611</f>
        <v/>
      </c>
      <c r="D601" s="113">
        <f>+'Invullen groen'!M611</f>
        <v/>
      </c>
      <c r="E601" s="114">
        <f>+'Invullen groen'!H611</f>
        <v/>
      </c>
      <c r="F601" s="114">
        <f>+'Invullen groen'!I611</f>
        <v/>
      </c>
      <c r="G601" s="114">
        <f>+'Invullen groen'!J611</f>
        <v/>
      </c>
      <c r="H601" s="114">
        <f>+'Invullen groen'!K611</f>
        <v/>
      </c>
      <c r="I601" s="124">
        <f>+'Invullen groen'!AW611</f>
        <v/>
      </c>
      <c r="J601" s="124">
        <f>+'Invullen groen'!AX611</f>
        <v/>
      </c>
      <c r="K601" s="124">
        <f>+'Invullen groen'!AY611</f>
        <v/>
      </c>
      <c r="L601" s="124">
        <f>+'Invullen groen'!AZ611</f>
        <v/>
      </c>
      <c r="M601" s="124">
        <f>+'Invullen groen'!BA611</f>
        <v/>
      </c>
      <c r="N601" s="124">
        <f>+'Invullen groen'!BB611</f>
        <v/>
      </c>
      <c r="O601" s="124">
        <f>+'Invullen groen'!BC611</f>
        <v/>
      </c>
      <c r="P601" s="124">
        <f>+'Invullen groen'!BD611</f>
        <v/>
      </c>
    </row>
    <row r="602">
      <c r="A602" s="113">
        <f>+'Invullen groen'!A612</f>
        <v/>
      </c>
      <c r="B602" s="154">
        <f>+'Invullen groen'!C612</f>
        <v/>
      </c>
      <c r="C602" s="124">
        <f>+'Invullen groen'!G612</f>
        <v/>
      </c>
      <c r="D602" s="113">
        <f>+'Invullen groen'!M612</f>
        <v/>
      </c>
      <c r="E602" s="114">
        <f>+'Invullen groen'!H612</f>
        <v/>
      </c>
      <c r="F602" s="114">
        <f>+'Invullen groen'!I612</f>
        <v/>
      </c>
      <c r="G602" s="114">
        <f>+'Invullen groen'!J612</f>
        <v/>
      </c>
      <c r="H602" s="114">
        <f>+'Invullen groen'!K612</f>
        <v/>
      </c>
      <c r="I602" s="124">
        <f>+'Invullen groen'!AW612</f>
        <v/>
      </c>
      <c r="J602" s="124">
        <f>+'Invullen groen'!AX612</f>
        <v/>
      </c>
      <c r="K602" s="124">
        <f>+'Invullen groen'!AY612</f>
        <v/>
      </c>
      <c r="L602" s="124">
        <f>+'Invullen groen'!AZ612</f>
        <v/>
      </c>
      <c r="M602" s="124">
        <f>+'Invullen groen'!BA612</f>
        <v/>
      </c>
      <c r="N602" s="124">
        <f>+'Invullen groen'!BB612</f>
        <v/>
      </c>
      <c r="O602" s="124">
        <f>+'Invullen groen'!BC612</f>
        <v/>
      </c>
      <c r="P602" s="124">
        <f>+'Invullen groen'!BD612</f>
        <v/>
      </c>
    </row>
    <row r="603">
      <c r="A603" s="113">
        <f>+'Invullen groen'!A613</f>
        <v/>
      </c>
      <c r="B603" s="154">
        <f>+'Invullen groen'!C613</f>
        <v/>
      </c>
      <c r="C603" s="124">
        <f>+'Invullen groen'!G613</f>
        <v/>
      </c>
      <c r="D603" s="113">
        <f>+'Invullen groen'!M613</f>
        <v/>
      </c>
      <c r="E603" s="114">
        <f>+'Invullen groen'!H613</f>
        <v/>
      </c>
      <c r="F603" s="114">
        <f>+'Invullen groen'!I613</f>
        <v/>
      </c>
      <c r="G603" s="114">
        <f>+'Invullen groen'!J613</f>
        <v/>
      </c>
      <c r="H603" s="114">
        <f>+'Invullen groen'!K613</f>
        <v/>
      </c>
      <c r="I603" s="124">
        <f>+'Invullen groen'!AW613</f>
        <v/>
      </c>
      <c r="J603" s="124">
        <f>+'Invullen groen'!AX613</f>
        <v/>
      </c>
      <c r="K603" s="124">
        <f>+'Invullen groen'!AY613</f>
        <v/>
      </c>
      <c r="L603" s="124">
        <f>+'Invullen groen'!AZ613</f>
        <v/>
      </c>
      <c r="M603" s="124">
        <f>+'Invullen groen'!BA613</f>
        <v/>
      </c>
      <c r="N603" s="124">
        <f>+'Invullen groen'!BB613</f>
        <v/>
      </c>
      <c r="O603" s="124">
        <f>+'Invullen groen'!BC613</f>
        <v/>
      </c>
      <c r="P603" s="124">
        <f>+'Invullen groen'!BD613</f>
        <v/>
      </c>
    </row>
    <row r="604">
      <c r="A604" s="113">
        <f>+'Invullen groen'!A614</f>
        <v/>
      </c>
      <c r="B604" s="154">
        <f>+'Invullen groen'!C614</f>
        <v/>
      </c>
      <c r="C604" s="124">
        <f>+'Invullen groen'!G614</f>
        <v/>
      </c>
      <c r="D604" s="113">
        <f>+'Invullen groen'!M614</f>
        <v/>
      </c>
      <c r="E604" s="114">
        <f>+'Invullen groen'!H614</f>
        <v/>
      </c>
      <c r="F604" s="114">
        <f>+'Invullen groen'!I614</f>
        <v/>
      </c>
      <c r="G604" s="114">
        <f>+'Invullen groen'!J614</f>
        <v/>
      </c>
      <c r="H604" s="114">
        <f>+'Invullen groen'!K614</f>
        <v/>
      </c>
      <c r="I604" s="124">
        <f>+'Invullen groen'!AW614</f>
        <v/>
      </c>
      <c r="J604" s="124">
        <f>+'Invullen groen'!AX614</f>
        <v/>
      </c>
      <c r="K604" s="124">
        <f>+'Invullen groen'!AY614</f>
        <v/>
      </c>
      <c r="L604" s="124">
        <f>+'Invullen groen'!AZ614</f>
        <v/>
      </c>
      <c r="M604" s="124">
        <f>+'Invullen groen'!BA614</f>
        <v/>
      </c>
      <c r="N604" s="124">
        <f>+'Invullen groen'!BB614</f>
        <v/>
      </c>
      <c r="O604" s="124">
        <f>+'Invullen groen'!BC614</f>
        <v/>
      </c>
      <c r="P604" s="124">
        <f>+'Invullen groen'!BD614</f>
        <v/>
      </c>
    </row>
    <row r="605">
      <c r="A605" s="113">
        <f>+'Invullen groen'!A615</f>
        <v/>
      </c>
      <c r="B605" s="154">
        <f>+'Invullen groen'!C615</f>
        <v/>
      </c>
      <c r="C605" s="124">
        <f>+'Invullen groen'!G615</f>
        <v/>
      </c>
      <c r="D605" s="113">
        <f>+'Invullen groen'!M615</f>
        <v/>
      </c>
      <c r="E605" s="114">
        <f>+'Invullen groen'!H615</f>
        <v/>
      </c>
      <c r="F605" s="114">
        <f>+'Invullen groen'!I615</f>
        <v/>
      </c>
      <c r="G605" s="114">
        <f>+'Invullen groen'!J615</f>
        <v/>
      </c>
      <c r="H605" s="114">
        <f>+'Invullen groen'!K615</f>
        <v/>
      </c>
      <c r="I605" s="124">
        <f>+'Invullen groen'!AW615</f>
        <v/>
      </c>
      <c r="J605" s="124">
        <f>+'Invullen groen'!AX615</f>
        <v/>
      </c>
      <c r="K605" s="124">
        <f>+'Invullen groen'!AY615</f>
        <v/>
      </c>
      <c r="L605" s="124">
        <f>+'Invullen groen'!AZ615</f>
        <v/>
      </c>
      <c r="M605" s="124">
        <f>+'Invullen groen'!BA615</f>
        <v/>
      </c>
      <c r="N605" s="124">
        <f>+'Invullen groen'!BB615</f>
        <v/>
      </c>
      <c r="O605" s="124">
        <f>+'Invullen groen'!BC615</f>
        <v/>
      </c>
      <c r="P605" s="124">
        <f>+'Invullen groen'!BD615</f>
        <v/>
      </c>
    </row>
    <row r="606">
      <c r="A606" s="113">
        <f>+'Invullen groen'!A616</f>
        <v/>
      </c>
      <c r="B606" s="154">
        <f>+'Invullen groen'!C616</f>
        <v/>
      </c>
      <c r="C606" s="124">
        <f>+'Invullen groen'!G616</f>
        <v/>
      </c>
      <c r="D606" s="113">
        <f>+'Invullen groen'!M616</f>
        <v/>
      </c>
      <c r="E606" s="114">
        <f>+'Invullen groen'!H616</f>
        <v/>
      </c>
      <c r="F606" s="114">
        <f>+'Invullen groen'!I616</f>
        <v/>
      </c>
      <c r="G606" s="114">
        <f>+'Invullen groen'!J616</f>
        <v/>
      </c>
      <c r="H606" s="114">
        <f>+'Invullen groen'!K616</f>
        <v/>
      </c>
      <c r="I606" s="124">
        <f>+'Invullen groen'!AW616</f>
        <v/>
      </c>
      <c r="J606" s="124">
        <f>+'Invullen groen'!AX616</f>
        <v/>
      </c>
      <c r="K606" s="124">
        <f>+'Invullen groen'!AY616</f>
        <v/>
      </c>
      <c r="L606" s="124">
        <f>+'Invullen groen'!AZ616</f>
        <v/>
      </c>
      <c r="M606" s="124">
        <f>+'Invullen groen'!BA616</f>
        <v/>
      </c>
      <c r="N606" s="124">
        <f>+'Invullen groen'!BB616</f>
        <v/>
      </c>
      <c r="O606" s="124">
        <f>+'Invullen groen'!BC616</f>
        <v/>
      </c>
      <c r="P606" s="124">
        <f>+'Invullen groen'!BD616</f>
        <v/>
      </c>
    </row>
    <row r="607">
      <c r="A607" s="113">
        <f>+'Invullen groen'!A617</f>
        <v/>
      </c>
      <c r="B607" s="154">
        <f>+'Invullen groen'!C617</f>
        <v/>
      </c>
      <c r="C607" s="124">
        <f>+'Invullen groen'!G617</f>
        <v/>
      </c>
      <c r="D607" s="113">
        <f>+'Invullen groen'!M617</f>
        <v/>
      </c>
      <c r="E607" s="114">
        <f>+'Invullen groen'!H617</f>
        <v/>
      </c>
      <c r="F607" s="114">
        <f>+'Invullen groen'!I617</f>
        <v/>
      </c>
      <c r="G607" s="114">
        <f>+'Invullen groen'!J617</f>
        <v/>
      </c>
      <c r="H607" s="114">
        <f>+'Invullen groen'!K617</f>
        <v/>
      </c>
      <c r="I607" s="124">
        <f>+'Invullen groen'!AW617</f>
        <v/>
      </c>
      <c r="J607" s="124">
        <f>+'Invullen groen'!AX617</f>
        <v/>
      </c>
      <c r="K607" s="124">
        <f>+'Invullen groen'!AY617</f>
        <v/>
      </c>
      <c r="L607" s="124">
        <f>+'Invullen groen'!AZ617</f>
        <v/>
      </c>
      <c r="M607" s="124">
        <f>+'Invullen groen'!BA617</f>
        <v/>
      </c>
      <c r="N607" s="124">
        <f>+'Invullen groen'!BB617</f>
        <v/>
      </c>
      <c r="O607" s="124">
        <f>+'Invullen groen'!BC617</f>
        <v/>
      </c>
      <c r="P607" s="124">
        <f>+'Invullen groen'!BD617</f>
        <v/>
      </c>
    </row>
    <row r="608">
      <c r="A608" s="113">
        <f>+'Invullen groen'!A618</f>
        <v/>
      </c>
      <c r="B608" s="154">
        <f>+'Invullen groen'!C618</f>
        <v/>
      </c>
      <c r="C608" s="124">
        <f>+'Invullen groen'!G618</f>
        <v/>
      </c>
      <c r="D608" s="113">
        <f>+'Invullen groen'!M618</f>
        <v/>
      </c>
      <c r="E608" s="114">
        <f>+'Invullen groen'!H618</f>
        <v/>
      </c>
      <c r="F608" s="114">
        <f>+'Invullen groen'!I618</f>
        <v/>
      </c>
      <c r="G608" s="114">
        <f>+'Invullen groen'!J618</f>
        <v/>
      </c>
      <c r="H608" s="114">
        <f>+'Invullen groen'!K618</f>
        <v/>
      </c>
      <c r="I608" s="124">
        <f>+'Invullen groen'!AW618</f>
        <v/>
      </c>
      <c r="J608" s="124">
        <f>+'Invullen groen'!AX618</f>
        <v/>
      </c>
      <c r="K608" s="124">
        <f>+'Invullen groen'!AY618</f>
        <v/>
      </c>
      <c r="L608" s="124">
        <f>+'Invullen groen'!AZ618</f>
        <v/>
      </c>
      <c r="M608" s="124">
        <f>+'Invullen groen'!BA618</f>
        <v/>
      </c>
      <c r="N608" s="124">
        <f>+'Invullen groen'!BB618</f>
        <v/>
      </c>
      <c r="O608" s="124">
        <f>+'Invullen groen'!BC618</f>
        <v/>
      </c>
      <c r="P608" s="124">
        <f>+'Invullen groen'!BD618</f>
        <v/>
      </c>
    </row>
    <row r="609">
      <c r="A609" s="113">
        <f>+'Invullen groen'!A619</f>
        <v/>
      </c>
      <c r="B609" s="154">
        <f>+'Invullen groen'!C619</f>
        <v/>
      </c>
      <c r="C609" s="124">
        <f>+'Invullen groen'!G619</f>
        <v/>
      </c>
      <c r="D609" s="113">
        <f>+'Invullen groen'!M619</f>
        <v/>
      </c>
      <c r="E609" s="114">
        <f>+'Invullen groen'!H619</f>
        <v/>
      </c>
      <c r="F609" s="114">
        <f>+'Invullen groen'!I619</f>
        <v/>
      </c>
      <c r="G609" s="114">
        <f>+'Invullen groen'!J619</f>
        <v/>
      </c>
      <c r="H609" s="114">
        <f>+'Invullen groen'!K619</f>
        <v/>
      </c>
      <c r="I609" s="124">
        <f>+'Invullen groen'!AW619</f>
        <v/>
      </c>
      <c r="J609" s="124">
        <f>+'Invullen groen'!AX619</f>
        <v/>
      </c>
      <c r="K609" s="124">
        <f>+'Invullen groen'!AY619</f>
        <v/>
      </c>
      <c r="L609" s="124">
        <f>+'Invullen groen'!AZ619</f>
        <v/>
      </c>
      <c r="M609" s="124">
        <f>+'Invullen groen'!BA619</f>
        <v/>
      </c>
      <c r="N609" s="124">
        <f>+'Invullen groen'!BB619</f>
        <v/>
      </c>
      <c r="O609" s="124">
        <f>+'Invullen groen'!BC619</f>
        <v/>
      </c>
      <c r="P609" s="124">
        <f>+'Invullen groen'!BD619</f>
        <v/>
      </c>
    </row>
    <row r="610">
      <c r="A610" s="113">
        <f>+'Invullen groen'!A620</f>
        <v/>
      </c>
      <c r="B610" s="154">
        <f>+'Invullen groen'!C620</f>
        <v/>
      </c>
      <c r="C610" s="124">
        <f>+'Invullen groen'!G620</f>
        <v/>
      </c>
      <c r="D610" s="113">
        <f>+'Invullen groen'!M620</f>
        <v/>
      </c>
      <c r="E610" s="114">
        <f>+'Invullen groen'!H620</f>
        <v/>
      </c>
      <c r="F610" s="114">
        <f>+'Invullen groen'!I620</f>
        <v/>
      </c>
      <c r="G610" s="114">
        <f>+'Invullen groen'!J620</f>
        <v/>
      </c>
      <c r="H610" s="114">
        <f>+'Invullen groen'!K620</f>
        <v/>
      </c>
      <c r="I610" s="124">
        <f>+'Invullen groen'!AW620</f>
        <v/>
      </c>
      <c r="J610" s="124">
        <f>+'Invullen groen'!AX620</f>
        <v/>
      </c>
      <c r="K610" s="124">
        <f>+'Invullen groen'!AY620</f>
        <v/>
      </c>
      <c r="L610" s="124">
        <f>+'Invullen groen'!AZ620</f>
        <v/>
      </c>
      <c r="M610" s="124">
        <f>+'Invullen groen'!BA620</f>
        <v/>
      </c>
      <c r="N610" s="124">
        <f>+'Invullen groen'!BB620</f>
        <v/>
      </c>
      <c r="O610" s="124">
        <f>+'Invullen groen'!BC620</f>
        <v/>
      </c>
      <c r="P610" s="124">
        <f>+'Invullen groen'!BD620</f>
        <v/>
      </c>
    </row>
    <row r="611">
      <c r="A611" s="113">
        <f>+'Invullen groen'!A621</f>
        <v/>
      </c>
      <c r="B611" s="154">
        <f>+'Invullen groen'!C621</f>
        <v/>
      </c>
      <c r="C611" s="124">
        <f>+'Invullen groen'!G621</f>
        <v/>
      </c>
      <c r="D611" s="113">
        <f>+'Invullen groen'!M621</f>
        <v/>
      </c>
      <c r="E611" s="114">
        <f>+'Invullen groen'!H621</f>
        <v/>
      </c>
      <c r="F611" s="114">
        <f>+'Invullen groen'!I621</f>
        <v/>
      </c>
      <c r="G611" s="114">
        <f>+'Invullen groen'!J621</f>
        <v/>
      </c>
      <c r="H611" s="114">
        <f>+'Invullen groen'!K621</f>
        <v/>
      </c>
      <c r="I611" s="124">
        <f>+'Invullen groen'!AW621</f>
        <v/>
      </c>
      <c r="J611" s="124">
        <f>+'Invullen groen'!AX621</f>
        <v/>
      </c>
      <c r="K611" s="124">
        <f>+'Invullen groen'!AY621</f>
        <v/>
      </c>
      <c r="L611" s="124">
        <f>+'Invullen groen'!AZ621</f>
        <v/>
      </c>
      <c r="M611" s="124">
        <f>+'Invullen groen'!BA621</f>
        <v/>
      </c>
      <c r="N611" s="124">
        <f>+'Invullen groen'!BB621</f>
        <v/>
      </c>
      <c r="O611" s="124">
        <f>+'Invullen groen'!BC621</f>
        <v/>
      </c>
      <c r="P611" s="124">
        <f>+'Invullen groen'!BD621</f>
        <v/>
      </c>
    </row>
    <row r="612">
      <c r="A612" s="113">
        <f>+'Invullen groen'!A622</f>
        <v/>
      </c>
      <c r="B612" s="154">
        <f>+'Invullen groen'!C622</f>
        <v/>
      </c>
      <c r="C612" s="124">
        <f>+'Invullen groen'!G622</f>
        <v/>
      </c>
      <c r="D612" s="113">
        <f>+'Invullen groen'!M622</f>
        <v/>
      </c>
      <c r="E612" s="114">
        <f>+'Invullen groen'!H622</f>
        <v/>
      </c>
      <c r="F612" s="114">
        <f>+'Invullen groen'!I622</f>
        <v/>
      </c>
      <c r="G612" s="114">
        <f>+'Invullen groen'!J622</f>
        <v/>
      </c>
      <c r="H612" s="114">
        <f>+'Invullen groen'!K622</f>
        <v/>
      </c>
      <c r="I612" s="124">
        <f>+'Invullen groen'!AW622</f>
        <v/>
      </c>
      <c r="J612" s="124">
        <f>+'Invullen groen'!AX622</f>
        <v/>
      </c>
      <c r="K612" s="124">
        <f>+'Invullen groen'!AY622</f>
        <v/>
      </c>
      <c r="L612" s="124">
        <f>+'Invullen groen'!AZ622</f>
        <v/>
      </c>
      <c r="M612" s="124">
        <f>+'Invullen groen'!BA622</f>
        <v/>
      </c>
      <c r="N612" s="124">
        <f>+'Invullen groen'!BB622</f>
        <v/>
      </c>
      <c r="O612" s="124">
        <f>+'Invullen groen'!BC622</f>
        <v/>
      </c>
      <c r="P612" s="124">
        <f>+'Invullen groen'!BD622</f>
        <v/>
      </c>
    </row>
    <row r="613">
      <c r="A613" s="113">
        <f>+'Invullen groen'!A623</f>
        <v/>
      </c>
      <c r="B613" s="154">
        <f>+'Invullen groen'!C623</f>
        <v/>
      </c>
      <c r="C613" s="124">
        <f>+'Invullen groen'!G623</f>
        <v/>
      </c>
      <c r="D613" s="113">
        <f>+'Invullen groen'!M623</f>
        <v/>
      </c>
      <c r="E613" s="114">
        <f>+'Invullen groen'!H623</f>
        <v/>
      </c>
      <c r="F613" s="114">
        <f>+'Invullen groen'!I623</f>
        <v/>
      </c>
      <c r="G613" s="114">
        <f>+'Invullen groen'!J623</f>
        <v/>
      </c>
      <c r="H613" s="114">
        <f>+'Invullen groen'!K623</f>
        <v/>
      </c>
      <c r="I613" s="124">
        <f>+'Invullen groen'!AW623</f>
        <v/>
      </c>
      <c r="J613" s="124">
        <f>+'Invullen groen'!AX623</f>
        <v/>
      </c>
      <c r="K613" s="124">
        <f>+'Invullen groen'!AY623</f>
        <v/>
      </c>
      <c r="L613" s="124">
        <f>+'Invullen groen'!AZ623</f>
        <v/>
      </c>
      <c r="M613" s="124">
        <f>+'Invullen groen'!BA623</f>
        <v/>
      </c>
      <c r="N613" s="124">
        <f>+'Invullen groen'!BB623</f>
        <v/>
      </c>
      <c r="O613" s="124">
        <f>+'Invullen groen'!BC623</f>
        <v/>
      </c>
      <c r="P613" s="124">
        <f>+'Invullen groen'!BD623</f>
        <v/>
      </c>
    </row>
    <row r="614">
      <c r="A614" s="113">
        <f>+'Invullen groen'!A624</f>
        <v/>
      </c>
      <c r="B614" s="154">
        <f>+'Invullen groen'!C624</f>
        <v/>
      </c>
      <c r="C614" s="124">
        <f>+'Invullen groen'!G624</f>
        <v/>
      </c>
      <c r="D614" s="113">
        <f>+'Invullen groen'!M624</f>
        <v/>
      </c>
      <c r="E614" s="114">
        <f>+'Invullen groen'!H624</f>
        <v/>
      </c>
      <c r="F614" s="114">
        <f>+'Invullen groen'!I624</f>
        <v/>
      </c>
      <c r="G614" s="114">
        <f>+'Invullen groen'!J624</f>
        <v/>
      </c>
      <c r="H614" s="114">
        <f>+'Invullen groen'!K624</f>
        <v/>
      </c>
      <c r="I614" s="124">
        <f>+'Invullen groen'!AW624</f>
        <v/>
      </c>
      <c r="J614" s="124">
        <f>+'Invullen groen'!AX624</f>
        <v/>
      </c>
      <c r="K614" s="124">
        <f>+'Invullen groen'!AY624</f>
        <v/>
      </c>
      <c r="L614" s="124">
        <f>+'Invullen groen'!AZ624</f>
        <v/>
      </c>
      <c r="M614" s="124">
        <f>+'Invullen groen'!BA624</f>
        <v/>
      </c>
      <c r="N614" s="124">
        <f>+'Invullen groen'!BB624</f>
        <v/>
      </c>
      <c r="O614" s="124">
        <f>+'Invullen groen'!BC624</f>
        <v/>
      </c>
      <c r="P614" s="124">
        <f>+'Invullen groen'!BD624</f>
        <v/>
      </c>
    </row>
    <row r="615">
      <c r="A615" s="113">
        <f>+'Invullen groen'!A625</f>
        <v/>
      </c>
      <c r="B615" s="154">
        <f>+'Invullen groen'!C625</f>
        <v/>
      </c>
      <c r="C615" s="124">
        <f>+'Invullen groen'!G625</f>
        <v/>
      </c>
      <c r="D615" s="113">
        <f>+'Invullen groen'!M625</f>
        <v/>
      </c>
      <c r="E615" s="114">
        <f>+'Invullen groen'!H625</f>
        <v/>
      </c>
      <c r="F615" s="114">
        <f>+'Invullen groen'!I625</f>
        <v/>
      </c>
      <c r="G615" s="114">
        <f>+'Invullen groen'!J625</f>
        <v/>
      </c>
      <c r="H615" s="114">
        <f>+'Invullen groen'!K625</f>
        <v/>
      </c>
      <c r="I615" s="124">
        <f>+'Invullen groen'!AW625</f>
        <v/>
      </c>
      <c r="J615" s="124">
        <f>+'Invullen groen'!AX625</f>
        <v/>
      </c>
      <c r="K615" s="124">
        <f>+'Invullen groen'!AY625</f>
        <v/>
      </c>
      <c r="L615" s="124">
        <f>+'Invullen groen'!AZ625</f>
        <v/>
      </c>
      <c r="M615" s="124">
        <f>+'Invullen groen'!BA625</f>
        <v/>
      </c>
      <c r="N615" s="124">
        <f>+'Invullen groen'!BB625</f>
        <v/>
      </c>
      <c r="O615" s="124">
        <f>+'Invullen groen'!BC625</f>
        <v/>
      </c>
      <c r="P615" s="124">
        <f>+'Invullen groen'!BD625</f>
        <v/>
      </c>
    </row>
    <row r="616">
      <c r="A616" s="113">
        <f>+'Invullen groen'!A626</f>
        <v/>
      </c>
      <c r="B616" s="154">
        <f>+'Invullen groen'!C626</f>
        <v/>
      </c>
      <c r="C616" s="124">
        <f>+'Invullen groen'!G626</f>
        <v/>
      </c>
      <c r="D616" s="113">
        <f>+'Invullen groen'!M626</f>
        <v/>
      </c>
      <c r="E616" s="114">
        <f>+'Invullen groen'!H626</f>
        <v/>
      </c>
      <c r="F616" s="114">
        <f>+'Invullen groen'!I626</f>
        <v/>
      </c>
      <c r="G616" s="114">
        <f>+'Invullen groen'!J626</f>
        <v/>
      </c>
      <c r="H616" s="114">
        <f>+'Invullen groen'!K626</f>
        <v/>
      </c>
      <c r="I616" s="124">
        <f>+'Invullen groen'!AW626</f>
        <v/>
      </c>
      <c r="J616" s="124">
        <f>+'Invullen groen'!AX626</f>
        <v/>
      </c>
      <c r="K616" s="124">
        <f>+'Invullen groen'!AY626</f>
        <v/>
      </c>
      <c r="L616" s="124">
        <f>+'Invullen groen'!AZ626</f>
        <v/>
      </c>
      <c r="M616" s="124">
        <f>+'Invullen groen'!BA626</f>
        <v/>
      </c>
      <c r="N616" s="124">
        <f>+'Invullen groen'!BB626</f>
        <v/>
      </c>
      <c r="O616" s="124">
        <f>+'Invullen groen'!BC626</f>
        <v/>
      </c>
      <c r="P616" s="124">
        <f>+'Invullen groen'!BD626</f>
        <v/>
      </c>
    </row>
    <row r="617">
      <c r="A617" s="113">
        <f>+'Invullen groen'!A627</f>
        <v/>
      </c>
      <c r="B617" s="154">
        <f>+'Invullen groen'!C627</f>
        <v/>
      </c>
      <c r="C617" s="124">
        <f>+'Invullen groen'!G627</f>
        <v/>
      </c>
      <c r="D617" s="113">
        <f>+'Invullen groen'!M627</f>
        <v/>
      </c>
      <c r="E617" s="114">
        <f>+'Invullen groen'!H627</f>
        <v/>
      </c>
      <c r="F617" s="114">
        <f>+'Invullen groen'!I627</f>
        <v/>
      </c>
      <c r="G617" s="114">
        <f>+'Invullen groen'!J627</f>
        <v/>
      </c>
      <c r="H617" s="114">
        <f>+'Invullen groen'!K627</f>
        <v/>
      </c>
      <c r="I617" s="124">
        <f>+'Invullen groen'!AW627</f>
        <v/>
      </c>
      <c r="J617" s="124">
        <f>+'Invullen groen'!AX627</f>
        <v/>
      </c>
      <c r="K617" s="124">
        <f>+'Invullen groen'!AY627</f>
        <v/>
      </c>
      <c r="L617" s="124">
        <f>+'Invullen groen'!AZ627</f>
        <v/>
      </c>
      <c r="M617" s="124">
        <f>+'Invullen groen'!BA627</f>
        <v/>
      </c>
      <c r="N617" s="124">
        <f>+'Invullen groen'!BB627</f>
        <v/>
      </c>
      <c r="O617" s="124">
        <f>+'Invullen groen'!BC627</f>
        <v/>
      </c>
      <c r="P617" s="124">
        <f>+'Invullen groen'!BD627</f>
        <v/>
      </c>
    </row>
    <row r="618">
      <c r="A618" s="113">
        <f>+'Invullen groen'!A628</f>
        <v/>
      </c>
      <c r="B618" s="154">
        <f>+'Invullen groen'!C628</f>
        <v/>
      </c>
      <c r="C618" s="124">
        <f>+'Invullen groen'!G628</f>
        <v/>
      </c>
      <c r="D618" s="113">
        <f>+'Invullen groen'!M628</f>
        <v/>
      </c>
      <c r="E618" s="114">
        <f>+'Invullen groen'!H628</f>
        <v/>
      </c>
      <c r="F618" s="114">
        <f>+'Invullen groen'!I628</f>
        <v/>
      </c>
      <c r="G618" s="114">
        <f>+'Invullen groen'!J628</f>
        <v/>
      </c>
      <c r="H618" s="114">
        <f>+'Invullen groen'!K628</f>
        <v/>
      </c>
      <c r="I618" s="124">
        <f>+'Invullen groen'!AW628</f>
        <v/>
      </c>
      <c r="J618" s="124">
        <f>+'Invullen groen'!AX628</f>
        <v/>
      </c>
      <c r="K618" s="124">
        <f>+'Invullen groen'!AY628</f>
        <v/>
      </c>
      <c r="L618" s="124">
        <f>+'Invullen groen'!AZ628</f>
        <v/>
      </c>
      <c r="M618" s="124">
        <f>+'Invullen groen'!BA628</f>
        <v/>
      </c>
      <c r="N618" s="124">
        <f>+'Invullen groen'!BB628</f>
        <v/>
      </c>
      <c r="O618" s="124">
        <f>+'Invullen groen'!BC628</f>
        <v/>
      </c>
      <c r="P618" s="124">
        <f>+'Invullen groen'!BD628</f>
        <v/>
      </c>
    </row>
    <row r="619">
      <c r="A619" s="113">
        <f>+'Invullen groen'!A629</f>
        <v/>
      </c>
      <c r="B619" s="154">
        <f>+'Invullen groen'!C629</f>
        <v/>
      </c>
      <c r="C619" s="124">
        <f>+'Invullen groen'!G629</f>
        <v/>
      </c>
      <c r="D619" s="113">
        <f>+'Invullen groen'!M629</f>
        <v/>
      </c>
      <c r="E619" s="114">
        <f>+'Invullen groen'!H629</f>
        <v/>
      </c>
      <c r="F619" s="114">
        <f>+'Invullen groen'!I629</f>
        <v/>
      </c>
      <c r="G619" s="114">
        <f>+'Invullen groen'!J629</f>
        <v/>
      </c>
      <c r="H619" s="114">
        <f>+'Invullen groen'!K629</f>
        <v/>
      </c>
      <c r="I619" s="124">
        <f>+'Invullen groen'!AW629</f>
        <v/>
      </c>
      <c r="J619" s="124">
        <f>+'Invullen groen'!AX629</f>
        <v/>
      </c>
      <c r="K619" s="124">
        <f>+'Invullen groen'!AY629</f>
        <v/>
      </c>
      <c r="L619" s="124">
        <f>+'Invullen groen'!AZ629</f>
        <v/>
      </c>
      <c r="M619" s="124">
        <f>+'Invullen groen'!BA629</f>
        <v/>
      </c>
      <c r="N619" s="124">
        <f>+'Invullen groen'!BB629</f>
        <v/>
      </c>
      <c r="O619" s="124">
        <f>+'Invullen groen'!BC629</f>
        <v/>
      </c>
      <c r="P619" s="124">
        <f>+'Invullen groen'!BD629</f>
        <v/>
      </c>
    </row>
    <row r="620">
      <c r="A620" s="113">
        <f>+'Invullen groen'!A630</f>
        <v/>
      </c>
      <c r="B620" s="154">
        <f>+'Invullen groen'!C630</f>
        <v/>
      </c>
      <c r="C620" s="124">
        <f>+'Invullen groen'!G630</f>
        <v/>
      </c>
      <c r="D620" s="113">
        <f>+'Invullen groen'!M630</f>
        <v/>
      </c>
      <c r="E620" s="114">
        <f>+'Invullen groen'!H630</f>
        <v/>
      </c>
      <c r="F620" s="114">
        <f>+'Invullen groen'!I630</f>
        <v/>
      </c>
      <c r="G620" s="114">
        <f>+'Invullen groen'!J630</f>
        <v/>
      </c>
      <c r="H620" s="114">
        <f>+'Invullen groen'!K630</f>
        <v/>
      </c>
      <c r="I620" s="124">
        <f>+'Invullen groen'!AW630</f>
        <v/>
      </c>
      <c r="J620" s="124">
        <f>+'Invullen groen'!AX630</f>
        <v/>
      </c>
      <c r="K620" s="124">
        <f>+'Invullen groen'!AY630</f>
        <v/>
      </c>
      <c r="L620" s="124">
        <f>+'Invullen groen'!AZ630</f>
        <v/>
      </c>
      <c r="M620" s="124">
        <f>+'Invullen groen'!BA630</f>
        <v/>
      </c>
      <c r="N620" s="124">
        <f>+'Invullen groen'!BB630</f>
        <v/>
      </c>
      <c r="O620" s="124">
        <f>+'Invullen groen'!BC630</f>
        <v/>
      </c>
      <c r="P620" s="124">
        <f>+'Invullen groen'!BD630</f>
        <v/>
      </c>
    </row>
    <row r="621">
      <c r="A621" s="113">
        <f>+'Invullen groen'!A631</f>
        <v/>
      </c>
      <c r="B621" s="154">
        <f>+'Invullen groen'!C631</f>
        <v/>
      </c>
      <c r="C621" s="124">
        <f>+'Invullen groen'!G631</f>
        <v/>
      </c>
      <c r="D621" s="113">
        <f>+'Invullen groen'!M631</f>
        <v/>
      </c>
      <c r="E621" s="114">
        <f>+'Invullen groen'!H631</f>
        <v/>
      </c>
      <c r="F621" s="114">
        <f>+'Invullen groen'!I631</f>
        <v/>
      </c>
      <c r="G621" s="114">
        <f>+'Invullen groen'!J631</f>
        <v/>
      </c>
      <c r="H621" s="114">
        <f>+'Invullen groen'!K631</f>
        <v/>
      </c>
      <c r="I621" s="124">
        <f>+'Invullen groen'!AW631</f>
        <v/>
      </c>
      <c r="J621" s="124">
        <f>+'Invullen groen'!AX631</f>
        <v/>
      </c>
      <c r="K621" s="124">
        <f>+'Invullen groen'!AY631</f>
        <v/>
      </c>
      <c r="L621" s="124">
        <f>+'Invullen groen'!AZ631</f>
        <v/>
      </c>
      <c r="M621" s="124">
        <f>+'Invullen groen'!BA631</f>
        <v/>
      </c>
      <c r="N621" s="124">
        <f>+'Invullen groen'!BB631</f>
        <v/>
      </c>
      <c r="O621" s="124">
        <f>+'Invullen groen'!BC631</f>
        <v/>
      </c>
      <c r="P621" s="124">
        <f>+'Invullen groen'!BD631</f>
        <v/>
      </c>
    </row>
    <row r="622">
      <c r="A622" s="113">
        <f>+'Invullen groen'!A632</f>
        <v/>
      </c>
      <c r="B622" s="154">
        <f>+'Invullen groen'!C632</f>
        <v/>
      </c>
      <c r="C622" s="124">
        <f>+'Invullen groen'!G632</f>
        <v/>
      </c>
      <c r="D622" s="113">
        <f>+'Invullen groen'!M632</f>
        <v/>
      </c>
      <c r="E622" s="114">
        <f>+'Invullen groen'!H632</f>
        <v/>
      </c>
      <c r="F622" s="114">
        <f>+'Invullen groen'!I632</f>
        <v/>
      </c>
      <c r="G622" s="114">
        <f>+'Invullen groen'!J632</f>
        <v/>
      </c>
      <c r="H622" s="114">
        <f>+'Invullen groen'!K632</f>
        <v/>
      </c>
      <c r="I622" s="124">
        <f>+'Invullen groen'!AW632</f>
        <v/>
      </c>
      <c r="J622" s="124">
        <f>+'Invullen groen'!AX632</f>
        <v/>
      </c>
      <c r="K622" s="124">
        <f>+'Invullen groen'!AY632</f>
        <v/>
      </c>
      <c r="L622" s="124">
        <f>+'Invullen groen'!AZ632</f>
        <v/>
      </c>
      <c r="M622" s="124">
        <f>+'Invullen groen'!BA632</f>
        <v/>
      </c>
      <c r="N622" s="124">
        <f>+'Invullen groen'!BB632</f>
        <v/>
      </c>
      <c r="O622" s="124">
        <f>+'Invullen groen'!BC632</f>
        <v/>
      </c>
      <c r="P622" s="124">
        <f>+'Invullen groen'!BD632</f>
        <v/>
      </c>
    </row>
    <row r="623">
      <c r="A623" s="113">
        <f>+'Invullen groen'!A633</f>
        <v/>
      </c>
      <c r="B623" s="154">
        <f>+'Invullen groen'!C633</f>
        <v/>
      </c>
      <c r="C623" s="124">
        <f>+'Invullen groen'!G633</f>
        <v/>
      </c>
      <c r="D623" s="113">
        <f>+'Invullen groen'!M633</f>
        <v/>
      </c>
      <c r="E623" s="114">
        <f>+'Invullen groen'!H633</f>
        <v/>
      </c>
      <c r="F623" s="114">
        <f>+'Invullen groen'!I633</f>
        <v/>
      </c>
      <c r="G623" s="114">
        <f>+'Invullen groen'!J633</f>
        <v/>
      </c>
      <c r="H623" s="114">
        <f>+'Invullen groen'!K633</f>
        <v/>
      </c>
      <c r="I623" s="124">
        <f>+'Invullen groen'!AW633</f>
        <v/>
      </c>
      <c r="J623" s="124">
        <f>+'Invullen groen'!AX633</f>
        <v/>
      </c>
      <c r="K623" s="124">
        <f>+'Invullen groen'!AY633</f>
        <v/>
      </c>
      <c r="L623" s="124">
        <f>+'Invullen groen'!AZ633</f>
        <v/>
      </c>
      <c r="M623" s="124">
        <f>+'Invullen groen'!BA633</f>
        <v/>
      </c>
      <c r="N623" s="124">
        <f>+'Invullen groen'!BB633</f>
        <v/>
      </c>
      <c r="O623" s="124">
        <f>+'Invullen groen'!BC633</f>
        <v/>
      </c>
      <c r="P623" s="124">
        <f>+'Invullen groen'!BD633</f>
        <v/>
      </c>
    </row>
    <row r="624">
      <c r="A624" s="113">
        <f>+'Invullen groen'!A634</f>
        <v/>
      </c>
      <c r="B624" s="154">
        <f>+'Invullen groen'!C634</f>
        <v/>
      </c>
      <c r="C624" s="124">
        <f>+'Invullen groen'!G634</f>
        <v/>
      </c>
      <c r="D624" s="113">
        <f>+'Invullen groen'!M634</f>
        <v/>
      </c>
      <c r="E624" s="114">
        <f>+'Invullen groen'!H634</f>
        <v/>
      </c>
      <c r="F624" s="114">
        <f>+'Invullen groen'!I634</f>
        <v/>
      </c>
      <c r="G624" s="114">
        <f>+'Invullen groen'!J634</f>
        <v/>
      </c>
      <c r="H624" s="114">
        <f>+'Invullen groen'!K634</f>
        <v/>
      </c>
      <c r="I624" s="124">
        <f>+'Invullen groen'!AW634</f>
        <v/>
      </c>
      <c r="J624" s="124">
        <f>+'Invullen groen'!AX634</f>
        <v/>
      </c>
      <c r="K624" s="124">
        <f>+'Invullen groen'!AY634</f>
        <v/>
      </c>
      <c r="L624" s="124">
        <f>+'Invullen groen'!AZ634</f>
        <v/>
      </c>
      <c r="M624" s="124">
        <f>+'Invullen groen'!BA634</f>
        <v/>
      </c>
      <c r="N624" s="124">
        <f>+'Invullen groen'!BB634</f>
        <v/>
      </c>
      <c r="O624" s="124">
        <f>+'Invullen groen'!BC634</f>
        <v/>
      </c>
      <c r="P624" s="124">
        <f>+'Invullen groen'!BD634</f>
        <v/>
      </c>
    </row>
    <row r="625">
      <c r="A625" s="113">
        <f>+'Invullen groen'!A635</f>
        <v/>
      </c>
      <c r="B625" s="154">
        <f>+'Invullen groen'!C635</f>
        <v/>
      </c>
      <c r="C625" s="124">
        <f>+'Invullen groen'!G635</f>
        <v/>
      </c>
      <c r="D625" s="113">
        <f>+'Invullen groen'!M635</f>
        <v/>
      </c>
      <c r="E625" s="114">
        <f>+'Invullen groen'!H635</f>
        <v/>
      </c>
      <c r="F625" s="114">
        <f>+'Invullen groen'!I635</f>
        <v/>
      </c>
      <c r="G625" s="114">
        <f>+'Invullen groen'!J635</f>
        <v/>
      </c>
      <c r="H625" s="114">
        <f>+'Invullen groen'!K635</f>
        <v/>
      </c>
      <c r="I625" s="124">
        <f>+'Invullen groen'!AW635</f>
        <v/>
      </c>
      <c r="J625" s="124">
        <f>+'Invullen groen'!AX635</f>
        <v/>
      </c>
      <c r="K625" s="124">
        <f>+'Invullen groen'!AY635</f>
        <v/>
      </c>
      <c r="L625" s="124">
        <f>+'Invullen groen'!AZ635</f>
        <v/>
      </c>
      <c r="M625" s="124">
        <f>+'Invullen groen'!BA635</f>
        <v/>
      </c>
      <c r="N625" s="124">
        <f>+'Invullen groen'!BB635</f>
        <v/>
      </c>
      <c r="O625" s="124">
        <f>+'Invullen groen'!BC635</f>
        <v/>
      </c>
      <c r="P625" s="124">
        <f>+'Invullen groen'!BD635</f>
        <v/>
      </c>
    </row>
    <row r="626">
      <c r="A626" s="113">
        <f>+'Invullen groen'!A636</f>
        <v/>
      </c>
      <c r="B626" s="154">
        <f>+'Invullen groen'!C636</f>
        <v/>
      </c>
      <c r="C626" s="124">
        <f>+'Invullen groen'!G636</f>
        <v/>
      </c>
      <c r="D626" s="113">
        <f>+'Invullen groen'!M636</f>
        <v/>
      </c>
      <c r="E626" s="114">
        <f>+'Invullen groen'!H636</f>
        <v/>
      </c>
      <c r="F626" s="114">
        <f>+'Invullen groen'!I636</f>
        <v/>
      </c>
      <c r="G626" s="114">
        <f>+'Invullen groen'!J636</f>
        <v/>
      </c>
      <c r="H626" s="114">
        <f>+'Invullen groen'!K636</f>
        <v/>
      </c>
      <c r="I626" s="124">
        <f>+'Invullen groen'!AW636</f>
        <v/>
      </c>
      <c r="J626" s="124">
        <f>+'Invullen groen'!AX636</f>
        <v/>
      </c>
      <c r="K626" s="124">
        <f>+'Invullen groen'!AY636</f>
        <v/>
      </c>
      <c r="L626" s="124">
        <f>+'Invullen groen'!AZ636</f>
        <v/>
      </c>
      <c r="M626" s="124">
        <f>+'Invullen groen'!BA636</f>
        <v/>
      </c>
      <c r="N626" s="124">
        <f>+'Invullen groen'!BB636</f>
        <v/>
      </c>
      <c r="O626" s="124">
        <f>+'Invullen groen'!BC636</f>
        <v/>
      </c>
      <c r="P626" s="124">
        <f>+'Invullen groen'!BD636</f>
        <v/>
      </c>
    </row>
    <row r="627">
      <c r="A627" s="113">
        <f>+'Invullen groen'!A637</f>
        <v/>
      </c>
      <c r="B627" s="154">
        <f>+'Invullen groen'!C637</f>
        <v/>
      </c>
      <c r="C627" s="124">
        <f>+'Invullen groen'!G637</f>
        <v/>
      </c>
      <c r="D627" s="113">
        <f>+'Invullen groen'!M637</f>
        <v/>
      </c>
      <c r="E627" s="114">
        <f>+'Invullen groen'!H637</f>
        <v/>
      </c>
      <c r="F627" s="114">
        <f>+'Invullen groen'!I637</f>
        <v/>
      </c>
      <c r="G627" s="114">
        <f>+'Invullen groen'!J637</f>
        <v/>
      </c>
      <c r="H627" s="114">
        <f>+'Invullen groen'!K637</f>
        <v/>
      </c>
      <c r="I627" s="124">
        <f>+'Invullen groen'!AW637</f>
        <v/>
      </c>
      <c r="J627" s="124">
        <f>+'Invullen groen'!AX637</f>
        <v/>
      </c>
      <c r="K627" s="124">
        <f>+'Invullen groen'!AY637</f>
        <v/>
      </c>
      <c r="L627" s="124">
        <f>+'Invullen groen'!AZ637</f>
        <v/>
      </c>
      <c r="M627" s="124">
        <f>+'Invullen groen'!BA637</f>
        <v/>
      </c>
      <c r="N627" s="124">
        <f>+'Invullen groen'!BB637</f>
        <v/>
      </c>
      <c r="O627" s="124">
        <f>+'Invullen groen'!BC637</f>
        <v/>
      </c>
      <c r="P627" s="124">
        <f>+'Invullen groen'!BD637</f>
        <v/>
      </c>
    </row>
    <row r="628">
      <c r="A628" s="113">
        <f>+'Invullen groen'!A638</f>
        <v/>
      </c>
      <c r="B628" s="154">
        <f>+'Invullen groen'!C638</f>
        <v/>
      </c>
      <c r="C628" s="124">
        <f>+'Invullen groen'!G638</f>
        <v/>
      </c>
      <c r="D628" s="113">
        <f>+'Invullen groen'!M638</f>
        <v/>
      </c>
      <c r="E628" s="114">
        <f>+'Invullen groen'!H638</f>
        <v/>
      </c>
      <c r="F628" s="114">
        <f>+'Invullen groen'!I638</f>
        <v/>
      </c>
      <c r="G628" s="114">
        <f>+'Invullen groen'!J638</f>
        <v/>
      </c>
      <c r="H628" s="114">
        <f>+'Invullen groen'!K638</f>
        <v/>
      </c>
      <c r="I628" s="124">
        <f>+'Invullen groen'!AW638</f>
        <v/>
      </c>
      <c r="J628" s="124">
        <f>+'Invullen groen'!AX638</f>
        <v/>
      </c>
      <c r="K628" s="124">
        <f>+'Invullen groen'!AY638</f>
        <v/>
      </c>
      <c r="L628" s="124">
        <f>+'Invullen groen'!AZ638</f>
        <v/>
      </c>
      <c r="M628" s="124">
        <f>+'Invullen groen'!BA638</f>
        <v/>
      </c>
      <c r="N628" s="124">
        <f>+'Invullen groen'!BB638</f>
        <v/>
      </c>
      <c r="O628" s="124">
        <f>+'Invullen groen'!BC638</f>
        <v/>
      </c>
      <c r="P628" s="124">
        <f>+'Invullen groen'!BD638</f>
        <v/>
      </c>
    </row>
    <row r="629">
      <c r="A629" s="113">
        <f>+'Invullen groen'!A639</f>
        <v/>
      </c>
      <c r="B629" s="154">
        <f>+'Invullen groen'!C639</f>
        <v/>
      </c>
      <c r="C629" s="124">
        <f>+'Invullen groen'!G639</f>
        <v/>
      </c>
      <c r="D629" s="113">
        <f>+'Invullen groen'!M639</f>
        <v/>
      </c>
      <c r="E629" s="114">
        <f>+'Invullen groen'!H639</f>
        <v/>
      </c>
      <c r="F629" s="114">
        <f>+'Invullen groen'!I639</f>
        <v/>
      </c>
      <c r="G629" s="114">
        <f>+'Invullen groen'!J639</f>
        <v/>
      </c>
      <c r="H629" s="114">
        <f>+'Invullen groen'!K639</f>
        <v/>
      </c>
      <c r="I629" s="124">
        <f>+'Invullen groen'!AW639</f>
        <v/>
      </c>
      <c r="J629" s="124">
        <f>+'Invullen groen'!AX639</f>
        <v/>
      </c>
      <c r="K629" s="124">
        <f>+'Invullen groen'!AY639</f>
        <v/>
      </c>
      <c r="L629" s="124">
        <f>+'Invullen groen'!AZ639</f>
        <v/>
      </c>
      <c r="M629" s="124">
        <f>+'Invullen groen'!BA639</f>
        <v/>
      </c>
      <c r="N629" s="124">
        <f>+'Invullen groen'!BB639</f>
        <v/>
      </c>
      <c r="O629" s="124">
        <f>+'Invullen groen'!BC639</f>
        <v/>
      </c>
      <c r="P629" s="124">
        <f>+'Invullen groen'!BD639</f>
        <v/>
      </c>
    </row>
    <row r="630">
      <c r="A630" s="113">
        <f>+'Invullen groen'!A640</f>
        <v/>
      </c>
      <c r="B630" s="154">
        <f>+'Invullen groen'!C640</f>
        <v/>
      </c>
      <c r="C630" s="124">
        <f>+'Invullen groen'!G640</f>
        <v/>
      </c>
      <c r="D630" s="113">
        <f>+'Invullen groen'!M640</f>
        <v/>
      </c>
      <c r="E630" s="114">
        <f>+'Invullen groen'!H640</f>
        <v/>
      </c>
      <c r="F630" s="114">
        <f>+'Invullen groen'!I640</f>
        <v/>
      </c>
      <c r="G630" s="114">
        <f>+'Invullen groen'!J640</f>
        <v/>
      </c>
      <c r="H630" s="114">
        <f>+'Invullen groen'!K640</f>
        <v/>
      </c>
      <c r="I630" s="124">
        <f>+'Invullen groen'!AW640</f>
        <v/>
      </c>
      <c r="J630" s="124">
        <f>+'Invullen groen'!AX640</f>
        <v/>
      </c>
      <c r="K630" s="124">
        <f>+'Invullen groen'!AY640</f>
        <v/>
      </c>
      <c r="L630" s="124">
        <f>+'Invullen groen'!AZ640</f>
        <v/>
      </c>
      <c r="M630" s="124">
        <f>+'Invullen groen'!BA640</f>
        <v/>
      </c>
      <c r="N630" s="124">
        <f>+'Invullen groen'!BB640</f>
        <v/>
      </c>
      <c r="O630" s="124">
        <f>+'Invullen groen'!BC640</f>
        <v/>
      </c>
      <c r="P630" s="124">
        <f>+'Invullen groen'!BD640</f>
        <v/>
      </c>
    </row>
    <row r="631">
      <c r="A631" s="113">
        <f>+'Invullen groen'!A641</f>
        <v/>
      </c>
      <c r="B631" s="154">
        <f>+'Invullen groen'!C641</f>
        <v/>
      </c>
      <c r="C631" s="124">
        <f>+'Invullen groen'!G641</f>
        <v/>
      </c>
      <c r="D631" s="113">
        <f>+'Invullen groen'!M641</f>
        <v/>
      </c>
      <c r="E631" s="114">
        <f>+'Invullen groen'!H641</f>
        <v/>
      </c>
      <c r="F631" s="114">
        <f>+'Invullen groen'!I641</f>
        <v/>
      </c>
      <c r="G631" s="114">
        <f>+'Invullen groen'!J641</f>
        <v/>
      </c>
      <c r="H631" s="114">
        <f>+'Invullen groen'!K641</f>
        <v/>
      </c>
      <c r="I631" s="124">
        <f>+'Invullen groen'!AW641</f>
        <v/>
      </c>
      <c r="J631" s="124">
        <f>+'Invullen groen'!AX641</f>
        <v/>
      </c>
      <c r="K631" s="124">
        <f>+'Invullen groen'!AY641</f>
        <v/>
      </c>
      <c r="L631" s="124">
        <f>+'Invullen groen'!AZ641</f>
        <v/>
      </c>
      <c r="M631" s="124">
        <f>+'Invullen groen'!BA641</f>
        <v/>
      </c>
      <c r="N631" s="124">
        <f>+'Invullen groen'!BB641</f>
        <v/>
      </c>
      <c r="O631" s="124">
        <f>+'Invullen groen'!BC641</f>
        <v/>
      </c>
      <c r="P631" s="124">
        <f>+'Invullen groen'!BD641</f>
        <v/>
      </c>
    </row>
    <row r="632">
      <c r="A632" s="113">
        <f>+'Invullen groen'!A642</f>
        <v/>
      </c>
      <c r="B632" s="154">
        <f>+'Invullen groen'!C642</f>
        <v/>
      </c>
      <c r="C632" s="124">
        <f>+'Invullen groen'!G642</f>
        <v/>
      </c>
      <c r="D632" s="113">
        <f>+'Invullen groen'!M642</f>
        <v/>
      </c>
      <c r="E632" s="114">
        <f>+'Invullen groen'!H642</f>
        <v/>
      </c>
      <c r="F632" s="114">
        <f>+'Invullen groen'!I642</f>
        <v/>
      </c>
      <c r="G632" s="114">
        <f>+'Invullen groen'!J642</f>
        <v/>
      </c>
      <c r="H632" s="114">
        <f>+'Invullen groen'!K642</f>
        <v/>
      </c>
      <c r="I632" s="124">
        <f>+'Invullen groen'!AW642</f>
        <v/>
      </c>
      <c r="J632" s="124">
        <f>+'Invullen groen'!AX642</f>
        <v/>
      </c>
      <c r="K632" s="124">
        <f>+'Invullen groen'!AY642</f>
        <v/>
      </c>
      <c r="L632" s="124">
        <f>+'Invullen groen'!AZ642</f>
        <v/>
      </c>
      <c r="M632" s="124">
        <f>+'Invullen groen'!BA642</f>
        <v/>
      </c>
      <c r="N632" s="124">
        <f>+'Invullen groen'!BB642</f>
        <v/>
      </c>
      <c r="O632" s="124">
        <f>+'Invullen groen'!BC642</f>
        <v/>
      </c>
      <c r="P632" s="124">
        <f>+'Invullen groen'!BD642</f>
        <v/>
      </c>
    </row>
    <row r="633">
      <c r="A633" s="113">
        <f>+'Invullen groen'!A643</f>
        <v/>
      </c>
      <c r="B633" s="154">
        <f>+'Invullen groen'!C643</f>
        <v/>
      </c>
      <c r="C633" s="124">
        <f>+'Invullen groen'!G643</f>
        <v/>
      </c>
      <c r="D633" s="113">
        <f>+'Invullen groen'!M643</f>
        <v/>
      </c>
      <c r="E633" s="114">
        <f>+'Invullen groen'!H643</f>
        <v/>
      </c>
      <c r="F633" s="114">
        <f>+'Invullen groen'!I643</f>
        <v/>
      </c>
      <c r="G633" s="114">
        <f>+'Invullen groen'!J643</f>
        <v/>
      </c>
      <c r="H633" s="114">
        <f>+'Invullen groen'!K643</f>
        <v/>
      </c>
      <c r="I633" s="124">
        <f>+'Invullen groen'!AW643</f>
        <v/>
      </c>
      <c r="J633" s="124">
        <f>+'Invullen groen'!AX643</f>
        <v/>
      </c>
      <c r="K633" s="124">
        <f>+'Invullen groen'!AY643</f>
        <v/>
      </c>
      <c r="L633" s="124">
        <f>+'Invullen groen'!AZ643</f>
        <v/>
      </c>
      <c r="M633" s="124">
        <f>+'Invullen groen'!BA643</f>
        <v/>
      </c>
      <c r="N633" s="124">
        <f>+'Invullen groen'!BB643</f>
        <v/>
      </c>
      <c r="O633" s="124">
        <f>+'Invullen groen'!BC643</f>
        <v/>
      </c>
      <c r="P633" s="124">
        <f>+'Invullen groen'!BD643</f>
        <v/>
      </c>
    </row>
    <row r="634">
      <c r="A634" s="113">
        <f>+'Invullen groen'!A644</f>
        <v/>
      </c>
      <c r="B634" s="154">
        <f>+'Invullen groen'!C644</f>
        <v/>
      </c>
      <c r="C634" s="124">
        <f>+'Invullen groen'!G644</f>
        <v/>
      </c>
      <c r="D634" s="113">
        <f>+'Invullen groen'!M644</f>
        <v/>
      </c>
      <c r="E634" s="114">
        <f>+'Invullen groen'!H644</f>
        <v/>
      </c>
      <c r="F634" s="114">
        <f>+'Invullen groen'!I644</f>
        <v/>
      </c>
      <c r="G634" s="114">
        <f>+'Invullen groen'!J644</f>
        <v/>
      </c>
      <c r="H634" s="114">
        <f>+'Invullen groen'!K644</f>
        <v/>
      </c>
      <c r="I634" s="124">
        <f>+'Invullen groen'!AW644</f>
        <v/>
      </c>
      <c r="J634" s="124">
        <f>+'Invullen groen'!AX644</f>
        <v/>
      </c>
      <c r="K634" s="124">
        <f>+'Invullen groen'!AY644</f>
        <v/>
      </c>
      <c r="L634" s="124">
        <f>+'Invullen groen'!AZ644</f>
        <v/>
      </c>
      <c r="M634" s="124">
        <f>+'Invullen groen'!BA644</f>
        <v/>
      </c>
      <c r="N634" s="124">
        <f>+'Invullen groen'!BB644</f>
        <v/>
      </c>
      <c r="O634" s="124">
        <f>+'Invullen groen'!BC644</f>
        <v/>
      </c>
      <c r="P634" s="124">
        <f>+'Invullen groen'!BD644</f>
        <v/>
      </c>
    </row>
    <row r="635">
      <c r="A635" s="113">
        <f>+'Invullen groen'!A645</f>
        <v/>
      </c>
      <c r="B635" s="154">
        <f>+'Invullen groen'!C645</f>
        <v/>
      </c>
      <c r="C635" s="124">
        <f>+'Invullen groen'!G645</f>
        <v/>
      </c>
      <c r="D635" s="113">
        <f>+'Invullen groen'!M645</f>
        <v/>
      </c>
      <c r="E635" s="114">
        <f>+'Invullen groen'!H645</f>
        <v/>
      </c>
      <c r="F635" s="114">
        <f>+'Invullen groen'!I645</f>
        <v/>
      </c>
      <c r="G635" s="114">
        <f>+'Invullen groen'!J645</f>
        <v/>
      </c>
      <c r="H635" s="114">
        <f>+'Invullen groen'!K645</f>
        <v/>
      </c>
      <c r="I635" s="124">
        <f>+'Invullen groen'!AW645</f>
        <v/>
      </c>
      <c r="J635" s="124">
        <f>+'Invullen groen'!AX645</f>
        <v/>
      </c>
      <c r="K635" s="124">
        <f>+'Invullen groen'!AY645</f>
        <v/>
      </c>
      <c r="L635" s="124">
        <f>+'Invullen groen'!AZ645</f>
        <v/>
      </c>
      <c r="M635" s="124">
        <f>+'Invullen groen'!BA645</f>
        <v/>
      </c>
      <c r="N635" s="124">
        <f>+'Invullen groen'!BB645</f>
        <v/>
      </c>
      <c r="O635" s="124">
        <f>+'Invullen groen'!BC645</f>
        <v/>
      </c>
      <c r="P635" s="124">
        <f>+'Invullen groen'!BD645</f>
        <v/>
      </c>
    </row>
    <row r="636">
      <c r="A636" s="113">
        <f>+'Invullen groen'!A646</f>
        <v/>
      </c>
      <c r="B636" s="154">
        <f>+'Invullen groen'!C646</f>
        <v/>
      </c>
      <c r="C636" s="124">
        <f>+'Invullen groen'!G646</f>
        <v/>
      </c>
      <c r="D636" s="113">
        <f>+'Invullen groen'!M646</f>
        <v/>
      </c>
      <c r="E636" s="114">
        <f>+'Invullen groen'!H646</f>
        <v/>
      </c>
      <c r="F636" s="114">
        <f>+'Invullen groen'!I646</f>
        <v/>
      </c>
      <c r="G636" s="114">
        <f>+'Invullen groen'!J646</f>
        <v/>
      </c>
      <c r="H636" s="114">
        <f>+'Invullen groen'!K646</f>
        <v/>
      </c>
      <c r="I636" s="124">
        <f>+'Invullen groen'!AW646</f>
        <v/>
      </c>
      <c r="J636" s="124">
        <f>+'Invullen groen'!AX646</f>
        <v/>
      </c>
      <c r="K636" s="124">
        <f>+'Invullen groen'!AY646</f>
        <v/>
      </c>
      <c r="L636" s="124">
        <f>+'Invullen groen'!AZ646</f>
        <v/>
      </c>
      <c r="M636" s="124">
        <f>+'Invullen groen'!BA646</f>
        <v/>
      </c>
      <c r="N636" s="124">
        <f>+'Invullen groen'!BB646</f>
        <v/>
      </c>
      <c r="O636" s="124">
        <f>+'Invullen groen'!BC646</f>
        <v/>
      </c>
      <c r="P636" s="124">
        <f>+'Invullen groen'!BD646</f>
        <v/>
      </c>
    </row>
    <row r="637">
      <c r="A637" s="113">
        <f>+'Invullen groen'!A647</f>
        <v/>
      </c>
      <c r="B637" s="154">
        <f>+'Invullen groen'!C647</f>
        <v/>
      </c>
      <c r="C637" s="124">
        <f>+'Invullen groen'!G647</f>
        <v/>
      </c>
      <c r="D637" s="113">
        <f>+'Invullen groen'!M647</f>
        <v/>
      </c>
      <c r="E637" s="114">
        <f>+'Invullen groen'!H647</f>
        <v/>
      </c>
      <c r="F637" s="114">
        <f>+'Invullen groen'!I647</f>
        <v/>
      </c>
      <c r="G637" s="114">
        <f>+'Invullen groen'!J647</f>
        <v/>
      </c>
      <c r="H637" s="114">
        <f>+'Invullen groen'!K647</f>
        <v/>
      </c>
      <c r="I637" s="124">
        <f>+'Invullen groen'!AW647</f>
        <v/>
      </c>
      <c r="J637" s="124">
        <f>+'Invullen groen'!AX647</f>
        <v/>
      </c>
      <c r="K637" s="124">
        <f>+'Invullen groen'!AY647</f>
        <v/>
      </c>
      <c r="L637" s="124">
        <f>+'Invullen groen'!AZ647</f>
        <v/>
      </c>
      <c r="M637" s="124">
        <f>+'Invullen groen'!BA647</f>
        <v/>
      </c>
      <c r="N637" s="124">
        <f>+'Invullen groen'!BB647</f>
        <v/>
      </c>
      <c r="O637" s="124">
        <f>+'Invullen groen'!BC647</f>
        <v/>
      </c>
      <c r="P637" s="124">
        <f>+'Invullen groen'!BD647</f>
        <v/>
      </c>
    </row>
    <row r="638">
      <c r="A638" s="113">
        <f>+'Invullen groen'!A648</f>
        <v/>
      </c>
      <c r="B638" s="154">
        <f>+'Invullen groen'!C648</f>
        <v/>
      </c>
      <c r="C638" s="124">
        <f>+'Invullen groen'!G648</f>
        <v/>
      </c>
      <c r="D638" s="113">
        <f>+'Invullen groen'!M648</f>
        <v/>
      </c>
      <c r="E638" s="114">
        <f>+'Invullen groen'!H648</f>
        <v/>
      </c>
      <c r="F638" s="114">
        <f>+'Invullen groen'!I648</f>
        <v/>
      </c>
      <c r="G638" s="114">
        <f>+'Invullen groen'!J648</f>
        <v/>
      </c>
      <c r="H638" s="114">
        <f>+'Invullen groen'!K648</f>
        <v/>
      </c>
      <c r="I638" s="124">
        <f>+'Invullen groen'!AW648</f>
        <v/>
      </c>
      <c r="J638" s="124">
        <f>+'Invullen groen'!AX648</f>
        <v/>
      </c>
      <c r="K638" s="124">
        <f>+'Invullen groen'!AY648</f>
        <v/>
      </c>
      <c r="L638" s="124">
        <f>+'Invullen groen'!AZ648</f>
        <v/>
      </c>
      <c r="M638" s="124">
        <f>+'Invullen groen'!BA648</f>
        <v/>
      </c>
      <c r="N638" s="124">
        <f>+'Invullen groen'!BB648</f>
        <v/>
      </c>
      <c r="O638" s="124">
        <f>+'Invullen groen'!BC648</f>
        <v/>
      </c>
      <c r="P638" s="124">
        <f>+'Invullen groen'!BD648</f>
        <v/>
      </c>
    </row>
    <row r="639">
      <c r="A639" s="113">
        <f>+'Invullen groen'!A649</f>
        <v/>
      </c>
      <c r="B639" s="154">
        <f>+'Invullen groen'!C649</f>
        <v/>
      </c>
      <c r="C639" s="124">
        <f>+'Invullen groen'!G649</f>
        <v/>
      </c>
      <c r="D639" s="113">
        <f>+'Invullen groen'!M649</f>
        <v/>
      </c>
      <c r="E639" s="114">
        <f>+'Invullen groen'!H649</f>
        <v/>
      </c>
      <c r="F639" s="114">
        <f>+'Invullen groen'!I649</f>
        <v/>
      </c>
      <c r="G639" s="114">
        <f>+'Invullen groen'!J649</f>
        <v/>
      </c>
      <c r="H639" s="114">
        <f>+'Invullen groen'!K649</f>
        <v/>
      </c>
      <c r="I639" s="124">
        <f>+'Invullen groen'!AW649</f>
        <v/>
      </c>
      <c r="J639" s="124">
        <f>+'Invullen groen'!AX649</f>
        <v/>
      </c>
      <c r="K639" s="124">
        <f>+'Invullen groen'!AY649</f>
        <v/>
      </c>
      <c r="L639" s="124">
        <f>+'Invullen groen'!AZ649</f>
        <v/>
      </c>
      <c r="M639" s="124">
        <f>+'Invullen groen'!BA649</f>
        <v/>
      </c>
      <c r="N639" s="124">
        <f>+'Invullen groen'!BB649</f>
        <v/>
      </c>
      <c r="O639" s="124">
        <f>+'Invullen groen'!BC649</f>
        <v/>
      </c>
      <c r="P639" s="124">
        <f>+'Invullen groen'!BD649</f>
        <v/>
      </c>
    </row>
    <row r="640">
      <c r="A640" s="113">
        <f>+'Invullen groen'!A650</f>
        <v/>
      </c>
      <c r="B640" s="154">
        <f>+'Invullen groen'!C650</f>
        <v/>
      </c>
      <c r="C640" s="124">
        <f>+'Invullen groen'!G650</f>
        <v/>
      </c>
      <c r="D640" s="113">
        <f>+'Invullen groen'!M650</f>
        <v/>
      </c>
      <c r="E640" s="114">
        <f>+'Invullen groen'!H650</f>
        <v/>
      </c>
      <c r="F640" s="114">
        <f>+'Invullen groen'!I650</f>
        <v/>
      </c>
      <c r="G640" s="114">
        <f>+'Invullen groen'!J650</f>
        <v/>
      </c>
      <c r="H640" s="114">
        <f>+'Invullen groen'!K650</f>
        <v/>
      </c>
      <c r="I640" s="124">
        <f>+'Invullen groen'!AW650</f>
        <v/>
      </c>
      <c r="J640" s="124">
        <f>+'Invullen groen'!AX650</f>
        <v/>
      </c>
      <c r="K640" s="124">
        <f>+'Invullen groen'!AY650</f>
        <v/>
      </c>
      <c r="L640" s="124">
        <f>+'Invullen groen'!AZ650</f>
        <v/>
      </c>
      <c r="M640" s="124">
        <f>+'Invullen groen'!BA650</f>
        <v/>
      </c>
      <c r="N640" s="124">
        <f>+'Invullen groen'!BB650</f>
        <v/>
      </c>
      <c r="O640" s="124">
        <f>+'Invullen groen'!BC650</f>
        <v/>
      </c>
      <c r="P640" s="124">
        <f>+'Invullen groen'!BD650</f>
        <v/>
      </c>
    </row>
    <row r="641">
      <c r="A641" s="113">
        <f>+'Invullen groen'!A651</f>
        <v/>
      </c>
      <c r="B641" s="154">
        <f>+'Invullen groen'!C651</f>
        <v/>
      </c>
      <c r="C641" s="124">
        <f>+'Invullen groen'!G651</f>
        <v/>
      </c>
      <c r="D641" s="113">
        <f>+'Invullen groen'!M651</f>
        <v/>
      </c>
      <c r="E641" s="114">
        <f>+'Invullen groen'!H651</f>
        <v/>
      </c>
      <c r="F641" s="114">
        <f>+'Invullen groen'!I651</f>
        <v/>
      </c>
      <c r="G641" s="114">
        <f>+'Invullen groen'!J651</f>
        <v/>
      </c>
      <c r="H641" s="114">
        <f>+'Invullen groen'!K651</f>
        <v/>
      </c>
      <c r="I641" s="124">
        <f>+'Invullen groen'!AW651</f>
        <v/>
      </c>
      <c r="J641" s="124">
        <f>+'Invullen groen'!AX651</f>
        <v/>
      </c>
      <c r="K641" s="124">
        <f>+'Invullen groen'!AY651</f>
        <v/>
      </c>
      <c r="L641" s="124">
        <f>+'Invullen groen'!AZ651</f>
        <v/>
      </c>
      <c r="M641" s="124">
        <f>+'Invullen groen'!BA651</f>
        <v/>
      </c>
      <c r="N641" s="124">
        <f>+'Invullen groen'!BB651</f>
        <v/>
      </c>
      <c r="O641" s="124">
        <f>+'Invullen groen'!BC651</f>
        <v/>
      </c>
      <c r="P641" s="124">
        <f>+'Invullen groen'!BD651</f>
        <v/>
      </c>
    </row>
    <row r="642">
      <c r="A642" s="113">
        <f>+'Invullen groen'!A652</f>
        <v/>
      </c>
      <c r="B642" s="154">
        <f>+'Invullen groen'!C652</f>
        <v/>
      </c>
      <c r="C642" s="124">
        <f>+'Invullen groen'!G652</f>
        <v/>
      </c>
      <c r="D642" s="113">
        <f>+'Invullen groen'!M652</f>
        <v/>
      </c>
      <c r="E642" s="114">
        <f>+'Invullen groen'!H652</f>
        <v/>
      </c>
      <c r="F642" s="114">
        <f>+'Invullen groen'!I652</f>
        <v/>
      </c>
      <c r="G642" s="114">
        <f>+'Invullen groen'!J652</f>
        <v/>
      </c>
      <c r="H642" s="114">
        <f>+'Invullen groen'!K652</f>
        <v/>
      </c>
      <c r="I642" s="124">
        <f>+'Invullen groen'!AW652</f>
        <v/>
      </c>
      <c r="J642" s="124">
        <f>+'Invullen groen'!AX652</f>
        <v/>
      </c>
      <c r="K642" s="124">
        <f>+'Invullen groen'!AY652</f>
        <v/>
      </c>
      <c r="L642" s="124">
        <f>+'Invullen groen'!AZ652</f>
        <v/>
      </c>
      <c r="M642" s="124">
        <f>+'Invullen groen'!BA652</f>
        <v/>
      </c>
      <c r="N642" s="124">
        <f>+'Invullen groen'!BB652</f>
        <v/>
      </c>
      <c r="O642" s="124">
        <f>+'Invullen groen'!BC652</f>
        <v/>
      </c>
      <c r="P642" s="124">
        <f>+'Invullen groen'!BD652</f>
        <v/>
      </c>
    </row>
    <row r="643">
      <c r="A643" s="113">
        <f>+'Invullen groen'!A653</f>
        <v/>
      </c>
      <c r="B643" s="154">
        <f>+'Invullen groen'!C653</f>
        <v/>
      </c>
      <c r="C643" s="124">
        <f>+'Invullen groen'!G653</f>
        <v/>
      </c>
      <c r="D643" s="113">
        <f>+'Invullen groen'!M653</f>
        <v/>
      </c>
      <c r="E643" s="114">
        <f>+'Invullen groen'!H653</f>
        <v/>
      </c>
      <c r="F643" s="114">
        <f>+'Invullen groen'!I653</f>
        <v/>
      </c>
      <c r="G643" s="114">
        <f>+'Invullen groen'!J653</f>
        <v/>
      </c>
      <c r="H643" s="114">
        <f>+'Invullen groen'!K653</f>
        <v/>
      </c>
      <c r="I643" s="124">
        <f>+'Invullen groen'!AW653</f>
        <v/>
      </c>
      <c r="J643" s="124">
        <f>+'Invullen groen'!AX653</f>
        <v/>
      </c>
      <c r="K643" s="124">
        <f>+'Invullen groen'!AY653</f>
        <v/>
      </c>
      <c r="L643" s="124">
        <f>+'Invullen groen'!AZ653</f>
        <v/>
      </c>
      <c r="M643" s="124">
        <f>+'Invullen groen'!BA653</f>
        <v/>
      </c>
      <c r="N643" s="124">
        <f>+'Invullen groen'!BB653</f>
        <v/>
      </c>
      <c r="O643" s="124">
        <f>+'Invullen groen'!BC653</f>
        <v/>
      </c>
      <c r="P643" s="124">
        <f>+'Invullen groen'!BD653</f>
        <v/>
      </c>
    </row>
    <row r="644">
      <c r="A644" s="113">
        <f>+'Invullen groen'!A654</f>
        <v/>
      </c>
      <c r="B644" s="154">
        <f>+'Invullen groen'!C654</f>
        <v/>
      </c>
      <c r="C644" s="124">
        <f>+'Invullen groen'!G654</f>
        <v/>
      </c>
      <c r="D644" s="113">
        <f>+'Invullen groen'!M654</f>
        <v/>
      </c>
      <c r="E644" s="114">
        <f>+'Invullen groen'!H654</f>
        <v/>
      </c>
      <c r="F644" s="114">
        <f>+'Invullen groen'!I654</f>
        <v/>
      </c>
      <c r="G644" s="114">
        <f>+'Invullen groen'!J654</f>
        <v/>
      </c>
      <c r="H644" s="114">
        <f>+'Invullen groen'!K654</f>
        <v/>
      </c>
      <c r="I644" s="124">
        <f>+'Invullen groen'!AW654</f>
        <v/>
      </c>
      <c r="J644" s="124">
        <f>+'Invullen groen'!AX654</f>
        <v/>
      </c>
      <c r="K644" s="124">
        <f>+'Invullen groen'!AY654</f>
        <v/>
      </c>
      <c r="L644" s="124">
        <f>+'Invullen groen'!AZ654</f>
        <v/>
      </c>
      <c r="M644" s="124">
        <f>+'Invullen groen'!BA654</f>
        <v/>
      </c>
      <c r="N644" s="124">
        <f>+'Invullen groen'!BB654</f>
        <v/>
      </c>
      <c r="O644" s="124">
        <f>+'Invullen groen'!BC654</f>
        <v/>
      </c>
      <c r="P644" s="124">
        <f>+'Invullen groen'!BD654</f>
        <v/>
      </c>
    </row>
    <row r="645">
      <c r="A645" s="113">
        <f>+'Invullen groen'!A655</f>
        <v/>
      </c>
      <c r="B645" s="154">
        <f>+'Invullen groen'!C655</f>
        <v/>
      </c>
      <c r="C645" s="124">
        <f>+'Invullen groen'!G655</f>
        <v/>
      </c>
      <c r="D645" s="113">
        <f>+'Invullen groen'!M655</f>
        <v/>
      </c>
      <c r="E645" s="114">
        <f>+'Invullen groen'!H655</f>
        <v/>
      </c>
      <c r="F645" s="114">
        <f>+'Invullen groen'!I655</f>
        <v/>
      </c>
      <c r="G645" s="114">
        <f>+'Invullen groen'!J655</f>
        <v/>
      </c>
      <c r="H645" s="114">
        <f>+'Invullen groen'!K655</f>
        <v/>
      </c>
      <c r="I645" s="124">
        <f>+'Invullen groen'!AW655</f>
        <v/>
      </c>
      <c r="J645" s="124">
        <f>+'Invullen groen'!AX655</f>
        <v/>
      </c>
      <c r="K645" s="124">
        <f>+'Invullen groen'!AY655</f>
        <v/>
      </c>
      <c r="L645" s="124">
        <f>+'Invullen groen'!AZ655</f>
        <v/>
      </c>
      <c r="M645" s="124">
        <f>+'Invullen groen'!BA655</f>
        <v/>
      </c>
      <c r="N645" s="124">
        <f>+'Invullen groen'!BB655</f>
        <v/>
      </c>
      <c r="O645" s="124">
        <f>+'Invullen groen'!BC655</f>
        <v/>
      </c>
      <c r="P645" s="124">
        <f>+'Invullen groen'!BD655</f>
        <v/>
      </c>
    </row>
    <row r="646">
      <c r="A646" s="113">
        <f>+'Invullen groen'!A656</f>
        <v/>
      </c>
      <c r="B646" s="154">
        <f>+'Invullen groen'!C656</f>
        <v/>
      </c>
      <c r="C646" s="124">
        <f>+'Invullen groen'!G656</f>
        <v/>
      </c>
      <c r="D646" s="113">
        <f>+'Invullen groen'!M656</f>
        <v/>
      </c>
      <c r="E646" s="114">
        <f>+'Invullen groen'!H656</f>
        <v/>
      </c>
      <c r="F646" s="114">
        <f>+'Invullen groen'!I656</f>
        <v/>
      </c>
      <c r="G646" s="114">
        <f>+'Invullen groen'!J656</f>
        <v/>
      </c>
      <c r="H646" s="114">
        <f>+'Invullen groen'!K656</f>
        <v/>
      </c>
      <c r="I646" s="124">
        <f>+'Invullen groen'!AW656</f>
        <v/>
      </c>
      <c r="J646" s="124">
        <f>+'Invullen groen'!AX656</f>
        <v/>
      </c>
      <c r="K646" s="124">
        <f>+'Invullen groen'!AY656</f>
        <v/>
      </c>
      <c r="L646" s="124">
        <f>+'Invullen groen'!AZ656</f>
        <v/>
      </c>
      <c r="M646" s="124">
        <f>+'Invullen groen'!BA656</f>
        <v/>
      </c>
      <c r="N646" s="124">
        <f>+'Invullen groen'!BB656</f>
        <v/>
      </c>
      <c r="O646" s="124">
        <f>+'Invullen groen'!BC656</f>
        <v/>
      </c>
      <c r="P646" s="124">
        <f>+'Invullen groen'!BD656</f>
        <v/>
      </c>
    </row>
    <row r="647">
      <c r="A647" s="113">
        <f>+'Invullen groen'!A657</f>
        <v/>
      </c>
      <c r="B647" s="154">
        <f>+'Invullen groen'!C657</f>
        <v/>
      </c>
      <c r="C647" s="124">
        <f>+'Invullen groen'!G657</f>
        <v/>
      </c>
      <c r="D647" s="113">
        <f>+'Invullen groen'!M657</f>
        <v/>
      </c>
      <c r="E647" s="114">
        <f>+'Invullen groen'!H657</f>
        <v/>
      </c>
      <c r="F647" s="114">
        <f>+'Invullen groen'!I657</f>
        <v/>
      </c>
      <c r="G647" s="114">
        <f>+'Invullen groen'!J657</f>
        <v/>
      </c>
      <c r="H647" s="114">
        <f>+'Invullen groen'!K657</f>
        <v/>
      </c>
      <c r="I647" s="124">
        <f>+'Invullen groen'!AW657</f>
        <v/>
      </c>
      <c r="J647" s="124">
        <f>+'Invullen groen'!AX657</f>
        <v/>
      </c>
      <c r="K647" s="124">
        <f>+'Invullen groen'!AY657</f>
        <v/>
      </c>
      <c r="L647" s="124">
        <f>+'Invullen groen'!AZ657</f>
        <v/>
      </c>
      <c r="M647" s="124">
        <f>+'Invullen groen'!BA657</f>
        <v/>
      </c>
      <c r="N647" s="124">
        <f>+'Invullen groen'!BB657</f>
        <v/>
      </c>
      <c r="O647" s="124">
        <f>+'Invullen groen'!BC657</f>
        <v/>
      </c>
      <c r="P647" s="124">
        <f>+'Invullen groen'!BD657</f>
        <v/>
      </c>
    </row>
    <row r="648">
      <c r="A648" s="113">
        <f>+'Invullen groen'!A658</f>
        <v/>
      </c>
      <c r="B648" s="154">
        <f>+'Invullen groen'!C658</f>
        <v/>
      </c>
      <c r="C648" s="124">
        <f>+'Invullen groen'!G658</f>
        <v/>
      </c>
      <c r="D648" s="113">
        <f>+'Invullen groen'!M658</f>
        <v/>
      </c>
      <c r="E648" s="114">
        <f>+'Invullen groen'!H658</f>
        <v/>
      </c>
      <c r="F648" s="114">
        <f>+'Invullen groen'!I658</f>
        <v/>
      </c>
      <c r="G648" s="114">
        <f>+'Invullen groen'!J658</f>
        <v/>
      </c>
      <c r="H648" s="114">
        <f>+'Invullen groen'!K658</f>
        <v/>
      </c>
      <c r="I648" s="124">
        <f>+'Invullen groen'!AW658</f>
        <v/>
      </c>
      <c r="J648" s="124">
        <f>+'Invullen groen'!AX658</f>
        <v/>
      </c>
      <c r="K648" s="124">
        <f>+'Invullen groen'!AY658</f>
        <v/>
      </c>
      <c r="L648" s="124">
        <f>+'Invullen groen'!AZ658</f>
        <v/>
      </c>
      <c r="M648" s="124">
        <f>+'Invullen groen'!BA658</f>
        <v/>
      </c>
      <c r="N648" s="124">
        <f>+'Invullen groen'!BB658</f>
        <v/>
      </c>
      <c r="O648" s="124">
        <f>+'Invullen groen'!BC658</f>
        <v/>
      </c>
      <c r="P648" s="124">
        <f>+'Invullen groen'!BD658</f>
        <v/>
      </c>
    </row>
    <row r="649">
      <c r="A649" s="113">
        <f>+'Invullen groen'!A659</f>
        <v/>
      </c>
      <c r="B649" s="154">
        <f>+'Invullen groen'!C659</f>
        <v/>
      </c>
      <c r="C649" s="124">
        <f>+'Invullen groen'!G659</f>
        <v/>
      </c>
      <c r="D649" s="113">
        <f>+'Invullen groen'!M659</f>
        <v/>
      </c>
      <c r="E649" s="114">
        <f>+'Invullen groen'!H659</f>
        <v/>
      </c>
      <c r="F649" s="114">
        <f>+'Invullen groen'!I659</f>
        <v/>
      </c>
      <c r="G649" s="114">
        <f>+'Invullen groen'!J659</f>
        <v/>
      </c>
      <c r="H649" s="114">
        <f>+'Invullen groen'!K659</f>
        <v/>
      </c>
      <c r="I649" s="124">
        <f>+'Invullen groen'!AW659</f>
        <v/>
      </c>
      <c r="J649" s="124">
        <f>+'Invullen groen'!AX659</f>
        <v/>
      </c>
      <c r="K649" s="124">
        <f>+'Invullen groen'!AY659</f>
        <v/>
      </c>
      <c r="L649" s="124">
        <f>+'Invullen groen'!AZ659</f>
        <v/>
      </c>
      <c r="M649" s="124">
        <f>+'Invullen groen'!BA659</f>
        <v/>
      </c>
      <c r="N649" s="124">
        <f>+'Invullen groen'!BB659</f>
        <v/>
      </c>
      <c r="O649" s="124">
        <f>+'Invullen groen'!BC659</f>
        <v/>
      </c>
      <c r="P649" s="124">
        <f>+'Invullen groen'!BD659</f>
        <v/>
      </c>
    </row>
    <row r="650">
      <c r="A650" s="113">
        <f>+'Invullen groen'!A660</f>
        <v/>
      </c>
      <c r="B650" s="154">
        <f>+'Invullen groen'!C660</f>
        <v/>
      </c>
      <c r="C650" s="124">
        <f>+'Invullen groen'!G660</f>
        <v/>
      </c>
      <c r="D650" s="113">
        <f>+'Invullen groen'!M660</f>
        <v/>
      </c>
      <c r="E650" s="114">
        <f>+'Invullen groen'!H660</f>
        <v/>
      </c>
      <c r="F650" s="114">
        <f>+'Invullen groen'!I660</f>
        <v/>
      </c>
      <c r="G650" s="114">
        <f>+'Invullen groen'!J660</f>
        <v/>
      </c>
      <c r="H650" s="114">
        <f>+'Invullen groen'!K660</f>
        <v/>
      </c>
      <c r="I650" s="124">
        <f>+'Invullen groen'!AW660</f>
        <v/>
      </c>
      <c r="J650" s="124">
        <f>+'Invullen groen'!AX660</f>
        <v/>
      </c>
      <c r="K650" s="124">
        <f>+'Invullen groen'!AY660</f>
        <v/>
      </c>
      <c r="L650" s="124">
        <f>+'Invullen groen'!AZ660</f>
        <v/>
      </c>
      <c r="M650" s="124">
        <f>+'Invullen groen'!BA660</f>
        <v/>
      </c>
      <c r="N650" s="124">
        <f>+'Invullen groen'!BB660</f>
        <v/>
      </c>
      <c r="O650" s="124">
        <f>+'Invullen groen'!BC660</f>
        <v/>
      </c>
      <c r="P650" s="124">
        <f>+'Invullen groen'!BD660</f>
        <v/>
      </c>
    </row>
    <row r="651">
      <c r="A651" s="113">
        <f>+'Invullen groen'!A661</f>
        <v/>
      </c>
      <c r="B651" s="154">
        <f>+'Invullen groen'!C661</f>
        <v/>
      </c>
      <c r="C651" s="124">
        <f>+'Invullen groen'!G661</f>
        <v/>
      </c>
      <c r="D651" s="113">
        <f>+'Invullen groen'!M661</f>
        <v/>
      </c>
      <c r="E651" s="114">
        <f>+'Invullen groen'!H661</f>
        <v/>
      </c>
      <c r="F651" s="114">
        <f>+'Invullen groen'!I661</f>
        <v/>
      </c>
      <c r="G651" s="114">
        <f>+'Invullen groen'!J661</f>
        <v/>
      </c>
      <c r="H651" s="114">
        <f>+'Invullen groen'!K661</f>
        <v/>
      </c>
      <c r="I651" s="124">
        <f>+'Invullen groen'!AW661</f>
        <v/>
      </c>
      <c r="J651" s="124">
        <f>+'Invullen groen'!AX661</f>
        <v/>
      </c>
      <c r="K651" s="124">
        <f>+'Invullen groen'!AY661</f>
        <v/>
      </c>
      <c r="L651" s="124">
        <f>+'Invullen groen'!AZ661</f>
        <v/>
      </c>
      <c r="M651" s="124">
        <f>+'Invullen groen'!BA661</f>
        <v/>
      </c>
      <c r="N651" s="124">
        <f>+'Invullen groen'!BB661</f>
        <v/>
      </c>
      <c r="O651" s="124">
        <f>+'Invullen groen'!BC661</f>
        <v/>
      </c>
      <c r="P651" s="124">
        <f>+'Invullen groen'!BD661</f>
        <v/>
      </c>
    </row>
    <row r="652">
      <c r="A652" s="113">
        <f>+'Invullen groen'!A662</f>
        <v/>
      </c>
      <c r="B652" s="154">
        <f>+'Invullen groen'!C662</f>
        <v/>
      </c>
      <c r="C652" s="124">
        <f>+'Invullen groen'!G662</f>
        <v/>
      </c>
      <c r="D652" s="113">
        <f>+'Invullen groen'!M662</f>
        <v/>
      </c>
      <c r="E652" s="114">
        <f>+'Invullen groen'!H662</f>
        <v/>
      </c>
      <c r="F652" s="114">
        <f>+'Invullen groen'!I662</f>
        <v/>
      </c>
      <c r="G652" s="114">
        <f>+'Invullen groen'!J662</f>
        <v/>
      </c>
      <c r="H652" s="114">
        <f>+'Invullen groen'!K662</f>
        <v/>
      </c>
      <c r="I652" s="124">
        <f>+'Invullen groen'!AW662</f>
        <v/>
      </c>
      <c r="J652" s="124">
        <f>+'Invullen groen'!AX662</f>
        <v/>
      </c>
      <c r="K652" s="124">
        <f>+'Invullen groen'!AY662</f>
        <v/>
      </c>
      <c r="L652" s="124">
        <f>+'Invullen groen'!AZ662</f>
        <v/>
      </c>
      <c r="M652" s="124">
        <f>+'Invullen groen'!BA662</f>
        <v/>
      </c>
      <c r="N652" s="124">
        <f>+'Invullen groen'!BB662</f>
        <v/>
      </c>
      <c r="O652" s="124">
        <f>+'Invullen groen'!BC662</f>
        <v/>
      </c>
      <c r="P652" s="124">
        <f>+'Invullen groen'!BD662</f>
        <v/>
      </c>
    </row>
    <row r="653">
      <c r="A653" s="113">
        <f>+'Invullen groen'!A663</f>
        <v/>
      </c>
      <c r="B653" s="154">
        <f>+'Invullen groen'!C663</f>
        <v/>
      </c>
      <c r="C653" s="124">
        <f>+'Invullen groen'!G663</f>
        <v/>
      </c>
      <c r="D653" s="113">
        <f>+'Invullen groen'!M663</f>
        <v/>
      </c>
      <c r="E653" s="114">
        <f>+'Invullen groen'!H663</f>
        <v/>
      </c>
      <c r="F653" s="114">
        <f>+'Invullen groen'!I663</f>
        <v/>
      </c>
      <c r="G653" s="114">
        <f>+'Invullen groen'!J663</f>
        <v/>
      </c>
      <c r="H653" s="114">
        <f>+'Invullen groen'!K663</f>
        <v/>
      </c>
      <c r="I653" s="124">
        <f>+'Invullen groen'!AW663</f>
        <v/>
      </c>
      <c r="J653" s="124">
        <f>+'Invullen groen'!AX663</f>
        <v/>
      </c>
      <c r="K653" s="124">
        <f>+'Invullen groen'!AY663</f>
        <v/>
      </c>
      <c r="L653" s="124">
        <f>+'Invullen groen'!AZ663</f>
        <v/>
      </c>
      <c r="M653" s="124">
        <f>+'Invullen groen'!BA663</f>
        <v/>
      </c>
      <c r="N653" s="124">
        <f>+'Invullen groen'!BB663</f>
        <v/>
      </c>
      <c r="O653" s="124">
        <f>+'Invullen groen'!BC663</f>
        <v/>
      </c>
      <c r="P653" s="124">
        <f>+'Invullen groen'!BD663</f>
        <v/>
      </c>
    </row>
    <row r="654">
      <c r="A654" s="113">
        <f>+'Invullen groen'!A664</f>
        <v/>
      </c>
      <c r="B654" s="154">
        <f>+'Invullen groen'!C664</f>
        <v/>
      </c>
      <c r="C654" s="124">
        <f>+'Invullen groen'!G664</f>
        <v/>
      </c>
      <c r="D654" s="113">
        <f>+'Invullen groen'!M664</f>
        <v/>
      </c>
      <c r="E654" s="114">
        <f>+'Invullen groen'!H664</f>
        <v/>
      </c>
      <c r="F654" s="114">
        <f>+'Invullen groen'!I664</f>
        <v/>
      </c>
      <c r="G654" s="114">
        <f>+'Invullen groen'!J664</f>
        <v/>
      </c>
      <c r="H654" s="114">
        <f>+'Invullen groen'!K664</f>
        <v/>
      </c>
      <c r="I654" s="124">
        <f>+'Invullen groen'!AW664</f>
        <v/>
      </c>
      <c r="J654" s="124">
        <f>+'Invullen groen'!AX664</f>
        <v/>
      </c>
      <c r="K654" s="124">
        <f>+'Invullen groen'!AY664</f>
        <v/>
      </c>
      <c r="L654" s="124">
        <f>+'Invullen groen'!AZ664</f>
        <v/>
      </c>
      <c r="M654" s="124">
        <f>+'Invullen groen'!BA664</f>
        <v/>
      </c>
      <c r="N654" s="124">
        <f>+'Invullen groen'!BB664</f>
        <v/>
      </c>
      <c r="O654" s="124">
        <f>+'Invullen groen'!BC664</f>
        <v/>
      </c>
      <c r="P654" s="124">
        <f>+'Invullen groen'!BD664</f>
        <v/>
      </c>
    </row>
    <row r="655">
      <c r="A655" s="113">
        <f>+'Invullen groen'!A665</f>
        <v/>
      </c>
      <c r="B655" s="154">
        <f>+'Invullen groen'!C665</f>
        <v/>
      </c>
      <c r="C655" s="124">
        <f>+'Invullen groen'!G665</f>
        <v/>
      </c>
      <c r="D655" s="113">
        <f>+'Invullen groen'!M665</f>
        <v/>
      </c>
      <c r="E655" s="114">
        <f>+'Invullen groen'!H665</f>
        <v/>
      </c>
      <c r="F655" s="114">
        <f>+'Invullen groen'!I665</f>
        <v/>
      </c>
      <c r="G655" s="114">
        <f>+'Invullen groen'!J665</f>
        <v/>
      </c>
      <c r="H655" s="114">
        <f>+'Invullen groen'!K665</f>
        <v/>
      </c>
      <c r="I655" s="124">
        <f>+'Invullen groen'!AW665</f>
        <v/>
      </c>
      <c r="J655" s="124">
        <f>+'Invullen groen'!AX665</f>
        <v/>
      </c>
      <c r="K655" s="124">
        <f>+'Invullen groen'!AY665</f>
        <v/>
      </c>
      <c r="L655" s="124">
        <f>+'Invullen groen'!AZ665</f>
        <v/>
      </c>
      <c r="M655" s="124">
        <f>+'Invullen groen'!BA665</f>
        <v/>
      </c>
      <c r="N655" s="124">
        <f>+'Invullen groen'!BB665</f>
        <v/>
      </c>
      <c r="O655" s="124">
        <f>+'Invullen groen'!BC665</f>
        <v/>
      </c>
      <c r="P655" s="124">
        <f>+'Invullen groen'!BD665</f>
        <v/>
      </c>
    </row>
    <row r="656">
      <c r="A656" s="113">
        <f>+'Invullen groen'!A666</f>
        <v/>
      </c>
      <c r="B656" s="154">
        <f>+'Invullen groen'!C666</f>
        <v/>
      </c>
      <c r="C656" s="124">
        <f>+'Invullen groen'!G666</f>
        <v/>
      </c>
      <c r="D656" s="113">
        <f>+'Invullen groen'!M666</f>
        <v/>
      </c>
      <c r="E656" s="114">
        <f>+'Invullen groen'!H666</f>
        <v/>
      </c>
      <c r="F656" s="114">
        <f>+'Invullen groen'!I666</f>
        <v/>
      </c>
      <c r="G656" s="114">
        <f>+'Invullen groen'!J666</f>
        <v/>
      </c>
      <c r="H656" s="114">
        <f>+'Invullen groen'!K666</f>
        <v/>
      </c>
      <c r="I656" s="124">
        <f>+'Invullen groen'!AW666</f>
        <v/>
      </c>
      <c r="J656" s="124">
        <f>+'Invullen groen'!AX666</f>
        <v/>
      </c>
      <c r="K656" s="124">
        <f>+'Invullen groen'!AY666</f>
        <v/>
      </c>
      <c r="L656" s="124">
        <f>+'Invullen groen'!AZ666</f>
        <v/>
      </c>
      <c r="M656" s="124">
        <f>+'Invullen groen'!BA666</f>
        <v/>
      </c>
      <c r="N656" s="124">
        <f>+'Invullen groen'!BB666</f>
        <v/>
      </c>
      <c r="O656" s="124">
        <f>+'Invullen groen'!BC666</f>
        <v/>
      </c>
      <c r="P656" s="124">
        <f>+'Invullen groen'!BD666</f>
        <v/>
      </c>
    </row>
    <row r="657">
      <c r="A657" s="113">
        <f>+'Invullen groen'!A667</f>
        <v/>
      </c>
      <c r="B657" s="154">
        <f>+'Invullen groen'!C667</f>
        <v/>
      </c>
      <c r="C657" s="124">
        <f>+'Invullen groen'!G667</f>
        <v/>
      </c>
      <c r="D657" s="113">
        <f>+'Invullen groen'!M667</f>
        <v/>
      </c>
      <c r="E657" s="114">
        <f>+'Invullen groen'!H667</f>
        <v/>
      </c>
      <c r="F657" s="114">
        <f>+'Invullen groen'!I667</f>
        <v/>
      </c>
      <c r="G657" s="114">
        <f>+'Invullen groen'!J667</f>
        <v/>
      </c>
      <c r="H657" s="114">
        <f>+'Invullen groen'!K667</f>
        <v/>
      </c>
      <c r="I657" s="124">
        <f>+'Invullen groen'!AW667</f>
        <v/>
      </c>
      <c r="J657" s="124">
        <f>+'Invullen groen'!AX667</f>
        <v/>
      </c>
      <c r="K657" s="124">
        <f>+'Invullen groen'!AY667</f>
        <v/>
      </c>
      <c r="L657" s="124">
        <f>+'Invullen groen'!AZ667</f>
        <v/>
      </c>
      <c r="M657" s="124">
        <f>+'Invullen groen'!BA667</f>
        <v/>
      </c>
      <c r="N657" s="124">
        <f>+'Invullen groen'!BB667</f>
        <v/>
      </c>
      <c r="O657" s="124">
        <f>+'Invullen groen'!BC667</f>
        <v/>
      </c>
      <c r="P657" s="124">
        <f>+'Invullen groen'!BD667</f>
        <v/>
      </c>
    </row>
    <row r="658">
      <c r="A658" s="113">
        <f>+'Invullen groen'!A668</f>
        <v/>
      </c>
      <c r="B658" s="154">
        <f>+'Invullen groen'!C668</f>
        <v/>
      </c>
      <c r="C658" s="124">
        <f>+'Invullen groen'!G668</f>
        <v/>
      </c>
      <c r="D658" s="113">
        <f>+'Invullen groen'!M668</f>
        <v/>
      </c>
      <c r="E658" s="114">
        <f>+'Invullen groen'!H668</f>
        <v/>
      </c>
      <c r="F658" s="114">
        <f>+'Invullen groen'!I668</f>
        <v/>
      </c>
      <c r="G658" s="114">
        <f>+'Invullen groen'!J668</f>
        <v/>
      </c>
      <c r="H658" s="114">
        <f>+'Invullen groen'!K668</f>
        <v/>
      </c>
      <c r="I658" s="124">
        <f>+'Invullen groen'!AW668</f>
        <v/>
      </c>
      <c r="J658" s="124">
        <f>+'Invullen groen'!AX668</f>
        <v/>
      </c>
      <c r="K658" s="124">
        <f>+'Invullen groen'!AY668</f>
        <v/>
      </c>
      <c r="L658" s="124">
        <f>+'Invullen groen'!AZ668</f>
        <v/>
      </c>
      <c r="M658" s="124">
        <f>+'Invullen groen'!BA668</f>
        <v/>
      </c>
      <c r="N658" s="124">
        <f>+'Invullen groen'!BB668</f>
        <v/>
      </c>
      <c r="O658" s="124">
        <f>+'Invullen groen'!BC668</f>
        <v/>
      </c>
      <c r="P658" s="124">
        <f>+'Invullen groen'!BD668</f>
        <v/>
      </c>
    </row>
    <row r="659">
      <c r="A659" s="113">
        <f>+'Invullen groen'!A669</f>
        <v/>
      </c>
      <c r="B659" s="154">
        <f>+'Invullen groen'!C669</f>
        <v/>
      </c>
      <c r="C659" s="124">
        <f>+'Invullen groen'!G669</f>
        <v/>
      </c>
      <c r="D659" s="113">
        <f>+'Invullen groen'!M669</f>
        <v/>
      </c>
      <c r="E659" s="114">
        <f>+'Invullen groen'!H669</f>
        <v/>
      </c>
      <c r="F659" s="114">
        <f>+'Invullen groen'!I669</f>
        <v/>
      </c>
      <c r="G659" s="114">
        <f>+'Invullen groen'!J669</f>
        <v/>
      </c>
      <c r="H659" s="114">
        <f>+'Invullen groen'!K669</f>
        <v/>
      </c>
      <c r="I659" s="124">
        <f>+'Invullen groen'!AW669</f>
        <v/>
      </c>
      <c r="J659" s="124">
        <f>+'Invullen groen'!AX669</f>
        <v/>
      </c>
      <c r="K659" s="124">
        <f>+'Invullen groen'!AY669</f>
        <v/>
      </c>
      <c r="L659" s="124">
        <f>+'Invullen groen'!AZ669</f>
        <v/>
      </c>
      <c r="M659" s="124">
        <f>+'Invullen groen'!BA669</f>
        <v/>
      </c>
      <c r="N659" s="124">
        <f>+'Invullen groen'!BB669</f>
        <v/>
      </c>
      <c r="O659" s="124">
        <f>+'Invullen groen'!BC669</f>
        <v/>
      </c>
      <c r="P659" s="124">
        <f>+'Invullen groen'!BD669</f>
        <v/>
      </c>
    </row>
    <row r="660">
      <c r="A660" s="113">
        <f>+'Invullen groen'!A670</f>
        <v/>
      </c>
      <c r="B660" s="154">
        <f>+'Invullen groen'!C670</f>
        <v/>
      </c>
      <c r="C660" s="124">
        <f>+'Invullen groen'!G670</f>
        <v/>
      </c>
      <c r="D660" s="113">
        <f>+'Invullen groen'!M670</f>
        <v/>
      </c>
      <c r="E660" s="114">
        <f>+'Invullen groen'!H670</f>
        <v/>
      </c>
      <c r="F660" s="114">
        <f>+'Invullen groen'!I670</f>
        <v/>
      </c>
      <c r="G660" s="114">
        <f>+'Invullen groen'!J670</f>
        <v/>
      </c>
      <c r="H660" s="114">
        <f>+'Invullen groen'!K670</f>
        <v/>
      </c>
      <c r="I660" s="124">
        <f>+'Invullen groen'!AW670</f>
        <v/>
      </c>
      <c r="J660" s="124">
        <f>+'Invullen groen'!AX670</f>
        <v/>
      </c>
      <c r="K660" s="124">
        <f>+'Invullen groen'!AY670</f>
        <v/>
      </c>
      <c r="L660" s="124">
        <f>+'Invullen groen'!AZ670</f>
        <v/>
      </c>
      <c r="M660" s="124">
        <f>+'Invullen groen'!BA670</f>
        <v/>
      </c>
      <c r="N660" s="124">
        <f>+'Invullen groen'!BB670</f>
        <v/>
      </c>
      <c r="O660" s="124">
        <f>+'Invullen groen'!BC670</f>
        <v/>
      </c>
      <c r="P660" s="124">
        <f>+'Invullen groen'!BD670</f>
        <v/>
      </c>
    </row>
    <row r="661">
      <c r="A661" s="113">
        <f>+'Invullen groen'!A671</f>
        <v/>
      </c>
      <c r="B661" s="154">
        <f>+'Invullen groen'!C671</f>
        <v/>
      </c>
      <c r="C661" s="124">
        <f>+'Invullen groen'!G671</f>
        <v/>
      </c>
      <c r="D661" s="113">
        <f>+'Invullen groen'!M671</f>
        <v/>
      </c>
      <c r="E661" s="114">
        <f>+'Invullen groen'!H671</f>
        <v/>
      </c>
      <c r="F661" s="114">
        <f>+'Invullen groen'!I671</f>
        <v/>
      </c>
      <c r="G661" s="114">
        <f>+'Invullen groen'!J671</f>
        <v/>
      </c>
      <c r="H661" s="114">
        <f>+'Invullen groen'!K671</f>
        <v/>
      </c>
      <c r="I661" s="124">
        <f>+'Invullen groen'!AW671</f>
        <v/>
      </c>
      <c r="J661" s="124">
        <f>+'Invullen groen'!AX671</f>
        <v/>
      </c>
      <c r="K661" s="124">
        <f>+'Invullen groen'!AY671</f>
        <v/>
      </c>
      <c r="L661" s="124">
        <f>+'Invullen groen'!AZ671</f>
        <v/>
      </c>
      <c r="M661" s="124">
        <f>+'Invullen groen'!BA671</f>
        <v/>
      </c>
      <c r="N661" s="124">
        <f>+'Invullen groen'!BB671</f>
        <v/>
      </c>
      <c r="O661" s="124">
        <f>+'Invullen groen'!BC671</f>
        <v/>
      </c>
      <c r="P661" s="124">
        <f>+'Invullen groen'!BD671</f>
        <v/>
      </c>
    </row>
    <row r="662">
      <c r="A662" s="113">
        <f>+'Invullen groen'!A672</f>
        <v/>
      </c>
      <c r="B662" s="154">
        <f>+'Invullen groen'!C672</f>
        <v/>
      </c>
      <c r="C662" s="124">
        <f>+'Invullen groen'!G672</f>
        <v/>
      </c>
      <c r="D662" s="113">
        <f>+'Invullen groen'!M672</f>
        <v/>
      </c>
      <c r="E662" s="114">
        <f>+'Invullen groen'!H672</f>
        <v/>
      </c>
      <c r="F662" s="114">
        <f>+'Invullen groen'!I672</f>
        <v/>
      </c>
      <c r="G662" s="114">
        <f>+'Invullen groen'!J672</f>
        <v/>
      </c>
      <c r="H662" s="114">
        <f>+'Invullen groen'!K672</f>
        <v/>
      </c>
      <c r="I662" s="124">
        <f>+'Invullen groen'!AW672</f>
        <v/>
      </c>
      <c r="J662" s="124">
        <f>+'Invullen groen'!AX672</f>
        <v/>
      </c>
      <c r="K662" s="124">
        <f>+'Invullen groen'!AY672</f>
        <v/>
      </c>
      <c r="L662" s="124">
        <f>+'Invullen groen'!AZ672</f>
        <v/>
      </c>
      <c r="M662" s="124">
        <f>+'Invullen groen'!BA672</f>
        <v/>
      </c>
      <c r="N662" s="124">
        <f>+'Invullen groen'!BB672</f>
        <v/>
      </c>
      <c r="O662" s="124">
        <f>+'Invullen groen'!BC672</f>
        <v/>
      </c>
      <c r="P662" s="124">
        <f>+'Invullen groen'!BD672</f>
        <v/>
      </c>
    </row>
    <row r="663">
      <c r="A663" s="113">
        <f>+'Invullen groen'!A673</f>
        <v/>
      </c>
      <c r="B663" s="154">
        <f>+'Invullen groen'!C673</f>
        <v/>
      </c>
      <c r="C663" s="124">
        <f>+'Invullen groen'!G673</f>
        <v/>
      </c>
      <c r="D663" s="113">
        <f>+'Invullen groen'!M673</f>
        <v/>
      </c>
      <c r="E663" s="114">
        <f>+'Invullen groen'!H673</f>
        <v/>
      </c>
      <c r="F663" s="114">
        <f>+'Invullen groen'!I673</f>
        <v/>
      </c>
      <c r="G663" s="114">
        <f>+'Invullen groen'!J673</f>
        <v/>
      </c>
      <c r="H663" s="114">
        <f>+'Invullen groen'!K673</f>
        <v/>
      </c>
      <c r="I663" s="124">
        <f>+'Invullen groen'!AW673</f>
        <v/>
      </c>
      <c r="J663" s="124">
        <f>+'Invullen groen'!AX673</f>
        <v/>
      </c>
      <c r="K663" s="124">
        <f>+'Invullen groen'!AY673</f>
        <v/>
      </c>
      <c r="L663" s="124">
        <f>+'Invullen groen'!AZ673</f>
        <v/>
      </c>
      <c r="M663" s="124">
        <f>+'Invullen groen'!BA673</f>
        <v/>
      </c>
      <c r="N663" s="124">
        <f>+'Invullen groen'!BB673</f>
        <v/>
      </c>
      <c r="O663" s="124">
        <f>+'Invullen groen'!BC673</f>
        <v/>
      </c>
      <c r="P663" s="124">
        <f>+'Invullen groen'!BD673</f>
        <v/>
      </c>
    </row>
    <row r="664">
      <c r="A664" s="113">
        <f>+'Invullen groen'!A674</f>
        <v/>
      </c>
      <c r="B664" s="154">
        <f>+'Invullen groen'!C674</f>
        <v/>
      </c>
      <c r="C664" s="124">
        <f>+'Invullen groen'!G674</f>
        <v/>
      </c>
      <c r="D664" s="113">
        <f>+'Invullen groen'!M674</f>
        <v/>
      </c>
      <c r="E664" s="114">
        <f>+'Invullen groen'!H674</f>
        <v/>
      </c>
      <c r="F664" s="114">
        <f>+'Invullen groen'!I674</f>
        <v/>
      </c>
      <c r="G664" s="114">
        <f>+'Invullen groen'!J674</f>
        <v/>
      </c>
      <c r="H664" s="114">
        <f>+'Invullen groen'!K674</f>
        <v/>
      </c>
      <c r="I664" s="124">
        <f>+'Invullen groen'!AW674</f>
        <v/>
      </c>
      <c r="J664" s="124">
        <f>+'Invullen groen'!AX674</f>
        <v/>
      </c>
      <c r="K664" s="124">
        <f>+'Invullen groen'!AY674</f>
        <v/>
      </c>
      <c r="L664" s="124">
        <f>+'Invullen groen'!AZ674</f>
        <v/>
      </c>
      <c r="M664" s="124">
        <f>+'Invullen groen'!BA674</f>
        <v/>
      </c>
      <c r="N664" s="124">
        <f>+'Invullen groen'!BB674</f>
        <v/>
      </c>
      <c r="O664" s="124">
        <f>+'Invullen groen'!BC674</f>
        <v/>
      </c>
      <c r="P664" s="124">
        <f>+'Invullen groen'!BD674</f>
        <v/>
      </c>
    </row>
    <row r="665">
      <c r="A665" s="113">
        <f>+'Invullen groen'!A675</f>
        <v/>
      </c>
      <c r="B665" s="154">
        <f>+'Invullen groen'!C675</f>
        <v/>
      </c>
      <c r="C665" s="124">
        <f>+'Invullen groen'!G675</f>
        <v/>
      </c>
      <c r="D665" s="113">
        <f>+'Invullen groen'!M675</f>
        <v/>
      </c>
      <c r="E665" s="114">
        <f>+'Invullen groen'!H675</f>
        <v/>
      </c>
      <c r="F665" s="114">
        <f>+'Invullen groen'!I675</f>
        <v/>
      </c>
      <c r="G665" s="114">
        <f>+'Invullen groen'!J675</f>
        <v/>
      </c>
      <c r="H665" s="114">
        <f>+'Invullen groen'!K675</f>
        <v/>
      </c>
      <c r="I665" s="124">
        <f>+'Invullen groen'!AW675</f>
        <v/>
      </c>
      <c r="J665" s="124">
        <f>+'Invullen groen'!AX675</f>
        <v/>
      </c>
      <c r="K665" s="124">
        <f>+'Invullen groen'!AY675</f>
        <v/>
      </c>
      <c r="L665" s="124">
        <f>+'Invullen groen'!AZ675</f>
        <v/>
      </c>
      <c r="M665" s="124">
        <f>+'Invullen groen'!BA675</f>
        <v/>
      </c>
      <c r="N665" s="124">
        <f>+'Invullen groen'!BB675</f>
        <v/>
      </c>
      <c r="O665" s="124">
        <f>+'Invullen groen'!BC675</f>
        <v/>
      </c>
      <c r="P665" s="124">
        <f>+'Invullen groen'!BD675</f>
        <v/>
      </c>
    </row>
    <row r="666">
      <c r="A666" s="113">
        <f>+'Invullen groen'!A676</f>
        <v/>
      </c>
      <c r="B666" s="154">
        <f>+'Invullen groen'!C676</f>
        <v/>
      </c>
      <c r="C666" s="124">
        <f>+'Invullen groen'!G676</f>
        <v/>
      </c>
      <c r="D666" s="113">
        <f>+'Invullen groen'!M676</f>
        <v/>
      </c>
      <c r="E666" s="114">
        <f>+'Invullen groen'!H676</f>
        <v/>
      </c>
      <c r="F666" s="114">
        <f>+'Invullen groen'!I676</f>
        <v/>
      </c>
      <c r="G666" s="114">
        <f>+'Invullen groen'!J676</f>
        <v/>
      </c>
      <c r="H666" s="114">
        <f>+'Invullen groen'!K676</f>
        <v/>
      </c>
      <c r="I666" s="124">
        <f>+'Invullen groen'!AW676</f>
        <v/>
      </c>
      <c r="J666" s="124">
        <f>+'Invullen groen'!AX676</f>
        <v/>
      </c>
      <c r="K666" s="124">
        <f>+'Invullen groen'!AY676</f>
        <v/>
      </c>
      <c r="L666" s="124">
        <f>+'Invullen groen'!AZ676</f>
        <v/>
      </c>
      <c r="M666" s="124">
        <f>+'Invullen groen'!BA676</f>
        <v/>
      </c>
      <c r="N666" s="124">
        <f>+'Invullen groen'!BB676</f>
        <v/>
      </c>
      <c r="O666" s="124">
        <f>+'Invullen groen'!BC676</f>
        <v/>
      </c>
      <c r="P666" s="124">
        <f>+'Invullen groen'!BD676</f>
        <v/>
      </c>
    </row>
    <row r="667">
      <c r="A667" s="113">
        <f>+'Invullen groen'!A677</f>
        <v/>
      </c>
      <c r="B667" s="154">
        <f>+'Invullen groen'!C677</f>
        <v/>
      </c>
      <c r="C667" s="124">
        <f>+'Invullen groen'!G677</f>
        <v/>
      </c>
      <c r="D667" s="113">
        <f>+'Invullen groen'!M677</f>
        <v/>
      </c>
      <c r="E667" s="114">
        <f>+'Invullen groen'!H677</f>
        <v/>
      </c>
      <c r="F667" s="114">
        <f>+'Invullen groen'!I677</f>
        <v/>
      </c>
      <c r="G667" s="114">
        <f>+'Invullen groen'!J677</f>
        <v/>
      </c>
      <c r="H667" s="114">
        <f>+'Invullen groen'!K677</f>
        <v/>
      </c>
      <c r="I667" s="124">
        <f>+'Invullen groen'!AW677</f>
        <v/>
      </c>
      <c r="J667" s="124">
        <f>+'Invullen groen'!AX677</f>
        <v/>
      </c>
      <c r="K667" s="124">
        <f>+'Invullen groen'!AY677</f>
        <v/>
      </c>
      <c r="L667" s="124">
        <f>+'Invullen groen'!AZ677</f>
        <v/>
      </c>
      <c r="M667" s="124">
        <f>+'Invullen groen'!BA677</f>
        <v/>
      </c>
      <c r="N667" s="124">
        <f>+'Invullen groen'!BB677</f>
        <v/>
      </c>
      <c r="O667" s="124">
        <f>+'Invullen groen'!BC677</f>
        <v/>
      </c>
      <c r="P667" s="124">
        <f>+'Invullen groen'!BD677</f>
        <v/>
      </c>
    </row>
    <row r="668">
      <c r="A668" s="113">
        <f>+'Invullen groen'!A678</f>
        <v/>
      </c>
      <c r="B668" s="154">
        <f>+'Invullen groen'!C678</f>
        <v/>
      </c>
      <c r="C668" s="124">
        <f>+'Invullen groen'!G678</f>
        <v/>
      </c>
      <c r="D668" s="113">
        <f>+'Invullen groen'!M678</f>
        <v/>
      </c>
      <c r="E668" s="114">
        <f>+'Invullen groen'!H678</f>
        <v/>
      </c>
      <c r="F668" s="114">
        <f>+'Invullen groen'!I678</f>
        <v/>
      </c>
      <c r="G668" s="114">
        <f>+'Invullen groen'!J678</f>
        <v/>
      </c>
      <c r="H668" s="114">
        <f>+'Invullen groen'!K678</f>
        <v/>
      </c>
      <c r="I668" s="124">
        <f>+'Invullen groen'!AW678</f>
        <v/>
      </c>
      <c r="J668" s="124">
        <f>+'Invullen groen'!AX678</f>
        <v/>
      </c>
      <c r="K668" s="124">
        <f>+'Invullen groen'!AY678</f>
        <v/>
      </c>
      <c r="L668" s="124">
        <f>+'Invullen groen'!AZ678</f>
        <v/>
      </c>
      <c r="M668" s="124">
        <f>+'Invullen groen'!BA678</f>
        <v/>
      </c>
      <c r="N668" s="124">
        <f>+'Invullen groen'!BB678</f>
        <v/>
      </c>
      <c r="O668" s="124">
        <f>+'Invullen groen'!BC678</f>
        <v/>
      </c>
      <c r="P668" s="124">
        <f>+'Invullen groen'!BD678</f>
        <v/>
      </c>
    </row>
    <row r="669">
      <c r="A669" s="113">
        <f>+'Invullen groen'!A679</f>
        <v/>
      </c>
      <c r="B669" s="154">
        <f>+'Invullen groen'!C679</f>
        <v/>
      </c>
      <c r="C669" s="124">
        <f>+'Invullen groen'!G679</f>
        <v/>
      </c>
      <c r="D669" s="113">
        <f>+'Invullen groen'!M679</f>
        <v/>
      </c>
      <c r="E669" s="114">
        <f>+'Invullen groen'!H679</f>
        <v/>
      </c>
      <c r="F669" s="114">
        <f>+'Invullen groen'!I679</f>
        <v/>
      </c>
      <c r="G669" s="114">
        <f>+'Invullen groen'!J679</f>
        <v/>
      </c>
      <c r="H669" s="114">
        <f>+'Invullen groen'!K679</f>
        <v/>
      </c>
      <c r="I669" s="124">
        <f>+'Invullen groen'!AW679</f>
        <v/>
      </c>
      <c r="J669" s="124">
        <f>+'Invullen groen'!AX679</f>
        <v/>
      </c>
      <c r="K669" s="124">
        <f>+'Invullen groen'!AY679</f>
        <v/>
      </c>
      <c r="L669" s="124">
        <f>+'Invullen groen'!AZ679</f>
        <v/>
      </c>
      <c r="M669" s="124">
        <f>+'Invullen groen'!BA679</f>
        <v/>
      </c>
      <c r="N669" s="124">
        <f>+'Invullen groen'!BB679</f>
        <v/>
      </c>
      <c r="O669" s="124">
        <f>+'Invullen groen'!BC679</f>
        <v/>
      </c>
      <c r="P669" s="124">
        <f>+'Invullen groen'!BD679</f>
        <v/>
      </c>
    </row>
    <row r="670">
      <c r="A670" s="113">
        <f>+'Invullen groen'!A680</f>
        <v/>
      </c>
      <c r="B670" s="154">
        <f>+'Invullen groen'!C680</f>
        <v/>
      </c>
      <c r="C670" s="124">
        <f>+'Invullen groen'!G680</f>
        <v/>
      </c>
      <c r="D670" s="113">
        <f>+'Invullen groen'!M680</f>
        <v/>
      </c>
      <c r="E670" s="114">
        <f>+'Invullen groen'!H680</f>
        <v/>
      </c>
      <c r="F670" s="114">
        <f>+'Invullen groen'!I680</f>
        <v/>
      </c>
      <c r="G670" s="114">
        <f>+'Invullen groen'!J680</f>
        <v/>
      </c>
      <c r="H670" s="114">
        <f>+'Invullen groen'!K680</f>
        <v/>
      </c>
      <c r="I670" s="124">
        <f>+'Invullen groen'!AW680</f>
        <v/>
      </c>
      <c r="J670" s="124">
        <f>+'Invullen groen'!AX680</f>
        <v/>
      </c>
      <c r="K670" s="124">
        <f>+'Invullen groen'!AY680</f>
        <v/>
      </c>
      <c r="L670" s="124">
        <f>+'Invullen groen'!AZ680</f>
        <v/>
      </c>
      <c r="M670" s="124">
        <f>+'Invullen groen'!BA680</f>
        <v/>
      </c>
      <c r="N670" s="124">
        <f>+'Invullen groen'!BB680</f>
        <v/>
      </c>
      <c r="O670" s="124">
        <f>+'Invullen groen'!BC680</f>
        <v/>
      </c>
      <c r="P670" s="124">
        <f>+'Invullen groen'!BD680</f>
        <v/>
      </c>
    </row>
    <row r="671">
      <c r="A671" s="113">
        <f>+'Invullen groen'!A681</f>
        <v/>
      </c>
      <c r="B671" s="154">
        <f>+'Invullen groen'!C681</f>
        <v/>
      </c>
      <c r="C671" s="124">
        <f>+'Invullen groen'!G681</f>
        <v/>
      </c>
      <c r="D671" s="113">
        <f>+'Invullen groen'!M681</f>
        <v/>
      </c>
      <c r="E671" s="114">
        <f>+'Invullen groen'!H681</f>
        <v/>
      </c>
      <c r="F671" s="114">
        <f>+'Invullen groen'!I681</f>
        <v/>
      </c>
      <c r="G671" s="114">
        <f>+'Invullen groen'!J681</f>
        <v/>
      </c>
      <c r="H671" s="114">
        <f>+'Invullen groen'!K681</f>
        <v/>
      </c>
      <c r="I671" s="124">
        <f>+'Invullen groen'!AW681</f>
        <v/>
      </c>
      <c r="J671" s="124">
        <f>+'Invullen groen'!AX681</f>
        <v/>
      </c>
      <c r="K671" s="124">
        <f>+'Invullen groen'!AY681</f>
        <v/>
      </c>
      <c r="L671" s="124">
        <f>+'Invullen groen'!AZ681</f>
        <v/>
      </c>
      <c r="M671" s="124">
        <f>+'Invullen groen'!BA681</f>
        <v/>
      </c>
      <c r="N671" s="124">
        <f>+'Invullen groen'!BB681</f>
        <v/>
      </c>
      <c r="O671" s="124">
        <f>+'Invullen groen'!BC681</f>
        <v/>
      </c>
      <c r="P671" s="124">
        <f>+'Invullen groen'!BD681</f>
        <v/>
      </c>
    </row>
    <row r="672">
      <c r="A672" s="113">
        <f>+'Invullen groen'!A682</f>
        <v/>
      </c>
      <c r="B672" s="154">
        <f>+'Invullen groen'!C682</f>
        <v/>
      </c>
      <c r="C672" s="124">
        <f>+'Invullen groen'!G682</f>
        <v/>
      </c>
      <c r="D672" s="113">
        <f>+'Invullen groen'!M682</f>
        <v/>
      </c>
      <c r="E672" s="114">
        <f>+'Invullen groen'!H682</f>
        <v/>
      </c>
      <c r="F672" s="114">
        <f>+'Invullen groen'!I682</f>
        <v/>
      </c>
      <c r="G672" s="114">
        <f>+'Invullen groen'!J682</f>
        <v/>
      </c>
      <c r="H672" s="114">
        <f>+'Invullen groen'!K682</f>
        <v/>
      </c>
      <c r="I672" s="124">
        <f>+'Invullen groen'!AW682</f>
        <v/>
      </c>
      <c r="J672" s="124">
        <f>+'Invullen groen'!AX682</f>
        <v/>
      </c>
      <c r="K672" s="124">
        <f>+'Invullen groen'!AY682</f>
        <v/>
      </c>
      <c r="L672" s="124">
        <f>+'Invullen groen'!AZ682</f>
        <v/>
      </c>
      <c r="M672" s="124">
        <f>+'Invullen groen'!BA682</f>
        <v/>
      </c>
      <c r="N672" s="124">
        <f>+'Invullen groen'!BB682</f>
        <v/>
      </c>
      <c r="O672" s="124">
        <f>+'Invullen groen'!BC682</f>
        <v/>
      </c>
      <c r="P672" s="124">
        <f>+'Invullen groen'!BD682</f>
        <v/>
      </c>
    </row>
    <row r="673">
      <c r="A673" s="113">
        <f>+'Invullen groen'!A683</f>
        <v/>
      </c>
      <c r="B673" s="154">
        <f>+'Invullen groen'!C683</f>
        <v/>
      </c>
      <c r="C673" s="124">
        <f>+'Invullen groen'!G683</f>
        <v/>
      </c>
      <c r="D673" s="113">
        <f>+'Invullen groen'!M683</f>
        <v/>
      </c>
      <c r="E673" s="114">
        <f>+'Invullen groen'!H683</f>
        <v/>
      </c>
      <c r="F673" s="114">
        <f>+'Invullen groen'!I683</f>
        <v/>
      </c>
      <c r="G673" s="114">
        <f>+'Invullen groen'!J683</f>
        <v/>
      </c>
      <c r="H673" s="114">
        <f>+'Invullen groen'!K683</f>
        <v/>
      </c>
      <c r="I673" s="124">
        <f>+'Invullen groen'!AW683</f>
        <v/>
      </c>
      <c r="J673" s="124">
        <f>+'Invullen groen'!AX683</f>
        <v/>
      </c>
      <c r="K673" s="124">
        <f>+'Invullen groen'!AY683</f>
        <v/>
      </c>
      <c r="L673" s="124">
        <f>+'Invullen groen'!AZ683</f>
        <v/>
      </c>
      <c r="M673" s="124">
        <f>+'Invullen groen'!BA683</f>
        <v/>
      </c>
      <c r="N673" s="124">
        <f>+'Invullen groen'!BB683</f>
        <v/>
      </c>
      <c r="O673" s="124">
        <f>+'Invullen groen'!BC683</f>
        <v/>
      </c>
      <c r="P673" s="124">
        <f>+'Invullen groen'!BD683</f>
        <v/>
      </c>
    </row>
    <row r="674">
      <c r="A674" s="113">
        <f>+'Invullen groen'!A684</f>
        <v/>
      </c>
      <c r="B674" s="154">
        <f>+'Invullen groen'!C684</f>
        <v/>
      </c>
      <c r="C674" s="124">
        <f>+'Invullen groen'!G684</f>
        <v/>
      </c>
      <c r="D674" s="113">
        <f>+'Invullen groen'!M684</f>
        <v/>
      </c>
      <c r="E674" s="114">
        <f>+'Invullen groen'!H684</f>
        <v/>
      </c>
      <c r="F674" s="114">
        <f>+'Invullen groen'!I684</f>
        <v/>
      </c>
      <c r="G674" s="114">
        <f>+'Invullen groen'!J684</f>
        <v/>
      </c>
      <c r="H674" s="114">
        <f>+'Invullen groen'!K684</f>
        <v/>
      </c>
      <c r="I674" s="124">
        <f>+'Invullen groen'!AW684</f>
        <v/>
      </c>
      <c r="J674" s="124">
        <f>+'Invullen groen'!AX684</f>
        <v/>
      </c>
      <c r="K674" s="124">
        <f>+'Invullen groen'!AY684</f>
        <v/>
      </c>
      <c r="L674" s="124">
        <f>+'Invullen groen'!AZ684</f>
        <v/>
      </c>
      <c r="M674" s="124">
        <f>+'Invullen groen'!BA684</f>
        <v/>
      </c>
      <c r="N674" s="124">
        <f>+'Invullen groen'!BB684</f>
        <v/>
      </c>
      <c r="O674" s="124">
        <f>+'Invullen groen'!BC684</f>
        <v/>
      </c>
      <c r="P674" s="124">
        <f>+'Invullen groen'!BD684</f>
        <v/>
      </c>
    </row>
    <row r="675">
      <c r="A675" s="113">
        <f>+'Invullen groen'!A685</f>
        <v/>
      </c>
      <c r="B675" s="154">
        <f>+'Invullen groen'!C685</f>
        <v/>
      </c>
      <c r="C675" s="124">
        <f>+'Invullen groen'!G685</f>
        <v/>
      </c>
      <c r="D675" s="113">
        <f>+'Invullen groen'!M685</f>
        <v/>
      </c>
      <c r="E675" s="114">
        <f>+'Invullen groen'!H685</f>
        <v/>
      </c>
      <c r="F675" s="114">
        <f>+'Invullen groen'!I685</f>
        <v/>
      </c>
      <c r="G675" s="114">
        <f>+'Invullen groen'!J685</f>
        <v/>
      </c>
      <c r="H675" s="114">
        <f>+'Invullen groen'!K685</f>
        <v/>
      </c>
      <c r="I675" s="124">
        <f>+'Invullen groen'!AW685</f>
        <v/>
      </c>
      <c r="J675" s="124">
        <f>+'Invullen groen'!AX685</f>
        <v/>
      </c>
      <c r="K675" s="124">
        <f>+'Invullen groen'!AY685</f>
        <v/>
      </c>
      <c r="L675" s="124">
        <f>+'Invullen groen'!AZ685</f>
        <v/>
      </c>
      <c r="M675" s="124">
        <f>+'Invullen groen'!BA685</f>
        <v/>
      </c>
      <c r="N675" s="124">
        <f>+'Invullen groen'!BB685</f>
        <v/>
      </c>
      <c r="O675" s="124">
        <f>+'Invullen groen'!BC685</f>
        <v/>
      </c>
      <c r="P675" s="124">
        <f>+'Invullen groen'!BD685</f>
        <v/>
      </c>
    </row>
    <row r="676">
      <c r="A676" s="113">
        <f>+'Invullen groen'!A686</f>
        <v/>
      </c>
      <c r="B676" s="154">
        <f>+'Invullen groen'!C686</f>
        <v/>
      </c>
      <c r="C676" s="124">
        <f>+'Invullen groen'!G686</f>
        <v/>
      </c>
      <c r="D676" s="113">
        <f>+'Invullen groen'!M686</f>
        <v/>
      </c>
      <c r="E676" s="114">
        <f>+'Invullen groen'!H686</f>
        <v/>
      </c>
      <c r="F676" s="114">
        <f>+'Invullen groen'!I686</f>
        <v/>
      </c>
      <c r="G676" s="114">
        <f>+'Invullen groen'!J686</f>
        <v/>
      </c>
      <c r="H676" s="114">
        <f>+'Invullen groen'!K686</f>
        <v/>
      </c>
      <c r="I676" s="124">
        <f>+'Invullen groen'!AW686</f>
        <v/>
      </c>
      <c r="J676" s="124">
        <f>+'Invullen groen'!AX686</f>
        <v/>
      </c>
      <c r="K676" s="124">
        <f>+'Invullen groen'!AY686</f>
        <v/>
      </c>
      <c r="L676" s="124">
        <f>+'Invullen groen'!AZ686</f>
        <v/>
      </c>
      <c r="M676" s="124">
        <f>+'Invullen groen'!BA686</f>
        <v/>
      </c>
      <c r="N676" s="124">
        <f>+'Invullen groen'!BB686</f>
        <v/>
      </c>
      <c r="O676" s="124">
        <f>+'Invullen groen'!BC686</f>
        <v/>
      </c>
      <c r="P676" s="124">
        <f>+'Invullen groen'!BD686</f>
        <v/>
      </c>
    </row>
    <row r="677">
      <c r="A677" s="113">
        <f>+'Invullen groen'!A687</f>
        <v/>
      </c>
      <c r="B677" s="154">
        <f>+'Invullen groen'!C687</f>
        <v/>
      </c>
      <c r="C677" s="124">
        <f>+'Invullen groen'!G687</f>
        <v/>
      </c>
      <c r="D677" s="113">
        <f>+'Invullen groen'!M687</f>
        <v/>
      </c>
      <c r="E677" s="114">
        <f>+'Invullen groen'!H687</f>
        <v/>
      </c>
      <c r="F677" s="114">
        <f>+'Invullen groen'!I687</f>
        <v/>
      </c>
      <c r="G677" s="114">
        <f>+'Invullen groen'!J687</f>
        <v/>
      </c>
      <c r="H677" s="114">
        <f>+'Invullen groen'!K687</f>
        <v/>
      </c>
      <c r="I677" s="124">
        <f>+'Invullen groen'!AW687</f>
        <v/>
      </c>
      <c r="J677" s="124">
        <f>+'Invullen groen'!AX687</f>
        <v/>
      </c>
      <c r="K677" s="124">
        <f>+'Invullen groen'!AY687</f>
        <v/>
      </c>
      <c r="L677" s="124">
        <f>+'Invullen groen'!AZ687</f>
        <v/>
      </c>
      <c r="M677" s="124">
        <f>+'Invullen groen'!BA687</f>
        <v/>
      </c>
      <c r="N677" s="124">
        <f>+'Invullen groen'!BB687</f>
        <v/>
      </c>
      <c r="O677" s="124">
        <f>+'Invullen groen'!BC687</f>
        <v/>
      </c>
      <c r="P677" s="124">
        <f>+'Invullen groen'!BD687</f>
        <v/>
      </c>
    </row>
    <row r="678">
      <c r="A678" s="113">
        <f>+'Invullen groen'!A688</f>
        <v/>
      </c>
      <c r="B678" s="154">
        <f>+'Invullen groen'!C688</f>
        <v/>
      </c>
      <c r="C678" s="124">
        <f>+'Invullen groen'!G688</f>
        <v/>
      </c>
      <c r="D678" s="113">
        <f>+'Invullen groen'!M688</f>
        <v/>
      </c>
      <c r="E678" s="114">
        <f>+'Invullen groen'!H688</f>
        <v/>
      </c>
      <c r="F678" s="114">
        <f>+'Invullen groen'!I688</f>
        <v/>
      </c>
      <c r="G678" s="114">
        <f>+'Invullen groen'!J688</f>
        <v/>
      </c>
      <c r="H678" s="114">
        <f>+'Invullen groen'!K688</f>
        <v/>
      </c>
      <c r="I678" s="124">
        <f>+'Invullen groen'!AW688</f>
        <v/>
      </c>
      <c r="J678" s="124">
        <f>+'Invullen groen'!AX688</f>
        <v/>
      </c>
      <c r="K678" s="124">
        <f>+'Invullen groen'!AY688</f>
        <v/>
      </c>
      <c r="L678" s="124">
        <f>+'Invullen groen'!AZ688</f>
        <v/>
      </c>
      <c r="M678" s="124">
        <f>+'Invullen groen'!BA688</f>
        <v/>
      </c>
      <c r="N678" s="124">
        <f>+'Invullen groen'!BB688</f>
        <v/>
      </c>
      <c r="O678" s="124">
        <f>+'Invullen groen'!BC688</f>
        <v/>
      </c>
      <c r="P678" s="124">
        <f>+'Invullen groen'!BD688</f>
        <v/>
      </c>
    </row>
    <row r="679">
      <c r="A679" s="113">
        <f>+'Invullen groen'!A689</f>
        <v/>
      </c>
      <c r="B679" s="154">
        <f>+'Invullen groen'!C689</f>
        <v/>
      </c>
      <c r="C679" s="124">
        <f>+'Invullen groen'!G689</f>
        <v/>
      </c>
      <c r="D679" s="113">
        <f>+'Invullen groen'!M689</f>
        <v/>
      </c>
      <c r="E679" s="114">
        <f>+'Invullen groen'!H689</f>
        <v/>
      </c>
      <c r="F679" s="114">
        <f>+'Invullen groen'!I689</f>
        <v/>
      </c>
      <c r="G679" s="114">
        <f>+'Invullen groen'!J689</f>
        <v/>
      </c>
      <c r="H679" s="114">
        <f>+'Invullen groen'!K689</f>
        <v/>
      </c>
      <c r="I679" s="124">
        <f>+'Invullen groen'!AW689</f>
        <v/>
      </c>
      <c r="J679" s="124">
        <f>+'Invullen groen'!AX689</f>
        <v/>
      </c>
      <c r="K679" s="124">
        <f>+'Invullen groen'!AY689</f>
        <v/>
      </c>
      <c r="L679" s="124">
        <f>+'Invullen groen'!AZ689</f>
        <v/>
      </c>
      <c r="M679" s="124">
        <f>+'Invullen groen'!BA689</f>
        <v/>
      </c>
      <c r="N679" s="124">
        <f>+'Invullen groen'!BB689</f>
        <v/>
      </c>
      <c r="O679" s="124">
        <f>+'Invullen groen'!BC689</f>
        <v/>
      </c>
      <c r="P679" s="124">
        <f>+'Invullen groen'!BD689</f>
        <v/>
      </c>
    </row>
    <row r="680">
      <c r="A680" s="113">
        <f>+'Invullen groen'!A690</f>
        <v/>
      </c>
      <c r="B680" s="154">
        <f>+'Invullen groen'!C690</f>
        <v/>
      </c>
      <c r="C680" s="124">
        <f>+'Invullen groen'!G690</f>
        <v/>
      </c>
      <c r="D680" s="113">
        <f>+'Invullen groen'!M690</f>
        <v/>
      </c>
      <c r="E680" s="114">
        <f>+'Invullen groen'!H690</f>
        <v/>
      </c>
      <c r="F680" s="114">
        <f>+'Invullen groen'!I690</f>
        <v/>
      </c>
      <c r="G680" s="114">
        <f>+'Invullen groen'!J690</f>
        <v/>
      </c>
      <c r="H680" s="114">
        <f>+'Invullen groen'!K690</f>
        <v/>
      </c>
      <c r="I680" s="124">
        <f>+'Invullen groen'!AW690</f>
        <v/>
      </c>
      <c r="J680" s="124">
        <f>+'Invullen groen'!AX690</f>
        <v/>
      </c>
      <c r="K680" s="124">
        <f>+'Invullen groen'!AY690</f>
        <v/>
      </c>
      <c r="L680" s="124">
        <f>+'Invullen groen'!AZ690</f>
        <v/>
      </c>
      <c r="M680" s="124">
        <f>+'Invullen groen'!BA690</f>
        <v/>
      </c>
      <c r="N680" s="124">
        <f>+'Invullen groen'!BB690</f>
        <v/>
      </c>
      <c r="O680" s="124">
        <f>+'Invullen groen'!BC690</f>
        <v/>
      </c>
      <c r="P680" s="124">
        <f>+'Invullen groen'!BD690</f>
        <v/>
      </c>
    </row>
    <row r="681">
      <c r="A681" s="113">
        <f>+'Invullen groen'!A691</f>
        <v/>
      </c>
      <c r="B681" s="154">
        <f>+'Invullen groen'!C691</f>
        <v/>
      </c>
      <c r="C681" s="124">
        <f>+'Invullen groen'!G691</f>
        <v/>
      </c>
      <c r="D681" s="113">
        <f>+'Invullen groen'!M691</f>
        <v/>
      </c>
      <c r="E681" s="114">
        <f>+'Invullen groen'!H691</f>
        <v/>
      </c>
      <c r="F681" s="114">
        <f>+'Invullen groen'!I691</f>
        <v/>
      </c>
      <c r="G681" s="114">
        <f>+'Invullen groen'!J691</f>
        <v/>
      </c>
      <c r="H681" s="114">
        <f>+'Invullen groen'!K691</f>
        <v/>
      </c>
      <c r="I681" s="124">
        <f>+'Invullen groen'!AW691</f>
        <v/>
      </c>
      <c r="J681" s="124">
        <f>+'Invullen groen'!AX691</f>
        <v/>
      </c>
      <c r="K681" s="124">
        <f>+'Invullen groen'!AY691</f>
        <v/>
      </c>
      <c r="L681" s="124">
        <f>+'Invullen groen'!AZ691</f>
        <v/>
      </c>
      <c r="M681" s="124">
        <f>+'Invullen groen'!BA691</f>
        <v/>
      </c>
      <c r="N681" s="124">
        <f>+'Invullen groen'!BB691</f>
        <v/>
      </c>
      <c r="O681" s="124">
        <f>+'Invullen groen'!BC691</f>
        <v/>
      </c>
      <c r="P681" s="124">
        <f>+'Invullen groen'!BD691</f>
        <v/>
      </c>
    </row>
    <row r="682">
      <c r="A682" s="113">
        <f>+'Invullen groen'!A692</f>
        <v/>
      </c>
      <c r="B682" s="154">
        <f>+'Invullen groen'!C692</f>
        <v/>
      </c>
      <c r="C682" s="124">
        <f>+'Invullen groen'!G692</f>
        <v/>
      </c>
      <c r="D682" s="113">
        <f>+'Invullen groen'!M692</f>
        <v/>
      </c>
      <c r="E682" s="114">
        <f>+'Invullen groen'!H692</f>
        <v/>
      </c>
      <c r="F682" s="114">
        <f>+'Invullen groen'!I692</f>
        <v/>
      </c>
      <c r="G682" s="114">
        <f>+'Invullen groen'!J692</f>
        <v/>
      </c>
      <c r="H682" s="114">
        <f>+'Invullen groen'!K692</f>
        <v/>
      </c>
      <c r="I682" s="124">
        <f>+'Invullen groen'!AW692</f>
        <v/>
      </c>
      <c r="J682" s="124">
        <f>+'Invullen groen'!AX692</f>
        <v/>
      </c>
      <c r="K682" s="124">
        <f>+'Invullen groen'!AY692</f>
        <v/>
      </c>
      <c r="L682" s="124">
        <f>+'Invullen groen'!AZ692</f>
        <v/>
      </c>
      <c r="M682" s="124">
        <f>+'Invullen groen'!BA692</f>
        <v/>
      </c>
      <c r="N682" s="124">
        <f>+'Invullen groen'!BB692</f>
        <v/>
      </c>
      <c r="O682" s="124">
        <f>+'Invullen groen'!BC692</f>
        <v/>
      </c>
      <c r="P682" s="124">
        <f>+'Invullen groen'!BD692</f>
        <v/>
      </c>
    </row>
    <row r="683">
      <c r="A683" s="113">
        <f>+'Invullen groen'!A693</f>
        <v/>
      </c>
      <c r="B683" s="154">
        <f>+'Invullen groen'!C693</f>
        <v/>
      </c>
      <c r="C683" s="124">
        <f>+'Invullen groen'!G693</f>
        <v/>
      </c>
      <c r="D683" s="113">
        <f>+'Invullen groen'!M693</f>
        <v/>
      </c>
      <c r="E683" s="114">
        <f>+'Invullen groen'!H693</f>
        <v/>
      </c>
      <c r="F683" s="114">
        <f>+'Invullen groen'!I693</f>
        <v/>
      </c>
      <c r="G683" s="114">
        <f>+'Invullen groen'!J693</f>
        <v/>
      </c>
      <c r="H683" s="114">
        <f>+'Invullen groen'!K693</f>
        <v/>
      </c>
      <c r="I683" s="124">
        <f>+'Invullen groen'!AW693</f>
        <v/>
      </c>
      <c r="J683" s="124">
        <f>+'Invullen groen'!AX693</f>
        <v/>
      </c>
      <c r="K683" s="124">
        <f>+'Invullen groen'!AY693</f>
        <v/>
      </c>
      <c r="L683" s="124">
        <f>+'Invullen groen'!AZ693</f>
        <v/>
      </c>
      <c r="M683" s="124">
        <f>+'Invullen groen'!BA693</f>
        <v/>
      </c>
      <c r="N683" s="124">
        <f>+'Invullen groen'!BB693</f>
        <v/>
      </c>
      <c r="O683" s="124">
        <f>+'Invullen groen'!BC693</f>
        <v/>
      </c>
      <c r="P683" s="124">
        <f>+'Invullen groen'!BD693</f>
        <v/>
      </c>
    </row>
    <row r="684">
      <c r="A684" s="113">
        <f>+'Invullen groen'!A694</f>
        <v/>
      </c>
      <c r="B684" s="154">
        <f>+'Invullen groen'!C694</f>
        <v/>
      </c>
      <c r="C684" s="124">
        <f>+'Invullen groen'!G694</f>
        <v/>
      </c>
      <c r="D684" s="113">
        <f>+'Invullen groen'!M694</f>
        <v/>
      </c>
      <c r="E684" s="114">
        <f>+'Invullen groen'!H694</f>
        <v/>
      </c>
      <c r="F684" s="114">
        <f>+'Invullen groen'!I694</f>
        <v/>
      </c>
      <c r="G684" s="114">
        <f>+'Invullen groen'!J694</f>
        <v/>
      </c>
      <c r="H684" s="114">
        <f>+'Invullen groen'!K694</f>
        <v/>
      </c>
      <c r="I684" s="124">
        <f>+'Invullen groen'!AW694</f>
        <v/>
      </c>
      <c r="J684" s="124">
        <f>+'Invullen groen'!AX694</f>
        <v/>
      </c>
      <c r="K684" s="124">
        <f>+'Invullen groen'!AY694</f>
        <v/>
      </c>
      <c r="L684" s="124">
        <f>+'Invullen groen'!AZ694</f>
        <v/>
      </c>
      <c r="M684" s="124">
        <f>+'Invullen groen'!BA694</f>
        <v/>
      </c>
      <c r="N684" s="124">
        <f>+'Invullen groen'!BB694</f>
        <v/>
      </c>
      <c r="O684" s="124">
        <f>+'Invullen groen'!BC694</f>
        <v/>
      </c>
      <c r="P684" s="124">
        <f>+'Invullen groen'!BD694</f>
        <v/>
      </c>
    </row>
    <row r="685">
      <c r="A685" s="113">
        <f>+'Invullen groen'!A695</f>
        <v/>
      </c>
      <c r="B685" s="154">
        <f>+'Invullen groen'!C695</f>
        <v/>
      </c>
      <c r="C685" s="124">
        <f>+'Invullen groen'!G695</f>
        <v/>
      </c>
      <c r="D685" s="113">
        <f>+'Invullen groen'!M695</f>
        <v/>
      </c>
      <c r="E685" s="114">
        <f>+'Invullen groen'!H695</f>
        <v/>
      </c>
      <c r="F685" s="114">
        <f>+'Invullen groen'!I695</f>
        <v/>
      </c>
      <c r="G685" s="114">
        <f>+'Invullen groen'!J695</f>
        <v/>
      </c>
      <c r="H685" s="114">
        <f>+'Invullen groen'!K695</f>
        <v/>
      </c>
      <c r="I685" s="124">
        <f>+'Invullen groen'!AW695</f>
        <v/>
      </c>
      <c r="J685" s="124">
        <f>+'Invullen groen'!AX695</f>
        <v/>
      </c>
      <c r="K685" s="124">
        <f>+'Invullen groen'!AY695</f>
        <v/>
      </c>
      <c r="L685" s="124">
        <f>+'Invullen groen'!AZ695</f>
        <v/>
      </c>
      <c r="M685" s="124">
        <f>+'Invullen groen'!BA695</f>
        <v/>
      </c>
      <c r="N685" s="124">
        <f>+'Invullen groen'!BB695</f>
        <v/>
      </c>
      <c r="O685" s="124">
        <f>+'Invullen groen'!BC695</f>
        <v/>
      </c>
      <c r="P685" s="124">
        <f>+'Invullen groen'!BD695</f>
        <v/>
      </c>
    </row>
    <row r="686">
      <c r="A686" s="113">
        <f>+'Invullen groen'!A696</f>
        <v/>
      </c>
      <c r="B686" s="154">
        <f>+'Invullen groen'!C696</f>
        <v/>
      </c>
      <c r="C686" s="124">
        <f>+'Invullen groen'!G696</f>
        <v/>
      </c>
      <c r="D686" s="113">
        <f>+'Invullen groen'!M696</f>
        <v/>
      </c>
      <c r="E686" s="114">
        <f>+'Invullen groen'!H696</f>
        <v/>
      </c>
      <c r="F686" s="114">
        <f>+'Invullen groen'!I696</f>
        <v/>
      </c>
      <c r="G686" s="114">
        <f>+'Invullen groen'!J696</f>
        <v/>
      </c>
      <c r="H686" s="114">
        <f>+'Invullen groen'!K696</f>
        <v/>
      </c>
      <c r="I686" s="124">
        <f>+'Invullen groen'!AW696</f>
        <v/>
      </c>
      <c r="J686" s="124">
        <f>+'Invullen groen'!AX696</f>
        <v/>
      </c>
      <c r="K686" s="124">
        <f>+'Invullen groen'!AY696</f>
        <v/>
      </c>
      <c r="L686" s="124">
        <f>+'Invullen groen'!AZ696</f>
        <v/>
      </c>
      <c r="M686" s="124">
        <f>+'Invullen groen'!BA696</f>
        <v/>
      </c>
      <c r="N686" s="124">
        <f>+'Invullen groen'!BB696</f>
        <v/>
      </c>
      <c r="O686" s="124">
        <f>+'Invullen groen'!BC696</f>
        <v/>
      </c>
      <c r="P686" s="124">
        <f>+'Invullen groen'!BD696</f>
        <v/>
      </c>
    </row>
    <row r="687">
      <c r="A687" s="113">
        <f>+'Invullen groen'!A697</f>
        <v/>
      </c>
      <c r="B687" s="154">
        <f>+'Invullen groen'!C697</f>
        <v/>
      </c>
      <c r="C687" s="124">
        <f>+'Invullen groen'!G697</f>
        <v/>
      </c>
      <c r="D687" s="113">
        <f>+'Invullen groen'!M697</f>
        <v/>
      </c>
      <c r="E687" s="114">
        <f>+'Invullen groen'!H697</f>
        <v/>
      </c>
      <c r="F687" s="114">
        <f>+'Invullen groen'!I697</f>
        <v/>
      </c>
      <c r="G687" s="114">
        <f>+'Invullen groen'!J697</f>
        <v/>
      </c>
      <c r="H687" s="114">
        <f>+'Invullen groen'!K697</f>
        <v/>
      </c>
      <c r="I687" s="124">
        <f>+'Invullen groen'!AW697</f>
        <v/>
      </c>
      <c r="J687" s="124">
        <f>+'Invullen groen'!AX697</f>
        <v/>
      </c>
      <c r="K687" s="124">
        <f>+'Invullen groen'!AY697</f>
        <v/>
      </c>
      <c r="L687" s="124">
        <f>+'Invullen groen'!AZ697</f>
        <v/>
      </c>
      <c r="M687" s="124">
        <f>+'Invullen groen'!BA697</f>
        <v/>
      </c>
      <c r="N687" s="124">
        <f>+'Invullen groen'!BB697</f>
        <v/>
      </c>
      <c r="O687" s="124">
        <f>+'Invullen groen'!BC697</f>
        <v/>
      </c>
      <c r="P687" s="124">
        <f>+'Invullen groen'!BD697</f>
        <v/>
      </c>
    </row>
    <row r="688">
      <c r="A688" s="113">
        <f>+'Invullen groen'!A698</f>
        <v/>
      </c>
      <c r="B688" s="154">
        <f>+'Invullen groen'!C698</f>
        <v/>
      </c>
      <c r="C688" s="124">
        <f>+'Invullen groen'!G698</f>
        <v/>
      </c>
      <c r="D688" s="113">
        <f>+'Invullen groen'!M698</f>
        <v/>
      </c>
      <c r="E688" s="114">
        <f>+'Invullen groen'!H698</f>
        <v/>
      </c>
      <c r="F688" s="114">
        <f>+'Invullen groen'!I698</f>
        <v/>
      </c>
      <c r="G688" s="114">
        <f>+'Invullen groen'!J698</f>
        <v/>
      </c>
      <c r="H688" s="114">
        <f>+'Invullen groen'!K698</f>
        <v/>
      </c>
      <c r="I688" s="124">
        <f>+'Invullen groen'!AW698</f>
        <v/>
      </c>
      <c r="J688" s="124">
        <f>+'Invullen groen'!AX698</f>
        <v/>
      </c>
      <c r="K688" s="124">
        <f>+'Invullen groen'!AY698</f>
        <v/>
      </c>
      <c r="L688" s="124">
        <f>+'Invullen groen'!AZ698</f>
        <v/>
      </c>
      <c r="M688" s="124">
        <f>+'Invullen groen'!BA698</f>
        <v/>
      </c>
      <c r="N688" s="124">
        <f>+'Invullen groen'!BB698</f>
        <v/>
      </c>
      <c r="O688" s="124">
        <f>+'Invullen groen'!BC698</f>
        <v/>
      </c>
      <c r="P688" s="124">
        <f>+'Invullen groen'!BD698</f>
        <v/>
      </c>
    </row>
    <row r="689">
      <c r="A689" s="113">
        <f>+'Invullen groen'!A699</f>
        <v/>
      </c>
      <c r="B689" s="154">
        <f>+'Invullen groen'!C699</f>
        <v/>
      </c>
      <c r="C689" s="124">
        <f>+'Invullen groen'!G699</f>
        <v/>
      </c>
      <c r="D689" s="113">
        <f>+'Invullen groen'!M699</f>
        <v/>
      </c>
      <c r="E689" s="114">
        <f>+'Invullen groen'!H699</f>
        <v/>
      </c>
      <c r="F689" s="114">
        <f>+'Invullen groen'!I699</f>
        <v/>
      </c>
      <c r="G689" s="114">
        <f>+'Invullen groen'!J699</f>
        <v/>
      </c>
      <c r="H689" s="114">
        <f>+'Invullen groen'!K699</f>
        <v/>
      </c>
      <c r="I689" s="124">
        <f>+'Invullen groen'!AW699</f>
        <v/>
      </c>
      <c r="J689" s="124">
        <f>+'Invullen groen'!AX699</f>
        <v/>
      </c>
      <c r="K689" s="124">
        <f>+'Invullen groen'!AY699</f>
        <v/>
      </c>
      <c r="L689" s="124">
        <f>+'Invullen groen'!AZ699</f>
        <v/>
      </c>
      <c r="M689" s="124">
        <f>+'Invullen groen'!BA699</f>
        <v/>
      </c>
      <c r="N689" s="124">
        <f>+'Invullen groen'!BB699</f>
        <v/>
      </c>
      <c r="O689" s="124">
        <f>+'Invullen groen'!BC699</f>
        <v/>
      </c>
      <c r="P689" s="124">
        <f>+'Invullen groen'!BD699</f>
        <v/>
      </c>
    </row>
    <row r="690">
      <c r="A690" s="113">
        <f>+'Invullen groen'!A700</f>
        <v/>
      </c>
      <c r="B690" s="154">
        <f>+'Invullen groen'!C700</f>
        <v/>
      </c>
      <c r="C690" s="124">
        <f>+'Invullen groen'!G700</f>
        <v/>
      </c>
      <c r="D690" s="113">
        <f>+'Invullen groen'!M700</f>
        <v/>
      </c>
      <c r="E690" s="114">
        <f>+'Invullen groen'!H700</f>
        <v/>
      </c>
      <c r="F690" s="114">
        <f>+'Invullen groen'!I700</f>
        <v/>
      </c>
      <c r="G690" s="114">
        <f>+'Invullen groen'!J700</f>
        <v/>
      </c>
      <c r="H690" s="114">
        <f>+'Invullen groen'!K700</f>
        <v/>
      </c>
      <c r="I690" s="124">
        <f>+'Invullen groen'!AW700</f>
        <v/>
      </c>
      <c r="J690" s="124">
        <f>+'Invullen groen'!AX700</f>
        <v/>
      </c>
      <c r="K690" s="124">
        <f>+'Invullen groen'!AY700</f>
        <v/>
      </c>
      <c r="L690" s="124">
        <f>+'Invullen groen'!AZ700</f>
        <v/>
      </c>
      <c r="M690" s="124">
        <f>+'Invullen groen'!BA700</f>
        <v/>
      </c>
      <c r="N690" s="124">
        <f>+'Invullen groen'!BB700</f>
        <v/>
      </c>
      <c r="O690" s="124">
        <f>+'Invullen groen'!BC700</f>
        <v/>
      </c>
      <c r="P690" s="124">
        <f>+'Invullen groen'!BD700</f>
        <v/>
      </c>
    </row>
    <row r="691">
      <c r="A691" s="113">
        <f>+'Invullen groen'!A701</f>
        <v/>
      </c>
      <c r="B691" s="154">
        <f>+'Invullen groen'!C701</f>
        <v/>
      </c>
      <c r="C691" s="124">
        <f>+'Invullen groen'!G701</f>
        <v/>
      </c>
      <c r="D691" s="113">
        <f>+'Invullen groen'!M701</f>
        <v/>
      </c>
      <c r="E691" s="114">
        <f>+'Invullen groen'!H701</f>
        <v/>
      </c>
      <c r="F691" s="114">
        <f>+'Invullen groen'!I701</f>
        <v/>
      </c>
      <c r="G691" s="114">
        <f>+'Invullen groen'!J701</f>
        <v/>
      </c>
      <c r="H691" s="114">
        <f>+'Invullen groen'!K701</f>
        <v/>
      </c>
      <c r="I691" s="124">
        <f>+'Invullen groen'!AW701</f>
        <v/>
      </c>
      <c r="J691" s="124">
        <f>+'Invullen groen'!AX701</f>
        <v/>
      </c>
      <c r="K691" s="124">
        <f>+'Invullen groen'!AY701</f>
        <v/>
      </c>
      <c r="L691" s="124">
        <f>+'Invullen groen'!AZ701</f>
        <v/>
      </c>
      <c r="M691" s="124">
        <f>+'Invullen groen'!BA701</f>
        <v/>
      </c>
      <c r="N691" s="124">
        <f>+'Invullen groen'!BB701</f>
        <v/>
      </c>
      <c r="O691" s="124">
        <f>+'Invullen groen'!BC701</f>
        <v/>
      </c>
      <c r="P691" s="124">
        <f>+'Invullen groen'!BD701</f>
        <v/>
      </c>
    </row>
    <row r="692">
      <c r="A692" s="113">
        <f>+'Invullen groen'!A702</f>
        <v/>
      </c>
      <c r="B692" s="154">
        <f>+'Invullen groen'!C702</f>
        <v/>
      </c>
      <c r="C692" s="124">
        <f>+'Invullen groen'!G702</f>
        <v/>
      </c>
      <c r="D692" s="113">
        <f>+'Invullen groen'!M702</f>
        <v/>
      </c>
      <c r="E692" s="114">
        <f>+'Invullen groen'!H702</f>
        <v/>
      </c>
      <c r="F692" s="114">
        <f>+'Invullen groen'!I702</f>
        <v/>
      </c>
      <c r="G692" s="114">
        <f>+'Invullen groen'!J702</f>
        <v/>
      </c>
      <c r="H692" s="114">
        <f>+'Invullen groen'!K702</f>
        <v/>
      </c>
      <c r="I692" s="124">
        <f>+'Invullen groen'!AW702</f>
        <v/>
      </c>
      <c r="J692" s="124">
        <f>+'Invullen groen'!AX702</f>
        <v/>
      </c>
      <c r="K692" s="124">
        <f>+'Invullen groen'!AY702</f>
        <v/>
      </c>
      <c r="L692" s="124">
        <f>+'Invullen groen'!AZ702</f>
        <v/>
      </c>
      <c r="M692" s="124">
        <f>+'Invullen groen'!BA702</f>
        <v/>
      </c>
      <c r="N692" s="124">
        <f>+'Invullen groen'!BB702</f>
        <v/>
      </c>
      <c r="O692" s="124">
        <f>+'Invullen groen'!BC702</f>
        <v/>
      </c>
      <c r="P692" s="124">
        <f>+'Invullen groen'!BD702</f>
        <v/>
      </c>
    </row>
    <row r="693">
      <c r="A693" s="113">
        <f>+'Invullen groen'!A703</f>
        <v/>
      </c>
      <c r="B693" s="154">
        <f>+'Invullen groen'!C703</f>
        <v/>
      </c>
      <c r="C693" s="124">
        <f>+'Invullen groen'!G703</f>
        <v/>
      </c>
      <c r="D693" s="113">
        <f>+'Invullen groen'!M703</f>
        <v/>
      </c>
      <c r="E693" s="114">
        <f>+'Invullen groen'!H703</f>
        <v/>
      </c>
      <c r="F693" s="114">
        <f>+'Invullen groen'!I703</f>
        <v/>
      </c>
      <c r="G693" s="114">
        <f>+'Invullen groen'!J703</f>
        <v/>
      </c>
      <c r="H693" s="114">
        <f>+'Invullen groen'!K703</f>
        <v/>
      </c>
      <c r="I693" s="124">
        <f>+'Invullen groen'!AW703</f>
        <v/>
      </c>
      <c r="J693" s="124">
        <f>+'Invullen groen'!AX703</f>
        <v/>
      </c>
      <c r="K693" s="124">
        <f>+'Invullen groen'!AY703</f>
        <v/>
      </c>
      <c r="L693" s="124">
        <f>+'Invullen groen'!AZ703</f>
        <v/>
      </c>
      <c r="M693" s="124">
        <f>+'Invullen groen'!BA703</f>
        <v/>
      </c>
      <c r="N693" s="124">
        <f>+'Invullen groen'!BB703</f>
        <v/>
      </c>
      <c r="O693" s="124">
        <f>+'Invullen groen'!BC703</f>
        <v/>
      </c>
      <c r="P693" s="124">
        <f>+'Invullen groen'!BD703</f>
        <v/>
      </c>
    </row>
    <row r="694">
      <c r="A694" s="113">
        <f>+'Invullen groen'!A704</f>
        <v/>
      </c>
      <c r="B694" s="154">
        <f>+'Invullen groen'!C704</f>
        <v/>
      </c>
      <c r="C694" s="124">
        <f>+'Invullen groen'!G704</f>
        <v/>
      </c>
      <c r="D694" s="113">
        <f>+'Invullen groen'!M704</f>
        <v/>
      </c>
      <c r="E694" s="114">
        <f>+'Invullen groen'!H704</f>
        <v/>
      </c>
      <c r="F694" s="114">
        <f>+'Invullen groen'!I704</f>
        <v/>
      </c>
      <c r="G694" s="114">
        <f>+'Invullen groen'!J704</f>
        <v/>
      </c>
      <c r="H694" s="114">
        <f>+'Invullen groen'!K704</f>
        <v/>
      </c>
      <c r="I694" s="124">
        <f>+'Invullen groen'!AW704</f>
        <v/>
      </c>
      <c r="J694" s="124">
        <f>+'Invullen groen'!AX704</f>
        <v/>
      </c>
      <c r="K694" s="124">
        <f>+'Invullen groen'!AY704</f>
        <v/>
      </c>
      <c r="L694" s="124">
        <f>+'Invullen groen'!AZ704</f>
        <v/>
      </c>
      <c r="M694" s="124">
        <f>+'Invullen groen'!BA704</f>
        <v/>
      </c>
      <c r="N694" s="124">
        <f>+'Invullen groen'!BB704</f>
        <v/>
      </c>
      <c r="O694" s="124">
        <f>+'Invullen groen'!BC704</f>
        <v/>
      </c>
      <c r="P694" s="124">
        <f>+'Invullen groen'!BD704</f>
        <v/>
      </c>
    </row>
    <row r="695">
      <c r="A695" s="113">
        <f>+'Invullen groen'!A705</f>
        <v/>
      </c>
      <c r="B695" s="154">
        <f>+'Invullen groen'!C705</f>
        <v/>
      </c>
      <c r="C695" s="124">
        <f>+'Invullen groen'!G705</f>
        <v/>
      </c>
      <c r="D695" s="113">
        <f>+'Invullen groen'!M705</f>
        <v/>
      </c>
      <c r="E695" s="114">
        <f>+'Invullen groen'!H705</f>
        <v/>
      </c>
      <c r="F695" s="114">
        <f>+'Invullen groen'!I705</f>
        <v/>
      </c>
      <c r="G695" s="114">
        <f>+'Invullen groen'!J705</f>
        <v/>
      </c>
      <c r="H695" s="114">
        <f>+'Invullen groen'!K705</f>
        <v/>
      </c>
      <c r="I695" s="124">
        <f>+'Invullen groen'!AW705</f>
        <v/>
      </c>
      <c r="J695" s="124">
        <f>+'Invullen groen'!AX705</f>
        <v/>
      </c>
      <c r="K695" s="124">
        <f>+'Invullen groen'!AY705</f>
        <v/>
      </c>
      <c r="L695" s="124">
        <f>+'Invullen groen'!AZ705</f>
        <v/>
      </c>
      <c r="M695" s="124">
        <f>+'Invullen groen'!BA705</f>
        <v/>
      </c>
      <c r="N695" s="124">
        <f>+'Invullen groen'!BB705</f>
        <v/>
      </c>
      <c r="O695" s="124">
        <f>+'Invullen groen'!BC705</f>
        <v/>
      </c>
      <c r="P695" s="124">
        <f>+'Invullen groen'!BD705</f>
        <v/>
      </c>
    </row>
    <row r="696">
      <c r="A696" s="113">
        <f>+'Invullen groen'!A706</f>
        <v/>
      </c>
      <c r="B696" s="154">
        <f>+'Invullen groen'!C706</f>
        <v/>
      </c>
      <c r="C696" s="124">
        <f>+'Invullen groen'!G706</f>
        <v/>
      </c>
      <c r="D696" s="113">
        <f>+'Invullen groen'!M706</f>
        <v/>
      </c>
      <c r="E696" s="114">
        <f>+'Invullen groen'!H706</f>
        <v/>
      </c>
      <c r="F696" s="114">
        <f>+'Invullen groen'!I706</f>
        <v/>
      </c>
      <c r="G696" s="114">
        <f>+'Invullen groen'!J706</f>
        <v/>
      </c>
      <c r="H696" s="114">
        <f>+'Invullen groen'!K706</f>
        <v/>
      </c>
      <c r="I696" s="124">
        <f>+'Invullen groen'!AW706</f>
        <v/>
      </c>
      <c r="J696" s="124">
        <f>+'Invullen groen'!AX706</f>
        <v/>
      </c>
      <c r="K696" s="124">
        <f>+'Invullen groen'!AY706</f>
        <v/>
      </c>
      <c r="L696" s="124">
        <f>+'Invullen groen'!AZ706</f>
        <v/>
      </c>
      <c r="M696" s="124">
        <f>+'Invullen groen'!BA706</f>
        <v/>
      </c>
      <c r="N696" s="124">
        <f>+'Invullen groen'!BB706</f>
        <v/>
      </c>
      <c r="O696" s="124">
        <f>+'Invullen groen'!BC706</f>
        <v/>
      </c>
      <c r="P696" s="124">
        <f>+'Invullen groen'!BD706</f>
        <v/>
      </c>
    </row>
    <row r="697">
      <c r="A697" s="113">
        <f>+'Invullen groen'!A707</f>
        <v/>
      </c>
      <c r="B697" s="154">
        <f>+'Invullen groen'!C707</f>
        <v/>
      </c>
      <c r="C697" s="124">
        <f>+'Invullen groen'!G707</f>
        <v/>
      </c>
      <c r="D697" s="113">
        <f>+'Invullen groen'!M707</f>
        <v/>
      </c>
      <c r="E697" s="114">
        <f>+'Invullen groen'!H707</f>
        <v/>
      </c>
      <c r="F697" s="114">
        <f>+'Invullen groen'!I707</f>
        <v/>
      </c>
      <c r="G697" s="114">
        <f>+'Invullen groen'!J707</f>
        <v/>
      </c>
      <c r="H697" s="114">
        <f>+'Invullen groen'!K707</f>
        <v/>
      </c>
      <c r="I697" s="124">
        <f>+'Invullen groen'!AW707</f>
        <v/>
      </c>
      <c r="J697" s="124">
        <f>+'Invullen groen'!AX707</f>
        <v/>
      </c>
      <c r="K697" s="124">
        <f>+'Invullen groen'!AY707</f>
        <v/>
      </c>
      <c r="L697" s="124">
        <f>+'Invullen groen'!AZ707</f>
        <v/>
      </c>
      <c r="M697" s="124">
        <f>+'Invullen groen'!BA707</f>
        <v/>
      </c>
      <c r="N697" s="124">
        <f>+'Invullen groen'!BB707</f>
        <v/>
      </c>
      <c r="O697" s="124">
        <f>+'Invullen groen'!BC707</f>
        <v/>
      </c>
      <c r="P697" s="124">
        <f>+'Invullen groen'!BD707</f>
        <v/>
      </c>
    </row>
    <row r="698">
      <c r="A698" s="113">
        <f>+'Invullen groen'!A708</f>
        <v/>
      </c>
      <c r="B698" s="154">
        <f>+'Invullen groen'!C708</f>
        <v/>
      </c>
      <c r="C698" s="124">
        <f>+'Invullen groen'!G708</f>
        <v/>
      </c>
      <c r="D698" s="113">
        <f>+'Invullen groen'!M708</f>
        <v/>
      </c>
      <c r="E698" s="114">
        <f>+'Invullen groen'!H708</f>
        <v/>
      </c>
      <c r="F698" s="114">
        <f>+'Invullen groen'!I708</f>
        <v/>
      </c>
      <c r="G698" s="114">
        <f>+'Invullen groen'!J708</f>
        <v/>
      </c>
      <c r="H698" s="114">
        <f>+'Invullen groen'!K708</f>
        <v/>
      </c>
      <c r="I698" s="124">
        <f>+'Invullen groen'!AW708</f>
        <v/>
      </c>
      <c r="J698" s="124">
        <f>+'Invullen groen'!AX708</f>
        <v/>
      </c>
      <c r="K698" s="124">
        <f>+'Invullen groen'!AY708</f>
        <v/>
      </c>
      <c r="L698" s="124">
        <f>+'Invullen groen'!AZ708</f>
        <v/>
      </c>
      <c r="M698" s="124">
        <f>+'Invullen groen'!BA708</f>
        <v/>
      </c>
      <c r="N698" s="124">
        <f>+'Invullen groen'!BB708</f>
        <v/>
      </c>
      <c r="O698" s="124">
        <f>+'Invullen groen'!BC708</f>
        <v/>
      </c>
      <c r="P698" s="124">
        <f>+'Invullen groen'!BD708</f>
        <v/>
      </c>
    </row>
    <row r="699">
      <c r="A699" s="113">
        <f>+'Invullen groen'!A709</f>
        <v/>
      </c>
      <c r="B699" s="154">
        <f>+'Invullen groen'!C709</f>
        <v/>
      </c>
      <c r="C699" s="124">
        <f>+'Invullen groen'!G709</f>
        <v/>
      </c>
      <c r="D699" s="113">
        <f>+'Invullen groen'!M709</f>
        <v/>
      </c>
      <c r="E699" s="114">
        <f>+'Invullen groen'!H709</f>
        <v/>
      </c>
      <c r="F699" s="114">
        <f>+'Invullen groen'!I709</f>
        <v/>
      </c>
      <c r="G699" s="114">
        <f>+'Invullen groen'!J709</f>
        <v/>
      </c>
      <c r="H699" s="114">
        <f>+'Invullen groen'!K709</f>
        <v/>
      </c>
      <c r="I699" s="124">
        <f>+'Invullen groen'!AW709</f>
        <v/>
      </c>
      <c r="J699" s="124">
        <f>+'Invullen groen'!AX709</f>
        <v/>
      </c>
      <c r="K699" s="124">
        <f>+'Invullen groen'!AY709</f>
        <v/>
      </c>
      <c r="L699" s="124">
        <f>+'Invullen groen'!AZ709</f>
        <v/>
      </c>
      <c r="M699" s="124">
        <f>+'Invullen groen'!BA709</f>
        <v/>
      </c>
      <c r="N699" s="124">
        <f>+'Invullen groen'!BB709</f>
        <v/>
      </c>
      <c r="O699" s="124">
        <f>+'Invullen groen'!BC709</f>
        <v/>
      </c>
      <c r="P699" s="124">
        <f>+'Invullen groen'!BD709</f>
        <v/>
      </c>
    </row>
    <row r="700">
      <c r="A700" s="113">
        <f>+'Invullen groen'!A710</f>
        <v/>
      </c>
      <c r="B700" s="154">
        <f>+'Invullen groen'!C710</f>
        <v/>
      </c>
      <c r="C700" s="124">
        <f>+'Invullen groen'!G710</f>
        <v/>
      </c>
      <c r="D700" s="113">
        <f>+'Invullen groen'!M710</f>
        <v/>
      </c>
      <c r="E700" s="114">
        <f>+'Invullen groen'!H710</f>
        <v/>
      </c>
      <c r="F700" s="114">
        <f>+'Invullen groen'!I710</f>
        <v/>
      </c>
      <c r="G700" s="114">
        <f>+'Invullen groen'!J710</f>
        <v/>
      </c>
      <c r="H700" s="114">
        <f>+'Invullen groen'!K710</f>
        <v/>
      </c>
      <c r="I700" s="124">
        <f>+'Invullen groen'!AW710</f>
        <v/>
      </c>
      <c r="J700" s="124">
        <f>+'Invullen groen'!AX710</f>
        <v/>
      </c>
      <c r="K700" s="124">
        <f>+'Invullen groen'!AY710</f>
        <v/>
      </c>
      <c r="L700" s="124">
        <f>+'Invullen groen'!AZ710</f>
        <v/>
      </c>
      <c r="M700" s="124">
        <f>+'Invullen groen'!BA710</f>
        <v/>
      </c>
      <c r="N700" s="124">
        <f>+'Invullen groen'!BB710</f>
        <v/>
      </c>
      <c r="O700" s="124">
        <f>+'Invullen groen'!BC710</f>
        <v/>
      </c>
      <c r="P700" s="124">
        <f>+'Invullen groen'!BD710</f>
        <v/>
      </c>
    </row>
    <row r="701">
      <c r="A701" s="113">
        <f>+'Invullen groen'!A711</f>
        <v/>
      </c>
      <c r="B701" s="154">
        <f>+'Invullen groen'!C711</f>
        <v/>
      </c>
      <c r="C701" s="124">
        <f>+'Invullen groen'!G711</f>
        <v/>
      </c>
      <c r="D701" s="113">
        <f>+'Invullen groen'!M711</f>
        <v/>
      </c>
      <c r="E701" s="114">
        <f>+'Invullen groen'!H711</f>
        <v/>
      </c>
      <c r="F701" s="114">
        <f>+'Invullen groen'!I711</f>
        <v/>
      </c>
      <c r="G701" s="114">
        <f>+'Invullen groen'!J711</f>
        <v/>
      </c>
      <c r="H701" s="114">
        <f>+'Invullen groen'!K711</f>
        <v/>
      </c>
      <c r="I701" s="124">
        <f>+'Invullen groen'!AW711</f>
        <v/>
      </c>
      <c r="J701" s="124">
        <f>+'Invullen groen'!AX711</f>
        <v/>
      </c>
      <c r="K701" s="124">
        <f>+'Invullen groen'!AY711</f>
        <v/>
      </c>
      <c r="L701" s="124">
        <f>+'Invullen groen'!AZ711</f>
        <v/>
      </c>
      <c r="M701" s="124">
        <f>+'Invullen groen'!BA711</f>
        <v/>
      </c>
      <c r="N701" s="124">
        <f>+'Invullen groen'!BB711</f>
        <v/>
      </c>
      <c r="O701" s="124">
        <f>+'Invullen groen'!BC711</f>
        <v/>
      </c>
      <c r="P701" s="124">
        <f>+'Invullen groen'!BD711</f>
        <v/>
      </c>
    </row>
    <row r="702">
      <c r="A702" s="113">
        <f>+'Invullen groen'!A712</f>
        <v/>
      </c>
      <c r="B702" s="154">
        <f>+'Invullen groen'!C712</f>
        <v/>
      </c>
      <c r="C702" s="124">
        <f>+'Invullen groen'!G712</f>
        <v/>
      </c>
      <c r="D702" s="113">
        <f>+'Invullen groen'!M712</f>
        <v/>
      </c>
      <c r="E702" s="114">
        <f>+'Invullen groen'!H712</f>
        <v/>
      </c>
      <c r="F702" s="114">
        <f>+'Invullen groen'!I712</f>
        <v/>
      </c>
      <c r="G702" s="114">
        <f>+'Invullen groen'!J712</f>
        <v/>
      </c>
      <c r="H702" s="114">
        <f>+'Invullen groen'!K712</f>
        <v/>
      </c>
      <c r="I702" s="124">
        <f>+'Invullen groen'!AW712</f>
        <v/>
      </c>
      <c r="J702" s="124">
        <f>+'Invullen groen'!AX712</f>
        <v/>
      </c>
      <c r="K702" s="124">
        <f>+'Invullen groen'!AY712</f>
        <v/>
      </c>
      <c r="L702" s="124">
        <f>+'Invullen groen'!AZ712</f>
        <v/>
      </c>
      <c r="M702" s="124">
        <f>+'Invullen groen'!BA712</f>
        <v/>
      </c>
      <c r="N702" s="124">
        <f>+'Invullen groen'!BB712</f>
        <v/>
      </c>
      <c r="O702" s="124">
        <f>+'Invullen groen'!BC712</f>
        <v/>
      </c>
      <c r="P702" s="124">
        <f>+'Invullen groen'!BD712</f>
        <v/>
      </c>
    </row>
    <row r="703">
      <c r="A703" s="113">
        <f>+'Invullen groen'!A713</f>
        <v/>
      </c>
      <c r="B703" s="154">
        <f>+'Invullen groen'!C713</f>
        <v/>
      </c>
      <c r="C703" s="124">
        <f>+'Invullen groen'!G713</f>
        <v/>
      </c>
      <c r="D703" s="113">
        <f>+'Invullen groen'!M713</f>
        <v/>
      </c>
      <c r="E703" s="114">
        <f>+'Invullen groen'!H713</f>
        <v/>
      </c>
      <c r="F703" s="114">
        <f>+'Invullen groen'!I713</f>
        <v/>
      </c>
      <c r="G703" s="114">
        <f>+'Invullen groen'!J713</f>
        <v/>
      </c>
      <c r="H703" s="114">
        <f>+'Invullen groen'!K713</f>
        <v/>
      </c>
      <c r="I703" s="124">
        <f>+'Invullen groen'!AW713</f>
        <v/>
      </c>
      <c r="J703" s="124">
        <f>+'Invullen groen'!AX713</f>
        <v/>
      </c>
      <c r="K703" s="124">
        <f>+'Invullen groen'!AY713</f>
        <v/>
      </c>
      <c r="L703" s="124">
        <f>+'Invullen groen'!AZ713</f>
        <v/>
      </c>
      <c r="M703" s="124">
        <f>+'Invullen groen'!BA713</f>
        <v/>
      </c>
      <c r="N703" s="124">
        <f>+'Invullen groen'!BB713</f>
        <v/>
      </c>
      <c r="O703" s="124">
        <f>+'Invullen groen'!BC713</f>
        <v/>
      </c>
      <c r="P703" s="124">
        <f>+'Invullen groen'!BD713</f>
        <v/>
      </c>
    </row>
    <row r="704">
      <c r="A704" s="113">
        <f>+'Invullen groen'!A714</f>
        <v/>
      </c>
      <c r="B704" s="154">
        <f>+'Invullen groen'!C714</f>
        <v/>
      </c>
      <c r="C704" s="124">
        <f>+'Invullen groen'!G714</f>
        <v/>
      </c>
      <c r="D704" s="113">
        <f>+'Invullen groen'!M714</f>
        <v/>
      </c>
      <c r="E704" s="114">
        <f>+'Invullen groen'!H714</f>
        <v/>
      </c>
      <c r="F704" s="114">
        <f>+'Invullen groen'!I714</f>
        <v/>
      </c>
      <c r="G704" s="114">
        <f>+'Invullen groen'!J714</f>
        <v/>
      </c>
      <c r="H704" s="114">
        <f>+'Invullen groen'!K714</f>
        <v/>
      </c>
      <c r="I704" s="124">
        <f>+'Invullen groen'!AW714</f>
        <v/>
      </c>
      <c r="J704" s="124">
        <f>+'Invullen groen'!AX714</f>
        <v/>
      </c>
      <c r="K704" s="124">
        <f>+'Invullen groen'!AY714</f>
        <v/>
      </c>
      <c r="L704" s="124">
        <f>+'Invullen groen'!AZ714</f>
        <v/>
      </c>
      <c r="M704" s="124">
        <f>+'Invullen groen'!BA714</f>
        <v/>
      </c>
      <c r="N704" s="124">
        <f>+'Invullen groen'!BB714</f>
        <v/>
      </c>
      <c r="O704" s="124">
        <f>+'Invullen groen'!BC714</f>
        <v/>
      </c>
      <c r="P704" s="124">
        <f>+'Invullen groen'!BD714</f>
        <v/>
      </c>
    </row>
    <row r="705">
      <c r="A705" s="113">
        <f>+'Invullen groen'!A715</f>
        <v/>
      </c>
      <c r="B705" s="154">
        <f>+'Invullen groen'!C715</f>
        <v/>
      </c>
      <c r="C705" s="124">
        <f>+'Invullen groen'!G715</f>
        <v/>
      </c>
      <c r="D705" s="113">
        <f>+'Invullen groen'!M715</f>
        <v/>
      </c>
      <c r="E705" s="114">
        <f>+'Invullen groen'!H715</f>
        <v/>
      </c>
      <c r="F705" s="114">
        <f>+'Invullen groen'!I715</f>
        <v/>
      </c>
      <c r="G705" s="114">
        <f>+'Invullen groen'!J715</f>
        <v/>
      </c>
      <c r="H705" s="114">
        <f>+'Invullen groen'!K715</f>
        <v/>
      </c>
      <c r="I705" s="124">
        <f>+'Invullen groen'!AW715</f>
        <v/>
      </c>
      <c r="J705" s="124">
        <f>+'Invullen groen'!AX715</f>
        <v/>
      </c>
      <c r="K705" s="124">
        <f>+'Invullen groen'!AY715</f>
        <v/>
      </c>
      <c r="L705" s="124">
        <f>+'Invullen groen'!AZ715</f>
        <v/>
      </c>
      <c r="M705" s="124">
        <f>+'Invullen groen'!BA715</f>
        <v/>
      </c>
      <c r="N705" s="124">
        <f>+'Invullen groen'!BB715</f>
        <v/>
      </c>
      <c r="O705" s="124">
        <f>+'Invullen groen'!BC715</f>
        <v/>
      </c>
      <c r="P705" s="124">
        <f>+'Invullen groen'!BD715</f>
        <v/>
      </c>
    </row>
    <row r="706">
      <c r="A706" s="113">
        <f>+'Invullen groen'!A716</f>
        <v/>
      </c>
      <c r="B706" s="154">
        <f>+'Invullen groen'!C716</f>
        <v/>
      </c>
      <c r="C706" s="124">
        <f>+'Invullen groen'!G716</f>
        <v/>
      </c>
      <c r="D706" s="113">
        <f>+'Invullen groen'!M716</f>
        <v/>
      </c>
      <c r="E706" s="114">
        <f>+'Invullen groen'!H716</f>
        <v/>
      </c>
      <c r="F706" s="114">
        <f>+'Invullen groen'!I716</f>
        <v/>
      </c>
      <c r="G706" s="114">
        <f>+'Invullen groen'!J716</f>
        <v/>
      </c>
      <c r="H706" s="114">
        <f>+'Invullen groen'!K716</f>
        <v/>
      </c>
      <c r="I706" s="124">
        <f>+'Invullen groen'!AW716</f>
        <v/>
      </c>
      <c r="J706" s="124">
        <f>+'Invullen groen'!AX716</f>
        <v/>
      </c>
      <c r="K706" s="124">
        <f>+'Invullen groen'!AY716</f>
        <v/>
      </c>
      <c r="L706" s="124">
        <f>+'Invullen groen'!AZ716</f>
        <v/>
      </c>
      <c r="M706" s="124">
        <f>+'Invullen groen'!BA716</f>
        <v/>
      </c>
      <c r="N706" s="124">
        <f>+'Invullen groen'!BB716</f>
        <v/>
      </c>
      <c r="O706" s="124">
        <f>+'Invullen groen'!BC716</f>
        <v/>
      </c>
      <c r="P706" s="124">
        <f>+'Invullen groen'!BD716</f>
        <v/>
      </c>
    </row>
    <row r="707">
      <c r="A707" s="113">
        <f>+'Invullen groen'!A717</f>
        <v/>
      </c>
      <c r="B707" s="154">
        <f>+'Invullen groen'!C717</f>
        <v/>
      </c>
      <c r="C707" s="124">
        <f>+'Invullen groen'!G717</f>
        <v/>
      </c>
      <c r="D707" s="113">
        <f>+'Invullen groen'!M717</f>
        <v/>
      </c>
      <c r="E707" s="114">
        <f>+'Invullen groen'!H717</f>
        <v/>
      </c>
      <c r="F707" s="114">
        <f>+'Invullen groen'!I717</f>
        <v/>
      </c>
      <c r="G707" s="114">
        <f>+'Invullen groen'!J717</f>
        <v/>
      </c>
      <c r="H707" s="114">
        <f>+'Invullen groen'!K717</f>
        <v/>
      </c>
      <c r="I707" s="124">
        <f>+'Invullen groen'!AW717</f>
        <v/>
      </c>
      <c r="J707" s="124">
        <f>+'Invullen groen'!AX717</f>
        <v/>
      </c>
      <c r="K707" s="124">
        <f>+'Invullen groen'!AY717</f>
        <v/>
      </c>
      <c r="L707" s="124">
        <f>+'Invullen groen'!AZ717</f>
        <v/>
      </c>
      <c r="M707" s="124">
        <f>+'Invullen groen'!BA717</f>
        <v/>
      </c>
      <c r="N707" s="124">
        <f>+'Invullen groen'!BB717</f>
        <v/>
      </c>
      <c r="O707" s="124">
        <f>+'Invullen groen'!BC717</f>
        <v/>
      </c>
      <c r="P707" s="124">
        <f>+'Invullen groen'!BD717</f>
        <v/>
      </c>
    </row>
    <row r="708">
      <c r="A708" s="113">
        <f>+'Invullen groen'!A718</f>
        <v/>
      </c>
      <c r="B708" s="154">
        <f>+'Invullen groen'!C718</f>
        <v/>
      </c>
      <c r="C708" s="124">
        <f>+'Invullen groen'!G718</f>
        <v/>
      </c>
      <c r="D708" s="113">
        <f>+'Invullen groen'!M718</f>
        <v/>
      </c>
      <c r="E708" s="114">
        <f>+'Invullen groen'!H718</f>
        <v/>
      </c>
      <c r="F708" s="114">
        <f>+'Invullen groen'!I718</f>
        <v/>
      </c>
      <c r="G708" s="114">
        <f>+'Invullen groen'!J718</f>
        <v/>
      </c>
      <c r="H708" s="114">
        <f>+'Invullen groen'!K718</f>
        <v/>
      </c>
      <c r="I708" s="124">
        <f>+'Invullen groen'!AW718</f>
        <v/>
      </c>
      <c r="J708" s="124">
        <f>+'Invullen groen'!AX718</f>
        <v/>
      </c>
      <c r="K708" s="124">
        <f>+'Invullen groen'!AY718</f>
        <v/>
      </c>
      <c r="L708" s="124">
        <f>+'Invullen groen'!AZ718</f>
        <v/>
      </c>
      <c r="M708" s="124">
        <f>+'Invullen groen'!BA718</f>
        <v/>
      </c>
      <c r="N708" s="124">
        <f>+'Invullen groen'!BB718</f>
        <v/>
      </c>
      <c r="O708" s="124">
        <f>+'Invullen groen'!BC718</f>
        <v/>
      </c>
      <c r="P708" s="124">
        <f>+'Invullen groen'!BD718</f>
        <v/>
      </c>
    </row>
    <row r="709">
      <c r="A709" s="113">
        <f>+'Invullen groen'!A719</f>
        <v/>
      </c>
      <c r="B709" s="154">
        <f>+'Invullen groen'!C719</f>
        <v/>
      </c>
      <c r="C709" s="124">
        <f>+'Invullen groen'!G719</f>
        <v/>
      </c>
      <c r="D709" s="113">
        <f>+'Invullen groen'!M719</f>
        <v/>
      </c>
      <c r="E709" s="114">
        <f>+'Invullen groen'!H719</f>
        <v/>
      </c>
      <c r="F709" s="114">
        <f>+'Invullen groen'!I719</f>
        <v/>
      </c>
      <c r="G709" s="114">
        <f>+'Invullen groen'!J719</f>
        <v/>
      </c>
      <c r="H709" s="114">
        <f>+'Invullen groen'!K719</f>
        <v/>
      </c>
      <c r="I709" s="124">
        <f>+'Invullen groen'!AW719</f>
        <v/>
      </c>
      <c r="J709" s="124">
        <f>+'Invullen groen'!AX719</f>
        <v/>
      </c>
      <c r="K709" s="124">
        <f>+'Invullen groen'!AY719</f>
        <v/>
      </c>
      <c r="L709" s="124">
        <f>+'Invullen groen'!AZ719</f>
        <v/>
      </c>
      <c r="M709" s="124">
        <f>+'Invullen groen'!BA719</f>
        <v/>
      </c>
      <c r="N709" s="124">
        <f>+'Invullen groen'!BB719</f>
        <v/>
      </c>
      <c r="O709" s="124">
        <f>+'Invullen groen'!BC719</f>
        <v/>
      </c>
      <c r="P709" s="124">
        <f>+'Invullen groen'!BD719</f>
        <v/>
      </c>
    </row>
    <row r="710">
      <c r="A710" s="113">
        <f>+'Invullen groen'!A720</f>
        <v/>
      </c>
      <c r="B710" s="154">
        <f>+'Invullen groen'!C720</f>
        <v/>
      </c>
      <c r="C710" s="124">
        <f>+'Invullen groen'!G720</f>
        <v/>
      </c>
      <c r="D710" s="113">
        <f>+'Invullen groen'!M720</f>
        <v/>
      </c>
      <c r="E710" s="114">
        <f>+'Invullen groen'!H720</f>
        <v/>
      </c>
      <c r="F710" s="114">
        <f>+'Invullen groen'!I720</f>
        <v/>
      </c>
      <c r="G710" s="114">
        <f>+'Invullen groen'!J720</f>
        <v/>
      </c>
      <c r="H710" s="114">
        <f>+'Invullen groen'!K720</f>
        <v/>
      </c>
      <c r="I710" s="124">
        <f>+'Invullen groen'!AW720</f>
        <v/>
      </c>
      <c r="J710" s="124">
        <f>+'Invullen groen'!AX720</f>
        <v/>
      </c>
      <c r="K710" s="124">
        <f>+'Invullen groen'!AY720</f>
        <v/>
      </c>
      <c r="L710" s="124">
        <f>+'Invullen groen'!AZ720</f>
        <v/>
      </c>
      <c r="M710" s="124">
        <f>+'Invullen groen'!BA720</f>
        <v/>
      </c>
      <c r="N710" s="124">
        <f>+'Invullen groen'!BB720</f>
        <v/>
      </c>
      <c r="O710" s="124">
        <f>+'Invullen groen'!BC720</f>
        <v/>
      </c>
      <c r="P710" s="124">
        <f>+'Invullen groen'!BD720</f>
        <v/>
      </c>
    </row>
    <row r="711">
      <c r="A711" s="113">
        <f>+'Invullen groen'!A721</f>
        <v/>
      </c>
      <c r="B711" s="154">
        <f>+'Invullen groen'!C721</f>
        <v/>
      </c>
      <c r="C711" s="124">
        <f>+'Invullen groen'!G721</f>
        <v/>
      </c>
      <c r="D711" s="113">
        <f>+'Invullen groen'!M721</f>
        <v/>
      </c>
      <c r="E711" s="114">
        <f>+'Invullen groen'!H721</f>
        <v/>
      </c>
      <c r="F711" s="114">
        <f>+'Invullen groen'!I721</f>
        <v/>
      </c>
      <c r="G711" s="114">
        <f>+'Invullen groen'!J721</f>
        <v/>
      </c>
      <c r="H711" s="114">
        <f>+'Invullen groen'!K721</f>
        <v/>
      </c>
      <c r="I711" s="124">
        <f>+'Invullen groen'!AW721</f>
        <v/>
      </c>
      <c r="J711" s="124">
        <f>+'Invullen groen'!AX721</f>
        <v/>
      </c>
      <c r="K711" s="124">
        <f>+'Invullen groen'!AY721</f>
        <v/>
      </c>
      <c r="L711" s="124">
        <f>+'Invullen groen'!AZ721</f>
        <v/>
      </c>
      <c r="M711" s="124">
        <f>+'Invullen groen'!BA721</f>
        <v/>
      </c>
      <c r="N711" s="124">
        <f>+'Invullen groen'!BB721</f>
        <v/>
      </c>
      <c r="O711" s="124">
        <f>+'Invullen groen'!BC721</f>
        <v/>
      </c>
      <c r="P711" s="124">
        <f>+'Invullen groen'!BD721</f>
        <v/>
      </c>
    </row>
    <row r="712">
      <c r="A712" s="113">
        <f>+'Invullen groen'!A722</f>
        <v/>
      </c>
      <c r="B712" s="154">
        <f>+'Invullen groen'!C722</f>
        <v/>
      </c>
      <c r="C712" s="124">
        <f>+'Invullen groen'!G722</f>
        <v/>
      </c>
      <c r="D712" s="113">
        <f>+'Invullen groen'!M722</f>
        <v/>
      </c>
      <c r="E712" s="114">
        <f>+'Invullen groen'!H722</f>
        <v/>
      </c>
      <c r="F712" s="114">
        <f>+'Invullen groen'!I722</f>
        <v/>
      </c>
      <c r="G712" s="114">
        <f>+'Invullen groen'!J722</f>
        <v/>
      </c>
      <c r="H712" s="114">
        <f>+'Invullen groen'!K722</f>
        <v/>
      </c>
      <c r="I712" s="124">
        <f>+'Invullen groen'!AW722</f>
        <v/>
      </c>
      <c r="J712" s="124">
        <f>+'Invullen groen'!AX722</f>
        <v/>
      </c>
      <c r="K712" s="124">
        <f>+'Invullen groen'!AY722</f>
        <v/>
      </c>
      <c r="L712" s="124">
        <f>+'Invullen groen'!AZ722</f>
        <v/>
      </c>
      <c r="M712" s="124">
        <f>+'Invullen groen'!BA722</f>
        <v/>
      </c>
      <c r="N712" s="124">
        <f>+'Invullen groen'!BB722</f>
        <v/>
      </c>
      <c r="O712" s="124">
        <f>+'Invullen groen'!BC722</f>
        <v/>
      </c>
      <c r="P712" s="124">
        <f>+'Invullen groen'!BD722</f>
        <v/>
      </c>
    </row>
    <row r="713">
      <c r="A713" s="113">
        <f>+'Invullen groen'!A723</f>
        <v/>
      </c>
      <c r="B713" s="154">
        <f>+'Invullen groen'!C723</f>
        <v/>
      </c>
      <c r="C713" s="124">
        <f>+'Invullen groen'!G723</f>
        <v/>
      </c>
      <c r="D713" s="113">
        <f>+'Invullen groen'!M723</f>
        <v/>
      </c>
      <c r="E713" s="114">
        <f>+'Invullen groen'!H723</f>
        <v/>
      </c>
      <c r="F713" s="114">
        <f>+'Invullen groen'!I723</f>
        <v/>
      </c>
      <c r="G713" s="114">
        <f>+'Invullen groen'!J723</f>
        <v/>
      </c>
      <c r="H713" s="114">
        <f>+'Invullen groen'!K723</f>
        <v/>
      </c>
      <c r="I713" s="124">
        <f>+'Invullen groen'!AW723</f>
        <v/>
      </c>
      <c r="J713" s="124">
        <f>+'Invullen groen'!AX723</f>
        <v/>
      </c>
      <c r="K713" s="124">
        <f>+'Invullen groen'!AY723</f>
        <v/>
      </c>
      <c r="L713" s="124">
        <f>+'Invullen groen'!AZ723</f>
        <v/>
      </c>
      <c r="M713" s="124">
        <f>+'Invullen groen'!BA723</f>
        <v/>
      </c>
      <c r="N713" s="124">
        <f>+'Invullen groen'!BB723</f>
        <v/>
      </c>
      <c r="O713" s="124">
        <f>+'Invullen groen'!BC723</f>
        <v/>
      </c>
      <c r="P713" s="124">
        <f>+'Invullen groen'!BD723</f>
        <v/>
      </c>
    </row>
    <row r="714">
      <c r="A714" s="113">
        <f>+'Invullen groen'!A724</f>
        <v/>
      </c>
      <c r="B714" s="154">
        <f>+'Invullen groen'!C724</f>
        <v/>
      </c>
      <c r="C714" s="124">
        <f>+'Invullen groen'!G724</f>
        <v/>
      </c>
      <c r="D714" s="113">
        <f>+'Invullen groen'!M724</f>
        <v/>
      </c>
      <c r="E714" s="114">
        <f>+'Invullen groen'!H724</f>
        <v/>
      </c>
      <c r="F714" s="114">
        <f>+'Invullen groen'!I724</f>
        <v/>
      </c>
      <c r="G714" s="114">
        <f>+'Invullen groen'!J724</f>
        <v/>
      </c>
      <c r="H714" s="114">
        <f>+'Invullen groen'!K724</f>
        <v/>
      </c>
      <c r="I714" s="124">
        <f>+'Invullen groen'!AW724</f>
        <v/>
      </c>
      <c r="J714" s="124">
        <f>+'Invullen groen'!AX724</f>
        <v/>
      </c>
      <c r="K714" s="124">
        <f>+'Invullen groen'!AY724</f>
        <v/>
      </c>
      <c r="L714" s="124">
        <f>+'Invullen groen'!AZ724</f>
        <v/>
      </c>
      <c r="M714" s="124">
        <f>+'Invullen groen'!BA724</f>
        <v/>
      </c>
      <c r="N714" s="124">
        <f>+'Invullen groen'!BB724</f>
        <v/>
      </c>
      <c r="O714" s="124">
        <f>+'Invullen groen'!BC724</f>
        <v/>
      </c>
      <c r="P714" s="124">
        <f>+'Invullen groen'!BD724</f>
        <v/>
      </c>
    </row>
    <row r="715">
      <c r="A715" s="113">
        <f>+'Invullen groen'!A725</f>
        <v/>
      </c>
      <c r="B715" s="154">
        <f>+'Invullen groen'!C725</f>
        <v/>
      </c>
      <c r="C715" s="124">
        <f>+'Invullen groen'!G725</f>
        <v/>
      </c>
      <c r="D715" s="113">
        <f>+'Invullen groen'!M725</f>
        <v/>
      </c>
      <c r="E715" s="114">
        <f>+'Invullen groen'!H725</f>
        <v/>
      </c>
      <c r="F715" s="114">
        <f>+'Invullen groen'!I725</f>
        <v/>
      </c>
      <c r="G715" s="114">
        <f>+'Invullen groen'!J725</f>
        <v/>
      </c>
      <c r="H715" s="114">
        <f>+'Invullen groen'!K725</f>
        <v/>
      </c>
      <c r="I715" s="124">
        <f>+'Invullen groen'!AW725</f>
        <v/>
      </c>
      <c r="J715" s="124">
        <f>+'Invullen groen'!AX725</f>
        <v/>
      </c>
      <c r="K715" s="124">
        <f>+'Invullen groen'!AY725</f>
        <v/>
      </c>
      <c r="L715" s="124">
        <f>+'Invullen groen'!AZ725</f>
        <v/>
      </c>
      <c r="M715" s="124">
        <f>+'Invullen groen'!BA725</f>
        <v/>
      </c>
      <c r="N715" s="124">
        <f>+'Invullen groen'!BB725</f>
        <v/>
      </c>
      <c r="O715" s="124">
        <f>+'Invullen groen'!BC725</f>
        <v/>
      </c>
      <c r="P715" s="124">
        <f>+'Invullen groen'!BD725</f>
        <v/>
      </c>
    </row>
    <row r="716">
      <c r="A716" s="113">
        <f>+'Invullen groen'!A726</f>
        <v/>
      </c>
      <c r="B716" s="154">
        <f>+'Invullen groen'!C726</f>
        <v/>
      </c>
      <c r="C716" s="124">
        <f>+'Invullen groen'!G726</f>
        <v/>
      </c>
      <c r="D716" s="113">
        <f>+'Invullen groen'!M726</f>
        <v/>
      </c>
      <c r="E716" s="114">
        <f>+'Invullen groen'!H726</f>
        <v/>
      </c>
      <c r="F716" s="114">
        <f>+'Invullen groen'!I726</f>
        <v/>
      </c>
      <c r="G716" s="114">
        <f>+'Invullen groen'!J726</f>
        <v/>
      </c>
      <c r="H716" s="114">
        <f>+'Invullen groen'!K726</f>
        <v/>
      </c>
      <c r="I716" s="124">
        <f>+'Invullen groen'!AW726</f>
        <v/>
      </c>
      <c r="J716" s="124">
        <f>+'Invullen groen'!AX726</f>
        <v/>
      </c>
      <c r="K716" s="124">
        <f>+'Invullen groen'!AY726</f>
        <v/>
      </c>
      <c r="L716" s="124">
        <f>+'Invullen groen'!AZ726</f>
        <v/>
      </c>
      <c r="M716" s="124">
        <f>+'Invullen groen'!BA726</f>
        <v/>
      </c>
      <c r="N716" s="124">
        <f>+'Invullen groen'!BB726</f>
        <v/>
      </c>
      <c r="O716" s="124">
        <f>+'Invullen groen'!BC726</f>
        <v/>
      </c>
      <c r="P716" s="124">
        <f>+'Invullen groen'!BD726</f>
        <v/>
      </c>
    </row>
    <row r="717">
      <c r="A717" s="113">
        <f>+'Invullen groen'!A727</f>
        <v/>
      </c>
      <c r="B717" s="154">
        <f>+'Invullen groen'!C727</f>
        <v/>
      </c>
      <c r="C717" s="124">
        <f>+'Invullen groen'!G727</f>
        <v/>
      </c>
      <c r="D717" s="113">
        <f>+'Invullen groen'!M727</f>
        <v/>
      </c>
      <c r="E717" s="114">
        <f>+'Invullen groen'!H727</f>
        <v/>
      </c>
      <c r="F717" s="114">
        <f>+'Invullen groen'!I727</f>
        <v/>
      </c>
      <c r="G717" s="114">
        <f>+'Invullen groen'!J727</f>
        <v/>
      </c>
      <c r="H717" s="114">
        <f>+'Invullen groen'!K727</f>
        <v/>
      </c>
      <c r="I717" s="124">
        <f>+'Invullen groen'!AW727</f>
        <v/>
      </c>
      <c r="J717" s="124">
        <f>+'Invullen groen'!AX727</f>
        <v/>
      </c>
      <c r="K717" s="124">
        <f>+'Invullen groen'!AY727</f>
        <v/>
      </c>
      <c r="L717" s="124">
        <f>+'Invullen groen'!AZ727</f>
        <v/>
      </c>
      <c r="M717" s="124">
        <f>+'Invullen groen'!BA727</f>
        <v/>
      </c>
      <c r="N717" s="124">
        <f>+'Invullen groen'!BB727</f>
        <v/>
      </c>
      <c r="O717" s="124">
        <f>+'Invullen groen'!BC727</f>
        <v/>
      </c>
      <c r="P717" s="124">
        <f>+'Invullen groen'!BD727</f>
        <v/>
      </c>
    </row>
    <row r="718">
      <c r="A718" s="113">
        <f>+'Invullen groen'!A728</f>
        <v/>
      </c>
      <c r="B718" s="154">
        <f>+'Invullen groen'!C728</f>
        <v/>
      </c>
      <c r="C718" s="124">
        <f>+'Invullen groen'!G728</f>
        <v/>
      </c>
      <c r="D718" s="113">
        <f>+'Invullen groen'!M728</f>
        <v/>
      </c>
      <c r="E718" s="114">
        <f>+'Invullen groen'!H728</f>
        <v/>
      </c>
      <c r="F718" s="114">
        <f>+'Invullen groen'!I728</f>
        <v/>
      </c>
      <c r="G718" s="114">
        <f>+'Invullen groen'!J728</f>
        <v/>
      </c>
      <c r="H718" s="114">
        <f>+'Invullen groen'!K728</f>
        <v/>
      </c>
      <c r="I718" s="124">
        <f>+'Invullen groen'!AW728</f>
        <v/>
      </c>
      <c r="J718" s="124">
        <f>+'Invullen groen'!AX728</f>
        <v/>
      </c>
      <c r="K718" s="124">
        <f>+'Invullen groen'!AY728</f>
        <v/>
      </c>
      <c r="L718" s="124">
        <f>+'Invullen groen'!AZ728</f>
        <v/>
      </c>
      <c r="M718" s="124">
        <f>+'Invullen groen'!BA728</f>
        <v/>
      </c>
      <c r="N718" s="124">
        <f>+'Invullen groen'!BB728</f>
        <v/>
      </c>
      <c r="O718" s="124">
        <f>+'Invullen groen'!BC728</f>
        <v/>
      </c>
      <c r="P718" s="124">
        <f>+'Invullen groen'!BD728</f>
        <v/>
      </c>
    </row>
    <row r="719">
      <c r="A719" s="113">
        <f>+'Invullen groen'!A729</f>
        <v/>
      </c>
      <c r="B719" s="154">
        <f>+'Invullen groen'!C729</f>
        <v/>
      </c>
      <c r="C719" s="124">
        <f>+'Invullen groen'!G729</f>
        <v/>
      </c>
      <c r="D719" s="113">
        <f>+'Invullen groen'!M729</f>
        <v/>
      </c>
      <c r="E719" s="114">
        <f>+'Invullen groen'!H729</f>
        <v/>
      </c>
      <c r="F719" s="114">
        <f>+'Invullen groen'!I729</f>
        <v/>
      </c>
      <c r="G719" s="114">
        <f>+'Invullen groen'!J729</f>
        <v/>
      </c>
      <c r="H719" s="114">
        <f>+'Invullen groen'!K729</f>
        <v/>
      </c>
      <c r="I719" s="124">
        <f>+'Invullen groen'!AW729</f>
        <v/>
      </c>
      <c r="J719" s="124">
        <f>+'Invullen groen'!AX729</f>
        <v/>
      </c>
      <c r="K719" s="124">
        <f>+'Invullen groen'!AY729</f>
        <v/>
      </c>
      <c r="L719" s="124">
        <f>+'Invullen groen'!AZ729</f>
        <v/>
      </c>
      <c r="M719" s="124">
        <f>+'Invullen groen'!BA729</f>
        <v/>
      </c>
      <c r="N719" s="124">
        <f>+'Invullen groen'!BB729</f>
        <v/>
      </c>
      <c r="O719" s="124">
        <f>+'Invullen groen'!BC729</f>
        <v/>
      </c>
      <c r="P719" s="124">
        <f>+'Invullen groen'!BD729</f>
        <v/>
      </c>
    </row>
    <row r="720">
      <c r="A720" s="113">
        <f>+'Invullen groen'!A730</f>
        <v/>
      </c>
      <c r="B720" s="154">
        <f>+'Invullen groen'!C730</f>
        <v/>
      </c>
      <c r="C720" s="124">
        <f>+'Invullen groen'!G730</f>
        <v/>
      </c>
      <c r="D720" s="113">
        <f>+'Invullen groen'!M730</f>
        <v/>
      </c>
      <c r="E720" s="114">
        <f>+'Invullen groen'!H730</f>
        <v/>
      </c>
      <c r="F720" s="114">
        <f>+'Invullen groen'!I730</f>
        <v/>
      </c>
      <c r="G720" s="114">
        <f>+'Invullen groen'!J730</f>
        <v/>
      </c>
      <c r="H720" s="114">
        <f>+'Invullen groen'!K730</f>
        <v/>
      </c>
      <c r="I720" s="124">
        <f>+'Invullen groen'!AW730</f>
        <v/>
      </c>
      <c r="J720" s="124">
        <f>+'Invullen groen'!AX730</f>
        <v/>
      </c>
      <c r="K720" s="124">
        <f>+'Invullen groen'!AY730</f>
        <v/>
      </c>
      <c r="L720" s="124">
        <f>+'Invullen groen'!AZ730</f>
        <v/>
      </c>
      <c r="M720" s="124">
        <f>+'Invullen groen'!BA730</f>
        <v/>
      </c>
      <c r="N720" s="124">
        <f>+'Invullen groen'!BB730</f>
        <v/>
      </c>
      <c r="O720" s="124">
        <f>+'Invullen groen'!BC730</f>
        <v/>
      </c>
      <c r="P720" s="124">
        <f>+'Invullen groen'!BD730</f>
        <v/>
      </c>
    </row>
    <row r="721">
      <c r="A721" s="113">
        <f>+'Invullen groen'!A731</f>
        <v/>
      </c>
      <c r="B721" s="154">
        <f>+'Invullen groen'!C731</f>
        <v/>
      </c>
      <c r="C721" s="124">
        <f>+'Invullen groen'!G731</f>
        <v/>
      </c>
      <c r="D721" s="113">
        <f>+'Invullen groen'!M731</f>
        <v/>
      </c>
      <c r="E721" s="114">
        <f>+'Invullen groen'!H731</f>
        <v/>
      </c>
      <c r="F721" s="114">
        <f>+'Invullen groen'!I731</f>
        <v/>
      </c>
      <c r="G721" s="114">
        <f>+'Invullen groen'!J731</f>
        <v/>
      </c>
      <c r="H721" s="114">
        <f>+'Invullen groen'!K731</f>
        <v/>
      </c>
      <c r="I721" s="124">
        <f>+'Invullen groen'!AW731</f>
        <v/>
      </c>
      <c r="J721" s="124">
        <f>+'Invullen groen'!AX731</f>
        <v/>
      </c>
      <c r="K721" s="124">
        <f>+'Invullen groen'!AY731</f>
        <v/>
      </c>
      <c r="L721" s="124">
        <f>+'Invullen groen'!AZ731</f>
        <v/>
      </c>
      <c r="M721" s="124">
        <f>+'Invullen groen'!BA731</f>
        <v/>
      </c>
      <c r="N721" s="124">
        <f>+'Invullen groen'!BB731</f>
        <v/>
      </c>
      <c r="O721" s="124">
        <f>+'Invullen groen'!BC731</f>
        <v/>
      </c>
      <c r="P721" s="124">
        <f>+'Invullen groen'!BD731</f>
        <v/>
      </c>
    </row>
    <row r="722">
      <c r="A722" s="113">
        <f>+'Invullen groen'!A732</f>
        <v/>
      </c>
      <c r="B722" s="154">
        <f>+'Invullen groen'!C732</f>
        <v/>
      </c>
      <c r="C722" s="124">
        <f>+'Invullen groen'!G732</f>
        <v/>
      </c>
      <c r="D722" s="113">
        <f>+'Invullen groen'!M732</f>
        <v/>
      </c>
      <c r="E722" s="114">
        <f>+'Invullen groen'!H732</f>
        <v/>
      </c>
      <c r="F722" s="114">
        <f>+'Invullen groen'!I732</f>
        <v/>
      </c>
      <c r="G722" s="114">
        <f>+'Invullen groen'!J732</f>
        <v/>
      </c>
      <c r="H722" s="114">
        <f>+'Invullen groen'!K732</f>
        <v/>
      </c>
      <c r="I722" s="124">
        <f>+'Invullen groen'!AW732</f>
        <v/>
      </c>
      <c r="J722" s="124">
        <f>+'Invullen groen'!AX732</f>
        <v/>
      </c>
      <c r="K722" s="124">
        <f>+'Invullen groen'!AY732</f>
        <v/>
      </c>
      <c r="L722" s="124">
        <f>+'Invullen groen'!AZ732</f>
        <v/>
      </c>
      <c r="M722" s="124">
        <f>+'Invullen groen'!BA732</f>
        <v/>
      </c>
      <c r="N722" s="124">
        <f>+'Invullen groen'!BB732</f>
        <v/>
      </c>
      <c r="O722" s="124">
        <f>+'Invullen groen'!BC732</f>
        <v/>
      </c>
      <c r="P722" s="124">
        <f>+'Invullen groen'!BD732</f>
        <v/>
      </c>
    </row>
    <row r="723">
      <c r="A723" s="113">
        <f>+'Invullen groen'!A733</f>
        <v/>
      </c>
      <c r="B723" s="154">
        <f>+'Invullen groen'!C733</f>
        <v/>
      </c>
      <c r="C723" s="124">
        <f>+'Invullen groen'!G733</f>
        <v/>
      </c>
      <c r="D723" s="113">
        <f>+'Invullen groen'!M733</f>
        <v/>
      </c>
      <c r="E723" s="114">
        <f>+'Invullen groen'!H733</f>
        <v/>
      </c>
      <c r="F723" s="114">
        <f>+'Invullen groen'!I733</f>
        <v/>
      </c>
      <c r="G723" s="114">
        <f>+'Invullen groen'!J733</f>
        <v/>
      </c>
      <c r="H723" s="114">
        <f>+'Invullen groen'!K733</f>
        <v/>
      </c>
      <c r="I723" s="124">
        <f>+'Invullen groen'!AW733</f>
        <v/>
      </c>
      <c r="J723" s="124">
        <f>+'Invullen groen'!AX733</f>
        <v/>
      </c>
      <c r="K723" s="124">
        <f>+'Invullen groen'!AY733</f>
        <v/>
      </c>
      <c r="L723" s="124">
        <f>+'Invullen groen'!AZ733</f>
        <v/>
      </c>
      <c r="M723" s="124">
        <f>+'Invullen groen'!BA733</f>
        <v/>
      </c>
      <c r="N723" s="124">
        <f>+'Invullen groen'!BB733</f>
        <v/>
      </c>
      <c r="O723" s="124">
        <f>+'Invullen groen'!BC733</f>
        <v/>
      </c>
      <c r="P723" s="124">
        <f>+'Invullen groen'!BD733</f>
        <v/>
      </c>
    </row>
    <row r="724">
      <c r="A724" s="113">
        <f>+'Invullen groen'!A734</f>
        <v/>
      </c>
      <c r="B724" s="154">
        <f>+'Invullen groen'!C734</f>
        <v/>
      </c>
      <c r="C724" s="124">
        <f>+'Invullen groen'!G734</f>
        <v/>
      </c>
      <c r="D724" s="113">
        <f>+'Invullen groen'!M734</f>
        <v/>
      </c>
      <c r="E724" s="114">
        <f>+'Invullen groen'!H734</f>
        <v/>
      </c>
      <c r="F724" s="114">
        <f>+'Invullen groen'!I734</f>
        <v/>
      </c>
      <c r="G724" s="114">
        <f>+'Invullen groen'!J734</f>
        <v/>
      </c>
      <c r="H724" s="114">
        <f>+'Invullen groen'!K734</f>
        <v/>
      </c>
      <c r="I724" s="124">
        <f>+'Invullen groen'!AW734</f>
        <v/>
      </c>
      <c r="J724" s="124">
        <f>+'Invullen groen'!AX734</f>
        <v/>
      </c>
      <c r="K724" s="124">
        <f>+'Invullen groen'!AY734</f>
        <v/>
      </c>
      <c r="L724" s="124">
        <f>+'Invullen groen'!AZ734</f>
        <v/>
      </c>
      <c r="M724" s="124">
        <f>+'Invullen groen'!BA734</f>
        <v/>
      </c>
      <c r="N724" s="124">
        <f>+'Invullen groen'!BB734</f>
        <v/>
      </c>
      <c r="O724" s="124">
        <f>+'Invullen groen'!BC734</f>
        <v/>
      </c>
      <c r="P724" s="124">
        <f>+'Invullen groen'!BD734</f>
        <v/>
      </c>
    </row>
    <row r="725">
      <c r="A725" s="113">
        <f>+'Invullen groen'!A735</f>
        <v/>
      </c>
      <c r="B725" s="154">
        <f>+'Invullen groen'!C735</f>
        <v/>
      </c>
      <c r="C725" s="124">
        <f>+'Invullen groen'!G735</f>
        <v/>
      </c>
      <c r="D725" s="113">
        <f>+'Invullen groen'!M735</f>
        <v/>
      </c>
      <c r="E725" s="114">
        <f>+'Invullen groen'!H735</f>
        <v/>
      </c>
      <c r="F725" s="114">
        <f>+'Invullen groen'!I735</f>
        <v/>
      </c>
      <c r="G725" s="114">
        <f>+'Invullen groen'!J735</f>
        <v/>
      </c>
      <c r="H725" s="114">
        <f>+'Invullen groen'!K735</f>
        <v/>
      </c>
      <c r="I725" s="124">
        <f>+'Invullen groen'!AW735</f>
        <v/>
      </c>
      <c r="J725" s="124">
        <f>+'Invullen groen'!AX735</f>
        <v/>
      </c>
      <c r="K725" s="124">
        <f>+'Invullen groen'!AY735</f>
        <v/>
      </c>
      <c r="L725" s="124">
        <f>+'Invullen groen'!AZ735</f>
        <v/>
      </c>
      <c r="M725" s="124">
        <f>+'Invullen groen'!BA735</f>
        <v/>
      </c>
      <c r="N725" s="124">
        <f>+'Invullen groen'!BB735</f>
        <v/>
      </c>
      <c r="O725" s="124">
        <f>+'Invullen groen'!BC735</f>
        <v/>
      </c>
      <c r="P725" s="124">
        <f>+'Invullen groen'!BD735</f>
        <v/>
      </c>
    </row>
    <row r="726">
      <c r="A726" s="113">
        <f>+'Invullen groen'!A736</f>
        <v/>
      </c>
      <c r="B726" s="154">
        <f>+'Invullen groen'!C736</f>
        <v/>
      </c>
      <c r="C726" s="124">
        <f>+'Invullen groen'!G736</f>
        <v/>
      </c>
      <c r="D726" s="113">
        <f>+'Invullen groen'!M736</f>
        <v/>
      </c>
      <c r="E726" s="114">
        <f>+'Invullen groen'!H736</f>
        <v/>
      </c>
      <c r="F726" s="114">
        <f>+'Invullen groen'!I736</f>
        <v/>
      </c>
      <c r="G726" s="114">
        <f>+'Invullen groen'!J736</f>
        <v/>
      </c>
      <c r="H726" s="114">
        <f>+'Invullen groen'!K736</f>
        <v/>
      </c>
      <c r="I726" s="124">
        <f>+'Invullen groen'!AW736</f>
        <v/>
      </c>
      <c r="J726" s="124">
        <f>+'Invullen groen'!AX736</f>
        <v/>
      </c>
      <c r="K726" s="124">
        <f>+'Invullen groen'!AY736</f>
        <v/>
      </c>
      <c r="L726" s="124">
        <f>+'Invullen groen'!AZ736</f>
        <v/>
      </c>
      <c r="M726" s="124">
        <f>+'Invullen groen'!BA736</f>
        <v/>
      </c>
      <c r="N726" s="124">
        <f>+'Invullen groen'!BB736</f>
        <v/>
      </c>
      <c r="O726" s="124">
        <f>+'Invullen groen'!BC736</f>
        <v/>
      </c>
      <c r="P726" s="124">
        <f>+'Invullen groen'!BD736</f>
        <v/>
      </c>
    </row>
    <row r="727">
      <c r="A727" s="113">
        <f>+'Invullen groen'!A737</f>
        <v/>
      </c>
      <c r="B727" s="154">
        <f>+'Invullen groen'!C737</f>
        <v/>
      </c>
      <c r="C727" s="124">
        <f>+'Invullen groen'!G737</f>
        <v/>
      </c>
      <c r="D727" s="113">
        <f>+'Invullen groen'!M737</f>
        <v/>
      </c>
      <c r="E727" s="114">
        <f>+'Invullen groen'!H737</f>
        <v/>
      </c>
      <c r="F727" s="114">
        <f>+'Invullen groen'!I737</f>
        <v/>
      </c>
      <c r="G727" s="114">
        <f>+'Invullen groen'!J737</f>
        <v/>
      </c>
      <c r="H727" s="114">
        <f>+'Invullen groen'!K737</f>
        <v/>
      </c>
      <c r="I727" s="124">
        <f>+'Invullen groen'!AW737</f>
        <v/>
      </c>
      <c r="J727" s="124">
        <f>+'Invullen groen'!AX737</f>
        <v/>
      </c>
      <c r="K727" s="124">
        <f>+'Invullen groen'!AY737</f>
        <v/>
      </c>
      <c r="L727" s="124">
        <f>+'Invullen groen'!AZ737</f>
        <v/>
      </c>
      <c r="M727" s="124">
        <f>+'Invullen groen'!BA737</f>
        <v/>
      </c>
      <c r="N727" s="124">
        <f>+'Invullen groen'!BB737</f>
        <v/>
      </c>
      <c r="O727" s="124">
        <f>+'Invullen groen'!BC737</f>
        <v/>
      </c>
      <c r="P727" s="124">
        <f>+'Invullen groen'!BD737</f>
        <v/>
      </c>
    </row>
    <row r="728">
      <c r="A728" s="113">
        <f>+'Invullen groen'!A738</f>
        <v/>
      </c>
      <c r="B728" s="154">
        <f>+'Invullen groen'!C738</f>
        <v/>
      </c>
      <c r="C728" s="124">
        <f>+'Invullen groen'!G738</f>
        <v/>
      </c>
      <c r="D728" s="113">
        <f>+'Invullen groen'!M738</f>
        <v/>
      </c>
      <c r="E728" s="114">
        <f>+'Invullen groen'!H738</f>
        <v/>
      </c>
      <c r="F728" s="114">
        <f>+'Invullen groen'!I738</f>
        <v/>
      </c>
      <c r="G728" s="114">
        <f>+'Invullen groen'!J738</f>
        <v/>
      </c>
      <c r="H728" s="114">
        <f>+'Invullen groen'!K738</f>
        <v/>
      </c>
      <c r="I728" s="124">
        <f>+'Invullen groen'!AW738</f>
        <v/>
      </c>
      <c r="J728" s="124">
        <f>+'Invullen groen'!AX738</f>
        <v/>
      </c>
      <c r="K728" s="124">
        <f>+'Invullen groen'!AY738</f>
        <v/>
      </c>
      <c r="L728" s="124">
        <f>+'Invullen groen'!AZ738</f>
        <v/>
      </c>
      <c r="M728" s="124">
        <f>+'Invullen groen'!BA738</f>
        <v/>
      </c>
      <c r="N728" s="124">
        <f>+'Invullen groen'!BB738</f>
        <v/>
      </c>
      <c r="O728" s="124">
        <f>+'Invullen groen'!BC738</f>
        <v/>
      </c>
      <c r="P728" s="124">
        <f>+'Invullen groen'!BD738</f>
        <v/>
      </c>
    </row>
    <row r="729">
      <c r="A729" s="113">
        <f>+'Invullen groen'!A739</f>
        <v/>
      </c>
      <c r="B729" s="154">
        <f>+'Invullen groen'!C739</f>
        <v/>
      </c>
      <c r="C729" s="124">
        <f>+'Invullen groen'!G739</f>
        <v/>
      </c>
      <c r="D729" s="113">
        <f>+'Invullen groen'!M739</f>
        <v/>
      </c>
      <c r="E729" s="114">
        <f>+'Invullen groen'!H739</f>
        <v/>
      </c>
      <c r="F729" s="114">
        <f>+'Invullen groen'!I739</f>
        <v/>
      </c>
      <c r="G729" s="114">
        <f>+'Invullen groen'!J739</f>
        <v/>
      </c>
      <c r="H729" s="114">
        <f>+'Invullen groen'!K739</f>
        <v/>
      </c>
      <c r="I729" s="124">
        <f>+'Invullen groen'!AW739</f>
        <v/>
      </c>
      <c r="J729" s="124">
        <f>+'Invullen groen'!AX739</f>
        <v/>
      </c>
      <c r="K729" s="124">
        <f>+'Invullen groen'!AY739</f>
        <v/>
      </c>
      <c r="L729" s="124">
        <f>+'Invullen groen'!AZ739</f>
        <v/>
      </c>
      <c r="M729" s="124">
        <f>+'Invullen groen'!BA739</f>
        <v/>
      </c>
      <c r="N729" s="124">
        <f>+'Invullen groen'!BB739</f>
        <v/>
      </c>
      <c r="O729" s="124">
        <f>+'Invullen groen'!BC739</f>
        <v/>
      </c>
      <c r="P729" s="124">
        <f>+'Invullen groen'!BD739</f>
        <v/>
      </c>
    </row>
    <row r="730">
      <c r="A730" s="113">
        <f>+'Invullen groen'!A740</f>
        <v/>
      </c>
      <c r="B730" s="154">
        <f>+'Invullen groen'!C740</f>
        <v/>
      </c>
      <c r="C730" s="124">
        <f>+'Invullen groen'!G740</f>
        <v/>
      </c>
      <c r="D730" s="113">
        <f>+'Invullen groen'!M740</f>
        <v/>
      </c>
      <c r="E730" s="114">
        <f>+'Invullen groen'!H740</f>
        <v/>
      </c>
      <c r="F730" s="114">
        <f>+'Invullen groen'!I740</f>
        <v/>
      </c>
      <c r="G730" s="114">
        <f>+'Invullen groen'!J740</f>
        <v/>
      </c>
      <c r="H730" s="114">
        <f>+'Invullen groen'!K740</f>
        <v/>
      </c>
      <c r="I730" s="124">
        <f>+'Invullen groen'!AW740</f>
        <v/>
      </c>
      <c r="J730" s="124">
        <f>+'Invullen groen'!AX740</f>
        <v/>
      </c>
      <c r="K730" s="124">
        <f>+'Invullen groen'!AY740</f>
        <v/>
      </c>
      <c r="L730" s="124">
        <f>+'Invullen groen'!AZ740</f>
        <v/>
      </c>
      <c r="M730" s="124">
        <f>+'Invullen groen'!BA740</f>
        <v/>
      </c>
      <c r="N730" s="124">
        <f>+'Invullen groen'!BB740</f>
        <v/>
      </c>
      <c r="O730" s="124">
        <f>+'Invullen groen'!BC740</f>
        <v/>
      </c>
      <c r="P730" s="124">
        <f>+'Invullen groen'!BD740</f>
        <v/>
      </c>
    </row>
    <row r="731">
      <c r="A731" s="113">
        <f>+'Invullen groen'!A741</f>
        <v/>
      </c>
      <c r="B731" s="154">
        <f>+'Invullen groen'!C741</f>
        <v/>
      </c>
      <c r="C731" s="124">
        <f>+'Invullen groen'!G741</f>
        <v/>
      </c>
      <c r="D731" s="113">
        <f>+'Invullen groen'!M741</f>
        <v/>
      </c>
      <c r="E731" s="114">
        <f>+'Invullen groen'!H741</f>
        <v/>
      </c>
      <c r="F731" s="114">
        <f>+'Invullen groen'!I741</f>
        <v/>
      </c>
      <c r="G731" s="114">
        <f>+'Invullen groen'!J741</f>
        <v/>
      </c>
      <c r="H731" s="114">
        <f>+'Invullen groen'!K741</f>
        <v/>
      </c>
      <c r="I731" s="124">
        <f>+'Invullen groen'!AW741</f>
        <v/>
      </c>
      <c r="J731" s="124">
        <f>+'Invullen groen'!AX741</f>
        <v/>
      </c>
      <c r="K731" s="124">
        <f>+'Invullen groen'!AY741</f>
        <v/>
      </c>
      <c r="L731" s="124">
        <f>+'Invullen groen'!AZ741</f>
        <v/>
      </c>
      <c r="M731" s="124">
        <f>+'Invullen groen'!BA741</f>
        <v/>
      </c>
      <c r="N731" s="124">
        <f>+'Invullen groen'!BB741</f>
        <v/>
      </c>
      <c r="O731" s="124">
        <f>+'Invullen groen'!BC741</f>
        <v/>
      </c>
      <c r="P731" s="124">
        <f>+'Invullen groen'!BD741</f>
        <v/>
      </c>
    </row>
    <row r="732">
      <c r="A732" s="113">
        <f>+'Invullen groen'!A742</f>
        <v/>
      </c>
      <c r="B732" s="154">
        <f>+'Invullen groen'!C742</f>
        <v/>
      </c>
      <c r="C732" s="124">
        <f>+'Invullen groen'!G742</f>
        <v/>
      </c>
      <c r="D732" s="113">
        <f>+'Invullen groen'!M742</f>
        <v/>
      </c>
      <c r="E732" s="114">
        <f>+'Invullen groen'!H742</f>
        <v/>
      </c>
      <c r="F732" s="114">
        <f>+'Invullen groen'!I742</f>
        <v/>
      </c>
      <c r="G732" s="114">
        <f>+'Invullen groen'!J742</f>
        <v/>
      </c>
      <c r="H732" s="114">
        <f>+'Invullen groen'!K742</f>
        <v/>
      </c>
      <c r="I732" s="124">
        <f>+'Invullen groen'!AW742</f>
        <v/>
      </c>
      <c r="J732" s="124">
        <f>+'Invullen groen'!AX742</f>
        <v/>
      </c>
      <c r="K732" s="124">
        <f>+'Invullen groen'!AY742</f>
        <v/>
      </c>
      <c r="L732" s="124">
        <f>+'Invullen groen'!AZ742</f>
        <v/>
      </c>
      <c r="M732" s="124">
        <f>+'Invullen groen'!BA742</f>
        <v/>
      </c>
      <c r="N732" s="124">
        <f>+'Invullen groen'!BB742</f>
        <v/>
      </c>
      <c r="O732" s="124">
        <f>+'Invullen groen'!BC742</f>
        <v/>
      </c>
      <c r="P732" s="124">
        <f>+'Invullen groen'!BD742</f>
        <v/>
      </c>
    </row>
    <row r="733">
      <c r="A733" s="113">
        <f>+'Invullen groen'!A743</f>
        <v/>
      </c>
      <c r="B733" s="154">
        <f>+'Invullen groen'!C743</f>
        <v/>
      </c>
      <c r="C733" s="124">
        <f>+'Invullen groen'!G743</f>
        <v/>
      </c>
      <c r="D733" s="113">
        <f>+'Invullen groen'!M743</f>
        <v/>
      </c>
      <c r="E733" s="114">
        <f>+'Invullen groen'!H743</f>
        <v/>
      </c>
      <c r="F733" s="114">
        <f>+'Invullen groen'!I743</f>
        <v/>
      </c>
      <c r="G733" s="114">
        <f>+'Invullen groen'!J743</f>
        <v/>
      </c>
      <c r="H733" s="114">
        <f>+'Invullen groen'!K743</f>
        <v/>
      </c>
      <c r="I733" s="124">
        <f>+'Invullen groen'!AW743</f>
        <v/>
      </c>
      <c r="J733" s="124">
        <f>+'Invullen groen'!AX743</f>
        <v/>
      </c>
      <c r="K733" s="124">
        <f>+'Invullen groen'!AY743</f>
        <v/>
      </c>
      <c r="L733" s="124">
        <f>+'Invullen groen'!AZ743</f>
        <v/>
      </c>
      <c r="M733" s="124">
        <f>+'Invullen groen'!BA743</f>
        <v/>
      </c>
      <c r="N733" s="124">
        <f>+'Invullen groen'!BB743</f>
        <v/>
      </c>
      <c r="O733" s="124">
        <f>+'Invullen groen'!BC743</f>
        <v/>
      </c>
      <c r="P733" s="124">
        <f>+'Invullen groen'!BD743</f>
        <v/>
      </c>
    </row>
    <row r="734">
      <c r="A734" s="113">
        <f>+'Invullen groen'!A744</f>
        <v/>
      </c>
      <c r="B734" s="154">
        <f>+'Invullen groen'!C744</f>
        <v/>
      </c>
      <c r="C734" s="124">
        <f>+'Invullen groen'!G744</f>
        <v/>
      </c>
      <c r="D734" s="113">
        <f>+'Invullen groen'!M744</f>
        <v/>
      </c>
      <c r="E734" s="114">
        <f>+'Invullen groen'!H744</f>
        <v/>
      </c>
      <c r="F734" s="114">
        <f>+'Invullen groen'!I744</f>
        <v/>
      </c>
      <c r="G734" s="114">
        <f>+'Invullen groen'!J744</f>
        <v/>
      </c>
      <c r="H734" s="114">
        <f>+'Invullen groen'!K744</f>
        <v/>
      </c>
      <c r="I734" s="124">
        <f>+'Invullen groen'!AW744</f>
        <v/>
      </c>
      <c r="J734" s="124">
        <f>+'Invullen groen'!AX744</f>
        <v/>
      </c>
      <c r="K734" s="124">
        <f>+'Invullen groen'!AY744</f>
        <v/>
      </c>
      <c r="L734" s="124">
        <f>+'Invullen groen'!AZ744</f>
        <v/>
      </c>
      <c r="M734" s="124">
        <f>+'Invullen groen'!BA744</f>
        <v/>
      </c>
      <c r="N734" s="124">
        <f>+'Invullen groen'!BB744</f>
        <v/>
      </c>
      <c r="O734" s="124">
        <f>+'Invullen groen'!BC744</f>
        <v/>
      </c>
      <c r="P734" s="124">
        <f>+'Invullen groen'!BD744</f>
        <v/>
      </c>
    </row>
    <row r="735">
      <c r="A735" s="113">
        <f>+'Invullen groen'!A745</f>
        <v/>
      </c>
      <c r="B735" s="154">
        <f>+'Invullen groen'!C745</f>
        <v/>
      </c>
      <c r="C735" s="124">
        <f>+'Invullen groen'!G745</f>
        <v/>
      </c>
      <c r="D735" s="113">
        <f>+'Invullen groen'!M745</f>
        <v/>
      </c>
      <c r="E735" s="114">
        <f>+'Invullen groen'!H745</f>
        <v/>
      </c>
      <c r="F735" s="114">
        <f>+'Invullen groen'!I745</f>
        <v/>
      </c>
      <c r="G735" s="114">
        <f>+'Invullen groen'!J745</f>
        <v/>
      </c>
      <c r="H735" s="114">
        <f>+'Invullen groen'!K745</f>
        <v/>
      </c>
      <c r="I735" s="124">
        <f>+'Invullen groen'!AW745</f>
        <v/>
      </c>
      <c r="J735" s="124">
        <f>+'Invullen groen'!AX745</f>
        <v/>
      </c>
      <c r="K735" s="124">
        <f>+'Invullen groen'!AY745</f>
        <v/>
      </c>
      <c r="L735" s="124">
        <f>+'Invullen groen'!AZ745</f>
        <v/>
      </c>
      <c r="M735" s="124">
        <f>+'Invullen groen'!BA745</f>
        <v/>
      </c>
      <c r="N735" s="124">
        <f>+'Invullen groen'!BB745</f>
        <v/>
      </c>
      <c r="O735" s="124">
        <f>+'Invullen groen'!BC745</f>
        <v/>
      </c>
      <c r="P735" s="124">
        <f>+'Invullen groen'!BD745</f>
        <v/>
      </c>
    </row>
    <row r="736">
      <c r="A736" s="113">
        <f>+'Invullen groen'!A746</f>
        <v/>
      </c>
      <c r="B736" s="154">
        <f>+'Invullen groen'!C746</f>
        <v/>
      </c>
      <c r="C736" s="124">
        <f>+'Invullen groen'!G746</f>
        <v/>
      </c>
      <c r="D736" s="113">
        <f>+'Invullen groen'!M746</f>
        <v/>
      </c>
      <c r="E736" s="114">
        <f>+'Invullen groen'!H746</f>
        <v/>
      </c>
      <c r="F736" s="114">
        <f>+'Invullen groen'!I746</f>
        <v/>
      </c>
      <c r="G736" s="114">
        <f>+'Invullen groen'!J746</f>
        <v/>
      </c>
      <c r="H736" s="114">
        <f>+'Invullen groen'!K746</f>
        <v/>
      </c>
      <c r="I736" s="124">
        <f>+'Invullen groen'!AW746</f>
        <v/>
      </c>
      <c r="J736" s="124">
        <f>+'Invullen groen'!AX746</f>
        <v/>
      </c>
      <c r="K736" s="124">
        <f>+'Invullen groen'!AY746</f>
        <v/>
      </c>
      <c r="L736" s="124">
        <f>+'Invullen groen'!AZ746</f>
        <v/>
      </c>
      <c r="M736" s="124">
        <f>+'Invullen groen'!BA746</f>
        <v/>
      </c>
      <c r="N736" s="124">
        <f>+'Invullen groen'!BB746</f>
        <v/>
      </c>
      <c r="O736" s="124">
        <f>+'Invullen groen'!BC746</f>
        <v/>
      </c>
      <c r="P736" s="124">
        <f>+'Invullen groen'!BD746</f>
        <v/>
      </c>
    </row>
    <row r="737">
      <c r="A737" s="113">
        <f>+'Invullen groen'!A747</f>
        <v/>
      </c>
      <c r="B737" s="154">
        <f>+'Invullen groen'!C747</f>
        <v/>
      </c>
      <c r="C737" s="124">
        <f>+'Invullen groen'!G747</f>
        <v/>
      </c>
      <c r="D737" s="113">
        <f>+'Invullen groen'!M747</f>
        <v/>
      </c>
      <c r="E737" s="114">
        <f>+'Invullen groen'!H747</f>
        <v/>
      </c>
      <c r="F737" s="114">
        <f>+'Invullen groen'!I747</f>
        <v/>
      </c>
      <c r="G737" s="114">
        <f>+'Invullen groen'!J747</f>
        <v/>
      </c>
      <c r="H737" s="114">
        <f>+'Invullen groen'!K747</f>
        <v/>
      </c>
      <c r="I737" s="124">
        <f>+'Invullen groen'!AW747</f>
        <v/>
      </c>
      <c r="J737" s="124">
        <f>+'Invullen groen'!AX747</f>
        <v/>
      </c>
      <c r="K737" s="124">
        <f>+'Invullen groen'!AY747</f>
        <v/>
      </c>
      <c r="L737" s="124">
        <f>+'Invullen groen'!AZ747</f>
        <v/>
      </c>
      <c r="M737" s="124">
        <f>+'Invullen groen'!BA747</f>
        <v/>
      </c>
      <c r="N737" s="124">
        <f>+'Invullen groen'!BB747</f>
        <v/>
      </c>
      <c r="O737" s="124">
        <f>+'Invullen groen'!BC747</f>
        <v/>
      </c>
      <c r="P737" s="124">
        <f>+'Invullen groen'!BD747</f>
        <v/>
      </c>
    </row>
    <row r="738">
      <c r="A738" s="113">
        <f>+'Invullen groen'!A748</f>
        <v/>
      </c>
      <c r="B738" s="154">
        <f>+'Invullen groen'!C748</f>
        <v/>
      </c>
      <c r="C738" s="124">
        <f>+'Invullen groen'!G748</f>
        <v/>
      </c>
      <c r="D738" s="113">
        <f>+'Invullen groen'!M748</f>
        <v/>
      </c>
      <c r="E738" s="114">
        <f>+'Invullen groen'!H748</f>
        <v/>
      </c>
      <c r="F738" s="114">
        <f>+'Invullen groen'!I748</f>
        <v/>
      </c>
      <c r="G738" s="114">
        <f>+'Invullen groen'!J748</f>
        <v/>
      </c>
      <c r="H738" s="114">
        <f>+'Invullen groen'!K748</f>
        <v/>
      </c>
      <c r="I738" s="124">
        <f>+'Invullen groen'!AW748</f>
        <v/>
      </c>
      <c r="J738" s="124">
        <f>+'Invullen groen'!AX748</f>
        <v/>
      </c>
      <c r="K738" s="124">
        <f>+'Invullen groen'!AY748</f>
        <v/>
      </c>
      <c r="L738" s="124">
        <f>+'Invullen groen'!AZ748</f>
        <v/>
      </c>
      <c r="M738" s="124">
        <f>+'Invullen groen'!BA748</f>
        <v/>
      </c>
      <c r="N738" s="124">
        <f>+'Invullen groen'!BB748</f>
        <v/>
      </c>
      <c r="O738" s="124">
        <f>+'Invullen groen'!BC748</f>
        <v/>
      </c>
      <c r="P738" s="124">
        <f>+'Invullen groen'!BD748</f>
        <v/>
      </c>
    </row>
    <row r="739">
      <c r="A739" s="113">
        <f>+'Invullen groen'!A749</f>
        <v/>
      </c>
      <c r="B739" s="154">
        <f>+'Invullen groen'!C749</f>
        <v/>
      </c>
      <c r="C739" s="124">
        <f>+'Invullen groen'!G749</f>
        <v/>
      </c>
      <c r="D739" s="113">
        <f>+'Invullen groen'!M749</f>
        <v/>
      </c>
      <c r="E739" s="114">
        <f>+'Invullen groen'!H749</f>
        <v/>
      </c>
      <c r="F739" s="114">
        <f>+'Invullen groen'!I749</f>
        <v/>
      </c>
      <c r="G739" s="114">
        <f>+'Invullen groen'!J749</f>
        <v/>
      </c>
      <c r="H739" s="114">
        <f>+'Invullen groen'!K749</f>
        <v/>
      </c>
      <c r="I739" s="124">
        <f>+'Invullen groen'!AW749</f>
        <v/>
      </c>
      <c r="J739" s="124">
        <f>+'Invullen groen'!AX749</f>
        <v/>
      </c>
      <c r="K739" s="124">
        <f>+'Invullen groen'!AY749</f>
        <v/>
      </c>
      <c r="L739" s="124">
        <f>+'Invullen groen'!AZ749</f>
        <v/>
      </c>
      <c r="M739" s="124">
        <f>+'Invullen groen'!BA749</f>
        <v/>
      </c>
      <c r="N739" s="124">
        <f>+'Invullen groen'!BB749</f>
        <v/>
      </c>
      <c r="O739" s="124">
        <f>+'Invullen groen'!BC749</f>
        <v/>
      </c>
      <c r="P739" s="124">
        <f>+'Invullen groen'!BD749</f>
        <v/>
      </c>
    </row>
    <row r="740">
      <c r="A740" s="113">
        <f>+'Invullen groen'!A750</f>
        <v/>
      </c>
      <c r="B740" s="154">
        <f>+'Invullen groen'!C750</f>
        <v/>
      </c>
      <c r="C740" s="124">
        <f>+'Invullen groen'!G750</f>
        <v/>
      </c>
      <c r="D740" s="113">
        <f>+'Invullen groen'!M750</f>
        <v/>
      </c>
      <c r="E740" s="114">
        <f>+'Invullen groen'!H750</f>
        <v/>
      </c>
      <c r="F740" s="114">
        <f>+'Invullen groen'!I750</f>
        <v/>
      </c>
      <c r="G740" s="114">
        <f>+'Invullen groen'!J750</f>
        <v/>
      </c>
      <c r="H740" s="114">
        <f>+'Invullen groen'!K750</f>
        <v/>
      </c>
      <c r="I740" s="124">
        <f>+'Invullen groen'!AW750</f>
        <v/>
      </c>
      <c r="J740" s="124">
        <f>+'Invullen groen'!AX750</f>
        <v/>
      </c>
      <c r="K740" s="124">
        <f>+'Invullen groen'!AY750</f>
        <v/>
      </c>
      <c r="L740" s="124">
        <f>+'Invullen groen'!AZ750</f>
        <v/>
      </c>
      <c r="M740" s="124">
        <f>+'Invullen groen'!BA750</f>
        <v/>
      </c>
      <c r="N740" s="124">
        <f>+'Invullen groen'!BB750</f>
        <v/>
      </c>
      <c r="O740" s="124">
        <f>+'Invullen groen'!BC750</f>
        <v/>
      </c>
      <c r="P740" s="124">
        <f>+'Invullen groen'!BD750</f>
        <v/>
      </c>
    </row>
    <row r="741">
      <c r="A741" s="113">
        <f>+'Invullen groen'!A751</f>
        <v/>
      </c>
      <c r="B741" s="154">
        <f>+'Invullen groen'!C751</f>
        <v/>
      </c>
      <c r="C741" s="124">
        <f>+'Invullen groen'!G751</f>
        <v/>
      </c>
      <c r="D741" s="113">
        <f>+'Invullen groen'!M751</f>
        <v/>
      </c>
      <c r="E741" s="114">
        <f>+'Invullen groen'!H751</f>
        <v/>
      </c>
      <c r="F741" s="114">
        <f>+'Invullen groen'!I751</f>
        <v/>
      </c>
      <c r="G741" s="114">
        <f>+'Invullen groen'!J751</f>
        <v/>
      </c>
      <c r="H741" s="114">
        <f>+'Invullen groen'!K751</f>
        <v/>
      </c>
      <c r="I741" s="124">
        <f>+'Invullen groen'!AW751</f>
        <v/>
      </c>
      <c r="J741" s="124">
        <f>+'Invullen groen'!AX751</f>
        <v/>
      </c>
      <c r="K741" s="124">
        <f>+'Invullen groen'!AY751</f>
        <v/>
      </c>
      <c r="L741" s="124">
        <f>+'Invullen groen'!AZ751</f>
        <v/>
      </c>
      <c r="M741" s="124">
        <f>+'Invullen groen'!BA751</f>
        <v/>
      </c>
      <c r="N741" s="124">
        <f>+'Invullen groen'!BB751</f>
        <v/>
      </c>
      <c r="O741" s="124">
        <f>+'Invullen groen'!BC751</f>
        <v/>
      </c>
      <c r="P741" s="124">
        <f>+'Invullen groen'!BD751</f>
        <v/>
      </c>
    </row>
    <row r="742">
      <c r="A742" s="113">
        <f>+'Invullen groen'!A752</f>
        <v/>
      </c>
      <c r="B742" s="154">
        <f>+'Invullen groen'!C752</f>
        <v/>
      </c>
      <c r="C742" s="124">
        <f>+'Invullen groen'!G752</f>
        <v/>
      </c>
      <c r="D742" s="113">
        <f>+'Invullen groen'!M752</f>
        <v/>
      </c>
      <c r="E742" s="114">
        <f>+'Invullen groen'!H752</f>
        <v/>
      </c>
      <c r="F742" s="114">
        <f>+'Invullen groen'!I752</f>
        <v/>
      </c>
      <c r="G742" s="114">
        <f>+'Invullen groen'!J752</f>
        <v/>
      </c>
      <c r="H742" s="114">
        <f>+'Invullen groen'!K752</f>
        <v/>
      </c>
      <c r="I742" s="124">
        <f>+'Invullen groen'!AW752</f>
        <v/>
      </c>
      <c r="J742" s="124">
        <f>+'Invullen groen'!AX752</f>
        <v/>
      </c>
      <c r="K742" s="124">
        <f>+'Invullen groen'!AY752</f>
        <v/>
      </c>
      <c r="L742" s="124">
        <f>+'Invullen groen'!AZ752</f>
        <v/>
      </c>
      <c r="M742" s="124">
        <f>+'Invullen groen'!BA752</f>
        <v/>
      </c>
      <c r="N742" s="124">
        <f>+'Invullen groen'!BB752</f>
        <v/>
      </c>
      <c r="O742" s="124">
        <f>+'Invullen groen'!BC752</f>
        <v/>
      </c>
      <c r="P742" s="124">
        <f>+'Invullen groen'!BD752</f>
        <v/>
      </c>
    </row>
    <row r="743">
      <c r="A743" s="113">
        <f>+'Invullen groen'!A753</f>
        <v/>
      </c>
      <c r="B743" s="154">
        <f>+'Invullen groen'!C753</f>
        <v/>
      </c>
      <c r="C743" s="124">
        <f>+'Invullen groen'!G753</f>
        <v/>
      </c>
      <c r="D743" s="113">
        <f>+'Invullen groen'!M753</f>
        <v/>
      </c>
      <c r="E743" s="114">
        <f>+'Invullen groen'!H753</f>
        <v/>
      </c>
      <c r="F743" s="114">
        <f>+'Invullen groen'!I753</f>
        <v/>
      </c>
      <c r="G743" s="114">
        <f>+'Invullen groen'!J753</f>
        <v/>
      </c>
      <c r="H743" s="114">
        <f>+'Invullen groen'!K753</f>
        <v/>
      </c>
      <c r="I743" s="124">
        <f>+'Invullen groen'!AW753</f>
        <v/>
      </c>
      <c r="J743" s="124">
        <f>+'Invullen groen'!AX753</f>
        <v/>
      </c>
      <c r="K743" s="124">
        <f>+'Invullen groen'!AY753</f>
        <v/>
      </c>
      <c r="L743" s="124">
        <f>+'Invullen groen'!AZ753</f>
        <v/>
      </c>
      <c r="M743" s="124">
        <f>+'Invullen groen'!BA753</f>
        <v/>
      </c>
      <c r="N743" s="124">
        <f>+'Invullen groen'!BB753</f>
        <v/>
      </c>
      <c r="O743" s="124">
        <f>+'Invullen groen'!BC753</f>
        <v/>
      </c>
      <c r="P743" s="124">
        <f>+'Invullen groen'!BD753</f>
        <v/>
      </c>
    </row>
    <row r="744">
      <c r="A744" s="113">
        <f>+'Invullen groen'!A754</f>
        <v/>
      </c>
      <c r="B744" s="154">
        <f>+'Invullen groen'!C754</f>
        <v/>
      </c>
      <c r="C744" s="124">
        <f>+'Invullen groen'!G754</f>
        <v/>
      </c>
      <c r="D744" s="113">
        <f>+'Invullen groen'!M754</f>
        <v/>
      </c>
      <c r="E744" s="114">
        <f>+'Invullen groen'!H754</f>
        <v/>
      </c>
      <c r="F744" s="114">
        <f>+'Invullen groen'!I754</f>
        <v/>
      </c>
      <c r="G744" s="114">
        <f>+'Invullen groen'!J754</f>
        <v/>
      </c>
      <c r="H744" s="114">
        <f>+'Invullen groen'!K754</f>
        <v/>
      </c>
      <c r="I744" s="124">
        <f>+'Invullen groen'!AW754</f>
        <v/>
      </c>
      <c r="J744" s="124">
        <f>+'Invullen groen'!AX754</f>
        <v/>
      </c>
      <c r="K744" s="124">
        <f>+'Invullen groen'!AY754</f>
        <v/>
      </c>
      <c r="L744" s="124">
        <f>+'Invullen groen'!AZ754</f>
        <v/>
      </c>
      <c r="M744" s="124">
        <f>+'Invullen groen'!BA754</f>
        <v/>
      </c>
      <c r="N744" s="124">
        <f>+'Invullen groen'!BB754</f>
        <v/>
      </c>
      <c r="O744" s="124">
        <f>+'Invullen groen'!BC754</f>
        <v/>
      </c>
      <c r="P744" s="124">
        <f>+'Invullen groen'!BD754</f>
        <v/>
      </c>
    </row>
    <row r="745">
      <c r="A745" s="113">
        <f>+'Invullen groen'!A755</f>
        <v/>
      </c>
      <c r="B745" s="154">
        <f>+'Invullen groen'!C755</f>
        <v/>
      </c>
      <c r="C745" s="124">
        <f>+'Invullen groen'!G755</f>
        <v/>
      </c>
      <c r="D745" s="113">
        <f>+'Invullen groen'!M755</f>
        <v/>
      </c>
      <c r="E745" s="114">
        <f>+'Invullen groen'!H755</f>
        <v/>
      </c>
      <c r="F745" s="114">
        <f>+'Invullen groen'!I755</f>
        <v/>
      </c>
      <c r="G745" s="114">
        <f>+'Invullen groen'!J755</f>
        <v/>
      </c>
      <c r="H745" s="114">
        <f>+'Invullen groen'!K755</f>
        <v/>
      </c>
      <c r="I745" s="124">
        <f>+'Invullen groen'!AW755</f>
        <v/>
      </c>
      <c r="J745" s="124">
        <f>+'Invullen groen'!AX755</f>
        <v/>
      </c>
      <c r="K745" s="124">
        <f>+'Invullen groen'!AY755</f>
        <v/>
      </c>
      <c r="L745" s="124">
        <f>+'Invullen groen'!AZ755</f>
        <v/>
      </c>
      <c r="M745" s="124">
        <f>+'Invullen groen'!BA755</f>
        <v/>
      </c>
      <c r="N745" s="124">
        <f>+'Invullen groen'!BB755</f>
        <v/>
      </c>
      <c r="O745" s="124">
        <f>+'Invullen groen'!BC755</f>
        <v/>
      </c>
      <c r="P745" s="124">
        <f>+'Invullen groen'!BD755</f>
        <v/>
      </c>
    </row>
    <row r="746">
      <c r="A746" s="113">
        <f>+'Invullen groen'!A756</f>
        <v/>
      </c>
      <c r="B746" s="154">
        <f>+'Invullen groen'!C756</f>
        <v/>
      </c>
      <c r="C746" s="124">
        <f>+'Invullen groen'!G756</f>
        <v/>
      </c>
      <c r="D746" s="113">
        <f>+'Invullen groen'!M756</f>
        <v/>
      </c>
      <c r="E746" s="114">
        <f>+'Invullen groen'!H756</f>
        <v/>
      </c>
      <c r="F746" s="114">
        <f>+'Invullen groen'!I756</f>
        <v/>
      </c>
      <c r="G746" s="114">
        <f>+'Invullen groen'!J756</f>
        <v/>
      </c>
      <c r="H746" s="114">
        <f>+'Invullen groen'!K756</f>
        <v/>
      </c>
      <c r="I746" s="124">
        <f>+'Invullen groen'!AW756</f>
        <v/>
      </c>
      <c r="J746" s="124">
        <f>+'Invullen groen'!AX756</f>
        <v/>
      </c>
      <c r="K746" s="124">
        <f>+'Invullen groen'!AY756</f>
        <v/>
      </c>
      <c r="L746" s="124">
        <f>+'Invullen groen'!AZ756</f>
        <v/>
      </c>
      <c r="M746" s="124">
        <f>+'Invullen groen'!BA756</f>
        <v/>
      </c>
      <c r="N746" s="124">
        <f>+'Invullen groen'!BB756</f>
        <v/>
      </c>
      <c r="O746" s="124">
        <f>+'Invullen groen'!BC756</f>
        <v/>
      </c>
      <c r="P746" s="124">
        <f>+'Invullen groen'!BD756</f>
        <v/>
      </c>
    </row>
    <row r="747">
      <c r="A747" s="113">
        <f>+'Invullen groen'!A757</f>
        <v/>
      </c>
      <c r="B747" s="154">
        <f>+'Invullen groen'!C757</f>
        <v/>
      </c>
      <c r="C747" s="124">
        <f>+'Invullen groen'!G757</f>
        <v/>
      </c>
      <c r="D747" s="113">
        <f>+'Invullen groen'!M757</f>
        <v/>
      </c>
      <c r="E747" s="114">
        <f>+'Invullen groen'!H757</f>
        <v/>
      </c>
      <c r="F747" s="114">
        <f>+'Invullen groen'!I757</f>
        <v/>
      </c>
      <c r="G747" s="114">
        <f>+'Invullen groen'!J757</f>
        <v/>
      </c>
      <c r="H747" s="114">
        <f>+'Invullen groen'!K757</f>
        <v/>
      </c>
      <c r="I747" s="124">
        <f>+'Invullen groen'!AW757</f>
        <v/>
      </c>
      <c r="J747" s="124">
        <f>+'Invullen groen'!AX757</f>
        <v/>
      </c>
      <c r="K747" s="124">
        <f>+'Invullen groen'!AY757</f>
        <v/>
      </c>
      <c r="L747" s="124">
        <f>+'Invullen groen'!AZ757</f>
        <v/>
      </c>
      <c r="M747" s="124">
        <f>+'Invullen groen'!BA757</f>
        <v/>
      </c>
      <c r="N747" s="124">
        <f>+'Invullen groen'!BB757</f>
        <v/>
      </c>
      <c r="O747" s="124">
        <f>+'Invullen groen'!BC757</f>
        <v/>
      </c>
      <c r="P747" s="124">
        <f>+'Invullen groen'!BD757</f>
        <v/>
      </c>
    </row>
    <row r="748">
      <c r="A748" s="113">
        <f>+'Invullen groen'!A758</f>
        <v/>
      </c>
      <c r="B748" s="154">
        <f>+'Invullen groen'!C758</f>
        <v/>
      </c>
      <c r="C748" s="124">
        <f>+'Invullen groen'!G758</f>
        <v/>
      </c>
      <c r="D748" s="113">
        <f>+'Invullen groen'!M758</f>
        <v/>
      </c>
      <c r="E748" s="114">
        <f>+'Invullen groen'!H758</f>
        <v/>
      </c>
      <c r="F748" s="114">
        <f>+'Invullen groen'!I758</f>
        <v/>
      </c>
      <c r="G748" s="114">
        <f>+'Invullen groen'!J758</f>
        <v/>
      </c>
      <c r="H748" s="114">
        <f>+'Invullen groen'!K758</f>
        <v/>
      </c>
      <c r="I748" s="124">
        <f>+'Invullen groen'!AW758</f>
        <v/>
      </c>
      <c r="J748" s="124">
        <f>+'Invullen groen'!AX758</f>
        <v/>
      </c>
      <c r="K748" s="124">
        <f>+'Invullen groen'!AY758</f>
        <v/>
      </c>
      <c r="L748" s="124">
        <f>+'Invullen groen'!AZ758</f>
        <v/>
      </c>
      <c r="M748" s="124">
        <f>+'Invullen groen'!BA758</f>
        <v/>
      </c>
      <c r="N748" s="124">
        <f>+'Invullen groen'!BB758</f>
        <v/>
      </c>
      <c r="O748" s="124">
        <f>+'Invullen groen'!BC758</f>
        <v/>
      </c>
      <c r="P748" s="124">
        <f>+'Invullen groen'!BD758</f>
        <v/>
      </c>
    </row>
    <row r="749">
      <c r="A749" s="113">
        <f>+'Invullen groen'!A759</f>
        <v/>
      </c>
      <c r="B749" s="154">
        <f>+'Invullen groen'!C759</f>
        <v/>
      </c>
      <c r="C749" s="124">
        <f>+'Invullen groen'!G759</f>
        <v/>
      </c>
      <c r="D749" s="113">
        <f>+'Invullen groen'!M759</f>
        <v/>
      </c>
      <c r="E749" s="114">
        <f>+'Invullen groen'!H759</f>
        <v/>
      </c>
      <c r="F749" s="114">
        <f>+'Invullen groen'!I759</f>
        <v/>
      </c>
      <c r="G749" s="114">
        <f>+'Invullen groen'!J759</f>
        <v/>
      </c>
      <c r="H749" s="114">
        <f>+'Invullen groen'!K759</f>
        <v/>
      </c>
      <c r="I749" s="124">
        <f>+'Invullen groen'!AW759</f>
        <v/>
      </c>
      <c r="J749" s="124">
        <f>+'Invullen groen'!AX759</f>
        <v/>
      </c>
      <c r="K749" s="124">
        <f>+'Invullen groen'!AY759</f>
        <v/>
      </c>
      <c r="L749" s="124">
        <f>+'Invullen groen'!AZ759</f>
        <v/>
      </c>
      <c r="M749" s="124">
        <f>+'Invullen groen'!BA759</f>
        <v/>
      </c>
      <c r="N749" s="124">
        <f>+'Invullen groen'!BB759</f>
        <v/>
      </c>
      <c r="O749" s="124">
        <f>+'Invullen groen'!BC759</f>
        <v/>
      </c>
      <c r="P749" s="124">
        <f>+'Invullen groen'!BD759</f>
        <v/>
      </c>
    </row>
    <row r="750">
      <c r="A750" s="113">
        <f>+'Invullen groen'!A760</f>
        <v/>
      </c>
      <c r="B750" s="154">
        <f>+'Invullen groen'!C760</f>
        <v/>
      </c>
      <c r="C750" s="124">
        <f>+'Invullen groen'!G760</f>
        <v/>
      </c>
      <c r="D750" s="113">
        <f>+'Invullen groen'!M760</f>
        <v/>
      </c>
      <c r="E750" s="114">
        <f>+'Invullen groen'!H760</f>
        <v/>
      </c>
      <c r="F750" s="114">
        <f>+'Invullen groen'!I760</f>
        <v/>
      </c>
      <c r="G750" s="114">
        <f>+'Invullen groen'!J760</f>
        <v/>
      </c>
      <c r="H750" s="114">
        <f>+'Invullen groen'!K760</f>
        <v/>
      </c>
      <c r="I750" s="124">
        <f>+'Invullen groen'!AW760</f>
        <v/>
      </c>
      <c r="J750" s="124">
        <f>+'Invullen groen'!AX760</f>
        <v/>
      </c>
      <c r="K750" s="124">
        <f>+'Invullen groen'!AY760</f>
        <v/>
      </c>
      <c r="L750" s="124">
        <f>+'Invullen groen'!AZ760</f>
        <v/>
      </c>
      <c r="M750" s="124">
        <f>+'Invullen groen'!BA760</f>
        <v/>
      </c>
      <c r="N750" s="124">
        <f>+'Invullen groen'!BB760</f>
        <v/>
      </c>
      <c r="O750" s="124">
        <f>+'Invullen groen'!BC760</f>
        <v/>
      </c>
      <c r="P750" s="124">
        <f>+'Invullen groen'!BD760</f>
        <v/>
      </c>
    </row>
    <row r="751">
      <c r="A751" s="113">
        <f>+'Invullen groen'!A761</f>
        <v/>
      </c>
      <c r="B751" s="154">
        <f>+'Invullen groen'!C761</f>
        <v/>
      </c>
      <c r="C751" s="124">
        <f>+'Invullen groen'!G761</f>
        <v/>
      </c>
      <c r="D751" s="113">
        <f>+'Invullen groen'!M761</f>
        <v/>
      </c>
      <c r="E751" s="114">
        <f>+'Invullen groen'!H761</f>
        <v/>
      </c>
      <c r="F751" s="114">
        <f>+'Invullen groen'!I761</f>
        <v/>
      </c>
      <c r="G751" s="114">
        <f>+'Invullen groen'!J761</f>
        <v/>
      </c>
      <c r="H751" s="114">
        <f>+'Invullen groen'!K761</f>
        <v/>
      </c>
      <c r="I751" s="124">
        <f>+'Invullen groen'!AW761</f>
        <v/>
      </c>
      <c r="J751" s="124">
        <f>+'Invullen groen'!AX761</f>
        <v/>
      </c>
      <c r="K751" s="124">
        <f>+'Invullen groen'!AY761</f>
        <v/>
      </c>
      <c r="L751" s="124">
        <f>+'Invullen groen'!AZ761</f>
        <v/>
      </c>
      <c r="M751" s="124">
        <f>+'Invullen groen'!BA761</f>
        <v/>
      </c>
      <c r="N751" s="124">
        <f>+'Invullen groen'!BB761</f>
        <v/>
      </c>
      <c r="O751" s="124">
        <f>+'Invullen groen'!BC761</f>
        <v/>
      </c>
      <c r="P751" s="124">
        <f>+'Invullen groen'!BD761</f>
        <v/>
      </c>
    </row>
    <row r="752">
      <c r="A752" s="113">
        <f>+'Invullen groen'!A762</f>
        <v/>
      </c>
      <c r="B752" s="154">
        <f>+'Invullen groen'!C762</f>
        <v/>
      </c>
      <c r="C752" s="124">
        <f>+'Invullen groen'!G762</f>
        <v/>
      </c>
      <c r="D752" s="113">
        <f>+'Invullen groen'!M762</f>
        <v/>
      </c>
      <c r="E752" s="114">
        <f>+'Invullen groen'!H762</f>
        <v/>
      </c>
      <c r="F752" s="114">
        <f>+'Invullen groen'!I762</f>
        <v/>
      </c>
      <c r="G752" s="114">
        <f>+'Invullen groen'!J762</f>
        <v/>
      </c>
      <c r="H752" s="114">
        <f>+'Invullen groen'!K762</f>
        <v/>
      </c>
      <c r="I752" s="124">
        <f>+'Invullen groen'!AW762</f>
        <v/>
      </c>
      <c r="J752" s="124">
        <f>+'Invullen groen'!AX762</f>
        <v/>
      </c>
      <c r="K752" s="124">
        <f>+'Invullen groen'!AY762</f>
        <v/>
      </c>
      <c r="L752" s="124">
        <f>+'Invullen groen'!AZ762</f>
        <v/>
      </c>
      <c r="M752" s="124">
        <f>+'Invullen groen'!BA762</f>
        <v/>
      </c>
      <c r="N752" s="124">
        <f>+'Invullen groen'!BB762</f>
        <v/>
      </c>
      <c r="O752" s="124">
        <f>+'Invullen groen'!BC762</f>
        <v/>
      </c>
      <c r="P752" s="124">
        <f>+'Invullen groen'!BD762</f>
        <v/>
      </c>
    </row>
    <row r="753">
      <c r="A753" s="113">
        <f>+'Invullen groen'!A763</f>
        <v/>
      </c>
      <c r="B753" s="154">
        <f>+'Invullen groen'!C763</f>
        <v/>
      </c>
      <c r="C753" s="124">
        <f>+'Invullen groen'!G763</f>
        <v/>
      </c>
      <c r="D753" s="113">
        <f>+'Invullen groen'!M763</f>
        <v/>
      </c>
      <c r="E753" s="114">
        <f>+'Invullen groen'!H763</f>
        <v/>
      </c>
      <c r="F753" s="114">
        <f>+'Invullen groen'!I763</f>
        <v/>
      </c>
      <c r="G753" s="114">
        <f>+'Invullen groen'!J763</f>
        <v/>
      </c>
      <c r="H753" s="114">
        <f>+'Invullen groen'!K763</f>
        <v/>
      </c>
      <c r="I753" s="124">
        <f>+'Invullen groen'!AW763</f>
        <v/>
      </c>
      <c r="J753" s="124">
        <f>+'Invullen groen'!AX763</f>
        <v/>
      </c>
      <c r="K753" s="124">
        <f>+'Invullen groen'!AY763</f>
        <v/>
      </c>
      <c r="L753" s="124">
        <f>+'Invullen groen'!AZ763</f>
        <v/>
      </c>
      <c r="M753" s="124">
        <f>+'Invullen groen'!BA763</f>
        <v/>
      </c>
      <c r="N753" s="124">
        <f>+'Invullen groen'!BB763</f>
        <v/>
      </c>
      <c r="O753" s="124">
        <f>+'Invullen groen'!BC763</f>
        <v/>
      </c>
      <c r="P753" s="124">
        <f>+'Invullen groen'!BD763</f>
        <v/>
      </c>
    </row>
    <row r="754">
      <c r="A754" s="113">
        <f>+'Invullen groen'!A764</f>
        <v/>
      </c>
      <c r="B754" s="154">
        <f>+'Invullen groen'!C764</f>
        <v/>
      </c>
      <c r="C754" s="124">
        <f>+'Invullen groen'!G764</f>
        <v/>
      </c>
      <c r="D754" s="113">
        <f>+'Invullen groen'!M764</f>
        <v/>
      </c>
      <c r="E754" s="114">
        <f>+'Invullen groen'!H764</f>
        <v/>
      </c>
      <c r="F754" s="114">
        <f>+'Invullen groen'!I764</f>
        <v/>
      </c>
      <c r="G754" s="114">
        <f>+'Invullen groen'!J764</f>
        <v/>
      </c>
      <c r="H754" s="114">
        <f>+'Invullen groen'!K764</f>
        <v/>
      </c>
      <c r="I754" s="124">
        <f>+'Invullen groen'!AW764</f>
        <v/>
      </c>
      <c r="J754" s="124">
        <f>+'Invullen groen'!AX764</f>
        <v/>
      </c>
      <c r="K754" s="124">
        <f>+'Invullen groen'!AY764</f>
        <v/>
      </c>
      <c r="L754" s="124">
        <f>+'Invullen groen'!AZ764</f>
        <v/>
      </c>
      <c r="M754" s="124">
        <f>+'Invullen groen'!BA764</f>
        <v/>
      </c>
      <c r="N754" s="124">
        <f>+'Invullen groen'!BB764</f>
        <v/>
      </c>
      <c r="O754" s="124">
        <f>+'Invullen groen'!BC764</f>
        <v/>
      </c>
      <c r="P754" s="124">
        <f>+'Invullen groen'!BD764</f>
        <v/>
      </c>
    </row>
    <row r="755">
      <c r="A755" s="113">
        <f>+'Invullen groen'!A765</f>
        <v/>
      </c>
      <c r="B755" s="154">
        <f>+'Invullen groen'!C765</f>
        <v/>
      </c>
      <c r="C755" s="124">
        <f>+'Invullen groen'!G765</f>
        <v/>
      </c>
      <c r="D755" s="113">
        <f>+'Invullen groen'!M765</f>
        <v/>
      </c>
      <c r="E755" s="114">
        <f>+'Invullen groen'!H765</f>
        <v/>
      </c>
      <c r="F755" s="114">
        <f>+'Invullen groen'!I765</f>
        <v/>
      </c>
      <c r="G755" s="114">
        <f>+'Invullen groen'!J765</f>
        <v/>
      </c>
      <c r="H755" s="114">
        <f>+'Invullen groen'!K765</f>
        <v/>
      </c>
      <c r="I755" s="124">
        <f>+'Invullen groen'!AW765</f>
        <v/>
      </c>
      <c r="J755" s="124">
        <f>+'Invullen groen'!AX765</f>
        <v/>
      </c>
      <c r="K755" s="124">
        <f>+'Invullen groen'!AY765</f>
        <v/>
      </c>
      <c r="L755" s="124">
        <f>+'Invullen groen'!AZ765</f>
        <v/>
      </c>
      <c r="M755" s="124">
        <f>+'Invullen groen'!BA765</f>
        <v/>
      </c>
      <c r="N755" s="124">
        <f>+'Invullen groen'!BB765</f>
        <v/>
      </c>
      <c r="O755" s="124">
        <f>+'Invullen groen'!BC765</f>
        <v/>
      </c>
      <c r="P755" s="124">
        <f>+'Invullen groen'!BD765</f>
        <v/>
      </c>
    </row>
    <row r="756">
      <c r="A756" s="113">
        <f>+'Invullen groen'!A766</f>
        <v/>
      </c>
      <c r="B756" s="154">
        <f>+'Invullen groen'!C766</f>
        <v/>
      </c>
      <c r="C756" s="124">
        <f>+'Invullen groen'!G766</f>
        <v/>
      </c>
      <c r="D756" s="113">
        <f>+'Invullen groen'!M766</f>
        <v/>
      </c>
      <c r="E756" s="114">
        <f>+'Invullen groen'!H766</f>
        <v/>
      </c>
      <c r="F756" s="114">
        <f>+'Invullen groen'!I766</f>
        <v/>
      </c>
      <c r="G756" s="114">
        <f>+'Invullen groen'!J766</f>
        <v/>
      </c>
      <c r="H756" s="114">
        <f>+'Invullen groen'!K766</f>
        <v/>
      </c>
      <c r="I756" s="124">
        <f>+'Invullen groen'!AW766</f>
        <v/>
      </c>
      <c r="J756" s="124">
        <f>+'Invullen groen'!AX766</f>
        <v/>
      </c>
      <c r="K756" s="124">
        <f>+'Invullen groen'!AY766</f>
        <v/>
      </c>
      <c r="L756" s="124">
        <f>+'Invullen groen'!AZ766</f>
        <v/>
      </c>
      <c r="M756" s="124">
        <f>+'Invullen groen'!BA766</f>
        <v/>
      </c>
      <c r="N756" s="124">
        <f>+'Invullen groen'!BB766</f>
        <v/>
      </c>
      <c r="O756" s="124">
        <f>+'Invullen groen'!BC766</f>
        <v/>
      </c>
      <c r="P756" s="124">
        <f>+'Invullen groen'!BD766</f>
        <v/>
      </c>
    </row>
    <row r="757">
      <c r="A757" s="113">
        <f>+'Invullen groen'!A767</f>
        <v/>
      </c>
      <c r="B757" s="154">
        <f>+'Invullen groen'!C767</f>
        <v/>
      </c>
      <c r="C757" s="124">
        <f>+'Invullen groen'!G767</f>
        <v/>
      </c>
      <c r="D757" s="113">
        <f>+'Invullen groen'!M767</f>
        <v/>
      </c>
      <c r="E757" s="114">
        <f>+'Invullen groen'!H767</f>
        <v/>
      </c>
      <c r="F757" s="114">
        <f>+'Invullen groen'!I767</f>
        <v/>
      </c>
      <c r="G757" s="114">
        <f>+'Invullen groen'!J767</f>
        <v/>
      </c>
      <c r="H757" s="114">
        <f>+'Invullen groen'!K767</f>
        <v/>
      </c>
      <c r="I757" s="124">
        <f>+'Invullen groen'!AW767</f>
        <v/>
      </c>
      <c r="J757" s="124">
        <f>+'Invullen groen'!AX767</f>
        <v/>
      </c>
      <c r="K757" s="124">
        <f>+'Invullen groen'!AY767</f>
        <v/>
      </c>
      <c r="L757" s="124">
        <f>+'Invullen groen'!AZ767</f>
        <v/>
      </c>
      <c r="M757" s="124">
        <f>+'Invullen groen'!BA767</f>
        <v/>
      </c>
      <c r="N757" s="124">
        <f>+'Invullen groen'!BB767</f>
        <v/>
      </c>
      <c r="O757" s="124">
        <f>+'Invullen groen'!BC767</f>
        <v/>
      </c>
      <c r="P757" s="124">
        <f>+'Invullen groen'!BD767</f>
        <v/>
      </c>
    </row>
    <row r="758">
      <c r="A758" s="113">
        <f>+'Invullen groen'!A768</f>
        <v/>
      </c>
      <c r="B758" s="154">
        <f>+'Invullen groen'!C768</f>
        <v/>
      </c>
      <c r="C758" s="124">
        <f>+'Invullen groen'!G768</f>
        <v/>
      </c>
      <c r="D758" s="113">
        <f>+'Invullen groen'!M768</f>
        <v/>
      </c>
      <c r="E758" s="114">
        <f>+'Invullen groen'!H768</f>
        <v/>
      </c>
      <c r="F758" s="114">
        <f>+'Invullen groen'!I768</f>
        <v/>
      </c>
      <c r="G758" s="114">
        <f>+'Invullen groen'!J768</f>
        <v/>
      </c>
      <c r="H758" s="114">
        <f>+'Invullen groen'!K768</f>
        <v/>
      </c>
      <c r="I758" s="124">
        <f>+'Invullen groen'!AW768</f>
        <v/>
      </c>
      <c r="J758" s="124">
        <f>+'Invullen groen'!AX768</f>
        <v/>
      </c>
      <c r="K758" s="124">
        <f>+'Invullen groen'!AY768</f>
        <v/>
      </c>
      <c r="L758" s="124">
        <f>+'Invullen groen'!AZ768</f>
        <v/>
      </c>
      <c r="M758" s="124">
        <f>+'Invullen groen'!BA768</f>
        <v/>
      </c>
      <c r="N758" s="124">
        <f>+'Invullen groen'!BB768</f>
        <v/>
      </c>
      <c r="O758" s="124">
        <f>+'Invullen groen'!BC768</f>
        <v/>
      </c>
      <c r="P758" s="124">
        <f>+'Invullen groen'!BD768</f>
        <v/>
      </c>
    </row>
    <row r="759">
      <c r="A759" s="113">
        <f>+'Invullen groen'!A769</f>
        <v/>
      </c>
      <c r="B759" s="154">
        <f>+'Invullen groen'!C769</f>
        <v/>
      </c>
      <c r="C759" s="124">
        <f>+'Invullen groen'!G769</f>
        <v/>
      </c>
      <c r="D759" s="113">
        <f>+'Invullen groen'!M769</f>
        <v/>
      </c>
      <c r="E759" s="114">
        <f>+'Invullen groen'!H769</f>
        <v/>
      </c>
      <c r="F759" s="114">
        <f>+'Invullen groen'!I769</f>
        <v/>
      </c>
      <c r="G759" s="114">
        <f>+'Invullen groen'!J769</f>
        <v/>
      </c>
      <c r="H759" s="114">
        <f>+'Invullen groen'!K769</f>
        <v/>
      </c>
      <c r="I759" s="124">
        <f>+'Invullen groen'!AW769</f>
        <v/>
      </c>
      <c r="J759" s="124">
        <f>+'Invullen groen'!AX769</f>
        <v/>
      </c>
      <c r="K759" s="124">
        <f>+'Invullen groen'!AY769</f>
        <v/>
      </c>
      <c r="L759" s="124">
        <f>+'Invullen groen'!AZ769</f>
        <v/>
      </c>
      <c r="M759" s="124">
        <f>+'Invullen groen'!BA769</f>
        <v/>
      </c>
      <c r="N759" s="124">
        <f>+'Invullen groen'!BB769</f>
        <v/>
      </c>
      <c r="O759" s="124">
        <f>+'Invullen groen'!BC769</f>
        <v/>
      </c>
      <c r="P759" s="124">
        <f>+'Invullen groen'!BD769</f>
        <v/>
      </c>
    </row>
    <row r="760">
      <c r="A760" s="113">
        <f>+'Invullen groen'!A770</f>
        <v/>
      </c>
      <c r="B760" s="154">
        <f>+'Invullen groen'!C770</f>
        <v/>
      </c>
      <c r="C760" s="124">
        <f>+'Invullen groen'!G770</f>
        <v/>
      </c>
      <c r="D760" s="113">
        <f>+'Invullen groen'!M770</f>
        <v/>
      </c>
      <c r="E760" s="114">
        <f>+'Invullen groen'!H770</f>
        <v/>
      </c>
      <c r="F760" s="114">
        <f>+'Invullen groen'!I770</f>
        <v/>
      </c>
      <c r="G760" s="114">
        <f>+'Invullen groen'!J770</f>
        <v/>
      </c>
      <c r="H760" s="114">
        <f>+'Invullen groen'!K770</f>
        <v/>
      </c>
      <c r="I760" s="124">
        <f>+'Invullen groen'!AW770</f>
        <v/>
      </c>
      <c r="J760" s="124">
        <f>+'Invullen groen'!AX770</f>
        <v/>
      </c>
      <c r="K760" s="124">
        <f>+'Invullen groen'!AY770</f>
        <v/>
      </c>
      <c r="L760" s="124">
        <f>+'Invullen groen'!AZ770</f>
        <v/>
      </c>
      <c r="M760" s="124">
        <f>+'Invullen groen'!BA770</f>
        <v/>
      </c>
      <c r="N760" s="124">
        <f>+'Invullen groen'!BB770</f>
        <v/>
      </c>
      <c r="O760" s="124">
        <f>+'Invullen groen'!BC770</f>
        <v/>
      </c>
      <c r="P760" s="124">
        <f>+'Invullen groen'!BD770</f>
        <v/>
      </c>
    </row>
    <row r="761">
      <c r="A761" s="113">
        <f>+'Invullen groen'!A771</f>
        <v/>
      </c>
      <c r="B761" s="154">
        <f>+'Invullen groen'!C771</f>
        <v/>
      </c>
      <c r="C761" s="124">
        <f>+'Invullen groen'!G771</f>
        <v/>
      </c>
      <c r="D761" s="113">
        <f>+'Invullen groen'!M771</f>
        <v/>
      </c>
      <c r="E761" s="114">
        <f>+'Invullen groen'!H771</f>
        <v/>
      </c>
      <c r="F761" s="114">
        <f>+'Invullen groen'!I771</f>
        <v/>
      </c>
      <c r="G761" s="114">
        <f>+'Invullen groen'!J771</f>
        <v/>
      </c>
      <c r="H761" s="114">
        <f>+'Invullen groen'!K771</f>
        <v/>
      </c>
      <c r="I761" s="124">
        <f>+'Invullen groen'!AW771</f>
        <v/>
      </c>
      <c r="J761" s="124">
        <f>+'Invullen groen'!AX771</f>
        <v/>
      </c>
      <c r="K761" s="124">
        <f>+'Invullen groen'!AY771</f>
        <v/>
      </c>
      <c r="L761" s="124">
        <f>+'Invullen groen'!AZ771</f>
        <v/>
      </c>
      <c r="M761" s="124">
        <f>+'Invullen groen'!BA771</f>
        <v/>
      </c>
      <c r="N761" s="124">
        <f>+'Invullen groen'!BB771</f>
        <v/>
      </c>
      <c r="O761" s="124">
        <f>+'Invullen groen'!BC771</f>
        <v/>
      </c>
      <c r="P761" s="124">
        <f>+'Invullen groen'!BD771</f>
        <v/>
      </c>
    </row>
    <row r="762">
      <c r="A762" s="113">
        <f>+'Invullen groen'!A772</f>
        <v/>
      </c>
      <c r="B762" s="154">
        <f>+'Invullen groen'!C772</f>
        <v/>
      </c>
      <c r="C762" s="124">
        <f>+'Invullen groen'!G772</f>
        <v/>
      </c>
      <c r="D762" s="113">
        <f>+'Invullen groen'!M772</f>
        <v/>
      </c>
      <c r="E762" s="114">
        <f>+'Invullen groen'!H772</f>
        <v/>
      </c>
      <c r="F762" s="114">
        <f>+'Invullen groen'!I772</f>
        <v/>
      </c>
      <c r="G762" s="114">
        <f>+'Invullen groen'!J772</f>
        <v/>
      </c>
      <c r="H762" s="114">
        <f>+'Invullen groen'!K772</f>
        <v/>
      </c>
      <c r="I762" s="124">
        <f>+'Invullen groen'!AW772</f>
        <v/>
      </c>
      <c r="J762" s="124">
        <f>+'Invullen groen'!AX772</f>
        <v/>
      </c>
      <c r="K762" s="124">
        <f>+'Invullen groen'!AY772</f>
        <v/>
      </c>
      <c r="L762" s="124">
        <f>+'Invullen groen'!AZ772</f>
        <v/>
      </c>
      <c r="M762" s="124">
        <f>+'Invullen groen'!BA772</f>
        <v/>
      </c>
      <c r="N762" s="124">
        <f>+'Invullen groen'!BB772</f>
        <v/>
      </c>
      <c r="O762" s="124">
        <f>+'Invullen groen'!BC772</f>
        <v/>
      </c>
      <c r="P762" s="124">
        <f>+'Invullen groen'!BD772</f>
        <v/>
      </c>
    </row>
    <row r="763">
      <c r="A763" s="113">
        <f>+'Invullen groen'!A773</f>
        <v/>
      </c>
      <c r="B763" s="154">
        <f>+'Invullen groen'!C773</f>
        <v/>
      </c>
      <c r="C763" s="124">
        <f>+'Invullen groen'!G773</f>
        <v/>
      </c>
      <c r="D763" s="113">
        <f>+'Invullen groen'!M773</f>
        <v/>
      </c>
      <c r="E763" s="114">
        <f>+'Invullen groen'!H773</f>
        <v/>
      </c>
      <c r="F763" s="114">
        <f>+'Invullen groen'!I773</f>
        <v/>
      </c>
      <c r="G763" s="114">
        <f>+'Invullen groen'!J773</f>
        <v/>
      </c>
      <c r="H763" s="114">
        <f>+'Invullen groen'!K773</f>
        <v/>
      </c>
      <c r="I763" s="124">
        <f>+'Invullen groen'!AW773</f>
        <v/>
      </c>
      <c r="J763" s="124">
        <f>+'Invullen groen'!AX773</f>
        <v/>
      </c>
      <c r="K763" s="124">
        <f>+'Invullen groen'!AY773</f>
        <v/>
      </c>
      <c r="L763" s="124">
        <f>+'Invullen groen'!AZ773</f>
        <v/>
      </c>
      <c r="M763" s="124">
        <f>+'Invullen groen'!BA773</f>
        <v/>
      </c>
      <c r="N763" s="124">
        <f>+'Invullen groen'!BB773</f>
        <v/>
      </c>
      <c r="O763" s="124">
        <f>+'Invullen groen'!BC773</f>
        <v/>
      </c>
      <c r="P763" s="124">
        <f>+'Invullen groen'!BD773</f>
        <v/>
      </c>
    </row>
    <row r="764">
      <c r="A764" s="113">
        <f>+'Invullen groen'!A774</f>
        <v/>
      </c>
      <c r="B764" s="154">
        <f>+'Invullen groen'!C774</f>
        <v/>
      </c>
      <c r="C764" s="124">
        <f>+'Invullen groen'!G774</f>
        <v/>
      </c>
      <c r="D764" s="113">
        <f>+'Invullen groen'!M774</f>
        <v/>
      </c>
      <c r="E764" s="114">
        <f>+'Invullen groen'!H774</f>
        <v/>
      </c>
      <c r="F764" s="114">
        <f>+'Invullen groen'!I774</f>
        <v/>
      </c>
      <c r="G764" s="114">
        <f>+'Invullen groen'!J774</f>
        <v/>
      </c>
      <c r="H764" s="114">
        <f>+'Invullen groen'!K774</f>
        <v/>
      </c>
      <c r="I764" s="124">
        <f>+'Invullen groen'!AW774</f>
        <v/>
      </c>
      <c r="J764" s="124">
        <f>+'Invullen groen'!AX774</f>
        <v/>
      </c>
      <c r="K764" s="124">
        <f>+'Invullen groen'!AY774</f>
        <v/>
      </c>
      <c r="L764" s="124">
        <f>+'Invullen groen'!AZ774</f>
        <v/>
      </c>
      <c r="M764" s="124">
        <f>+'Invullen groen'!BA774</f>
        <v/>
      </c>
      <c r="N764" s="124">
        <f>+'Invullen groen'!BB774</f>
        <v/>
      </c>
      <c r="O764" s="124">
        <f>+'Invullen groen'!BC774</f>
        <v/>
      </c>
      <c r="P764" s="124">
        <f>+'Invullen groen'!BD774</f>
        <v/>
      </c>
    </row>
    <row r="765">
      <c r="A765" s="113">
        <f>+'Invullen groen'!A775</f>
        <v/>
      </c>
      <c r="B765" s="154">
        <f>+'Invullen groen'!C775</f>
        <v/>
      </c>
      <c r="C765" s="124">
        <f>+'Invullen groen'!G775</f>
        <v/>
      </c>
      <c r="D765" s="113">
        <f>+'Invullen groen'!M775</f>
        <v/>
      </c>
      <c r="E765" s="114">
        <f>+'Invullen groen'!H775</f>
        <v/>
      </c>
      <c r="F765" s="114">
        <f>+'Invullen groen'!I775</f>
        <v/>
      </c>
      <c r="G765" s="114">
        <f>+'Invullen groen'!J775</f>
        <v/>
      </c>
      <c r="H765" s="114">
        <f>+'Invullen groen'!K775</f>
        <v/>
      </c>
      <c r="I765" s="124">
        <f>+'Invullen groen'!AW775</f>
        <v/>
      </c>
      <c r="J765" s="124">
        <f>+'Invullen groen'!AX775</f>
        <v/>
      </c>
      <c r="K765" s="124">
        <f>+'Invullen groen'!AY775</f>
        <v/>
      </c>
      <c r="L765" s="124">
        <f>+'Invullen groen'!AZ775</f>
        <v/>
      </c>
      <c r="M765" s="124">
        <f>+'Invullen groen'!BA775</f>
        <v/>
      </c>
      <c r="N765" s="124">
        <f>+'Invullen groen'!BB775</f>
        <v/>
      </c>
      <c r="O765" s="124">
        <f>+'Invullen groen'!BC775</f>
        <v/>
      </c>
      <c r="P765" s="124">
        <f>+'Invullen groen'!BD775</f>
        <v/>
      </c>
    </row>
    <row r="766">
      <c r="A766" s="113">
        <f>+'Invullen groen'!A776</f>
        <v/>
      </c>
      <c r="B766" s="154">
        <f>+'Invullen groen'!C776</f>
        <v/>
      </c>
      <c r="C766" s="124">
        <f>+'Invullen groen'!G776</f>
        <v/>
      </c>
      <c r="D766" s="113">
        <f>+'Invullen groen'!M776</f>
        <v/>
      </c>
      <c r="E766" s="114">
        <f>+'Invullen groen'!H776</f>
        <v/>
      </c>
      <c r="F766" s="114">
        <f>+'Invullen groen'!I776</f>
        <v/>
      </c>
      <c r="G766" s="114">
        <f>+'Invullen groen'!J776</f>
        <v/>
      </c>
      <c r="H766" s="114">
        <f>+'Invullen groen'!K776</f>
        <v/>
      </c>
      <c r="I766" s="124">
        <f>+'Invullen groen'!AW776</f>
        <v/>
      </c>
      <c r="J766" s="124">
        <f>+'Invullen groen'!AX776</f>
        <v/>
      </c>
      <c r="K766" s="124">
        <f>+'Invullen groen'!AY776</f>
        <v/>
      </c>
      <c r="L766" s="124">
        <f>+'Invullen groen'!AZ776</f>
        <v/>
      </c>
      <c r="M766" s="124">
        <f>+'Invullen groen'!BA776</f>
        <v/>
      </c>
      <c r="N766" s="124">
        <f>+'Invullen groen'!BB776</f>
        <v/>
      </c>
      <c r="O766" s="124">
        <f>+'Invullen groen'!BC776</f>
        <v/>
      </c>
      <c r="P766" s="124">
        <f>+'Invullen groen'!BD776</f>
        <v/>
      </c>
    </row>
    <row r="767">
      <c r="A767" s="113">
        <f>+'Invullen groen'!A777</f>
        <v/>
      </c>
      <c r="B767" s="154">
        <f>+'Invullen groen'!C777</f>
        <v/>
      </c>
      <c r="C767" s="124">
        <f>+'Invullen groen'!G777</f>
        <v/>
      </c>
      <c r="D767" s="113">
        <f>+'Invullen groen'!M777</f>
        <v/>
      </c>
      <c r="E767" s="114">
        <f>+'Invullen groen'!H777</f>
        <v/>
      </c>
      <c r="F767" s="114">
        <f>+'Invullen groen'!I777</f>
        <v/>
      </c>
      <c r="G767" s="114">
        <f>+'Invullen groen'!J777</f>
        <v/>
      </c>
      <c r="H767" s="114">
        <f>+'Invullen groen'!K777</f>
        <v/>
      </c>
      <c r="I767" s="124">
        <f>+'Invullen groen'!AW777</f>
        <v/>
      </c>
      <c r="J767" s="124">
        <f>+'Invullen groen'!AX777</f>
        <v/>
      </c>
      <c r="K767" s="124">
        <f>+'Invullen groen'!AY777</f>
        <v/>
      </c>
      <c r="L767" s="124">
        <f>+'Invullen groen'!AZ777</f>
        <v/>
      </c>
      <c r="M767" s="124">
        <f>+'Invullen groen'!BA777</f>
        <v/>
      </c>
      <c r="N767" s="124">
        <f>+'Invullen groen'!BB777</f>
        <v/>
      </c>
      <c r="O767" s="124">
        <f>+'Invullen groen'!BC777</f>
        <v/>
      </c>
      <c r="P767" s="124">
        <f>+'Invullen groen'!BD777</f>
        <v/>
      </c>
    </row>
    <row r="768">
      <c r="A768" s="113">
        <f>+'Invullen groen'!A778</f>
        <v/>
      </c>
      <c r="B768" s="154">
        <f>+'Invullen groen'!C778</f>
        <v/>
      </c>
      <c r="C768" s="124">
        <f>+'Invullen groen'!G778</f>
        <v/>
      </c>
      <c r="D768" s="113">
        <f>+'Invullen groen'!M778</f>
        <v/>
      </c>
      <c r="E768" s="114">
        <f>+'Invullen groen'!H778</f>
        <v/>
      </c>
      <c r="F768" s="114">
        <f>+'Invullen groen'!I778</f>
        <v/>
      </c>
      <c r="G768" s="114">
        <f>+'Invullen groen'!J778</f>
        <v/>
      </c>
      <c r="H768" s="114">
        <f>+'Invullen groen'!K778</f>
        <v/>
      </c>
      <c r="I768" s="124">
        <f>+'Invullen groen'!AW778</f>
        <v/>
      </c>
      <c r="J768" s="124">
        <f>+'Invullen groen'!AX778</f>
        <v/>
      </c>
      <c r="K768" s="124">
        <f>+'Invullen groen'!AY778</f>
        <v/>
      </c>
      <c r="L768" s="124">
        <f>+'Invullen groen'!AZ778</f>
        <v/>
      </c>
      <c r="M768" s="124">
        <f>+'Invullen groen'!BA778</f>
        <v/>
      </c>
      <c r="N768" s="124">
        <f>+'Invullen groen'!BB778</f>
        <v/>
      </c>
      <c r="O768" s="124">
        <f>+'Invullen groen'!BC778</f>
        <v/>
      </c>
      <c r="P768" s="124">
        <f>+'Invullen groen'!BD778</f>
        <v/>
      </c>
    </row>
    <row r="769">
      <c r="A769" s="113">
        <f>+'Invullen groen'!A779</f>
        <v/>
      </c>
      <c r="B769" s="154">
        <f>+'Invullen groen'!C779</f>
        <v/>
      </c>
      <c r="C769" s="124">
        <f>+'Invullen groen'!G779</f>
        <v/>
      </c>
      <c r="D769" s="113">
        <f>+'Invullen groen'!M779</f>
        <v/>
      </c>
      <c r="E769" s="114">
        <f>+'Invullen groen'!H779</f>
        <v/>
      </c>
      <c r="F769" s="114">
        <f>+'Invullen groen'!I779</f>
        <v/>
      </c>
      <c r="G769" s="114">
        <f>+'Invullen groen'!J779</f>
        <v/>
      </c>
      <c r="H769" s="114">
        <f>+'Invullen groen'!K779</f>
        <v/>
      </c>
      <c r="I769" s="124">
        <f>+'Invullen groen'!AW779</f>
        <v/>
      </c>
      <c r="J769" s="124">
        <f>+'Invullen groen'!AX779</f>
        <v/>
      </c>
      <c r="K769" s="124">
        <f>+'Invullen groen'!AY779</f>
        <v/>
      </c>
      <c r="L769" s="124">
        <f>+'Invullen groen'!AZ779</f>
        <v/>
      </c>
      <c r="M769" s="124">
        <f>+'Invullen groen'!BA779</f>
        <v/>
      </c>
      <c r="N769" s="124">
        <f>+'Invullen groen'!BB779</f>
        <v/>
      </c>
      <c r="O769" s="124">
        <f>+'Invullen groen'!BC779</f>
        <v/>
      </c>
      <c r="P769" s="124">
        <f>+'Invullen groen'!BD779</f>
        <v/>
      </c>
    </row>
    <row r="770">
      <c r="A770" s="113">
        <f>+'Invullen groen'!A780</f>
        <v/>
      </c>
      <c r="B770" s="154">
        <f>+'Invullen groen'!C780</f>
        <v/>
      </c>
      <c r="C770" s="124">
        <f>+'Invullen groen'!G780</f>
        <v/>
      </c>
      <c r="D770" s="113">
        <f>+'Invullen groen'!M780</f>
        <v/>
      </c>
      <c r="E770" s="114">
        <f>+'Invullen groen'!H780</f>
        <v/>
      </c>
      <c r="F770" s="114">
        <f>+'Invullen groen'!I780</f>
        <v/>
      </c>
      <c r="G770" s="114">
        <f>+'Invullen groen'!J780</f>
        <v/>
      </c>
      <c r="H770" s="114">
        <f>+'Invullen groen'!K780</f>
        <v/>
      </c>
      <c r="I770" s="124">
        <f>+'Invullen groen'!AW780</f>
        <v/>
      </c>
      <c r="J770" s="124">
        <f>+'Invullen groen'!AX780</f>
        <v/>
      </c>
      <c r="K770" s="124">
        <f>+'Invullen groen'!AY780</f>
        <v/>
      </c>
      <c r="L770" s="124">
        <f>+'Invullen groen'!AZ780</f>
        <v/>
      </c>
      <c r="M770" s="124">
        <f>+'Invullen groen'!BA780</f>
        <v/>
      </c>
      <c r="N770" s="124">
        <f>+'Invullen groen'!BB780</f>
        <v/>
      </c>
      <c r="O770" s="124">
        <f>+'Invullen groen'!BC780</f>
        <v/>
      </c>
      <c r="P770" s="124">
        <f>+'Invullen groen'!BD780</f>
        <v/>
      </c>
    </row>
    <row r="771">
      <c r="A771" s="113">
        <f>+'Invullen groen'!A781</f>
        <v/>
      </c>
      <c r="B771" s="154">
        <f>+'Invullen groen'!C781</f>
        <v/>
      </c>
      <c r="C771" s="124">
        <f>+'Invullen groen'!G781</f>
        <v/>
      </c>
      <c r="D771" s="113">
        <f>+'Invullen groen'!M781</f>
        <v/>
      </c>
      <c r="E771" s="114">
        <f>+'Invullen groen'!H781</f>
        <v/>
      </c>
      <c r="F771" s="114">
        <f>+'Invullen groen'!I781</f>
        <v/>
      </c>
      <c r="G771" s="114">
        <f>+'Invullen groen'!J781</f>
        <v/>
      </c>
      <c r="H771" s="114">
        <f>+'Invullen groen'!K781</f>
        <v/>
      </c>
      <c r="I771" s="124">
        <f>+'Invullen groen'!AW781</f>
        <v/>
      </c>
      <c r="J771" s="124">
        <f>+'Invullen groen'!AX781</f>
        <v/>
      </c>
      <c r="K771" s="124">
        <f>+'Invullen groen'!AY781</f>
        <v/>
      </c>
      <c r="L771" s="124">
        <f>+'Invullen groen'!AZ781</f>
        <v/>
      </c>
      <c r="M771" s="124">
        <f>+'Invullen groen'!BA781</f>
        <v/>
      </c>
      <c r="N771" s="124">
        <f>+'Invullen groen'!BB781</f>
        <v/>
      </c>
      <c r="O771" s="124">
        <f>+'Invullen groen'!BC781</f>
        <v/>
      </c>
      <c r="P771" s="124">
        <f>+'Invullen groen'!BD781</f>
        <v/>
      </c>
    </row>
    <row r="772">
      <c r="A772" s="113">
        <f>+'Invullen groen'!A782</f>
        <v/>
      </c>
      <c r="B772" s="154">
        <f>+'Invullen groen'!C782</f>
        <v/>
      </c>
      <c r="C772" s="124">
        <f>+'Invullen groen'!G782</f>
        <v/>
      </c>
      <c r="D772" s="113">
        <f>+'Invullen groen'!M782</f>
        <v/>
      </c>
      <c r="E772" s="114">
        <f>+'Invullen groen'!H782</f>
        <v/>
      </c>
      <c r="F772" s="114">
        <f>+'Invullen groen'!I782</f>
        <v/>
      </c>
      <c r="G772" s="114">
        <f>+'Invullen groen'!J782</f>
        <v/>
      </c>
      <c r="H772" s="114">
        <f>+'Invullen groen'!K782</f>
        <v/>
      </c>
      <c r="I772" s="124">
        <f>+'Invullen groen'!AW782</f>
        <v/>
      </c>
      <c r="J772" s="124">
        <f>+'Invullen groen'!AX782</f>
        <v/>
      </c>
      <c r="K772" s="124">
        <f>+'Invullen groen'!AY782</f>
        <v/>
      </c>
      <c r="L772" s="124">
        <f>+'Invullen groen'!AZ782</f>
        <v/>
      </c>
      <c r="M772" s="124">
        <f>+'Invullen groen'!BA782</f>
        <v/>
      </c>
      <c r="N772" s="124">
        <f>+'Invullen groen'!BB782</f>
        <v/>
      </c>
      <c r="O772" s="124">
        <f>+'Invullen groen'!BC782</f>
        <v/>
      </c>
      <c r="P772" s="124">
        <f>+'Invullen groen'!BD782</f>
        <v/>
      </c>
    </row>
    <row r="773">
      <c r="A773" s="113">
        <f>+'Invullen groen'!A783</f>
        <v/>
      </c>
      <c r="B773" s="154">
        <f>+'Invullen groen'!C783</f>
        <v/>
      </c>
      <c r="C773" s="124">
        <f>+'Invullen groen'!G783</f>
        <v/>
      </c>
      <c r="D773" s="113">
        <f>+'Invullen groen'!M783</f>
        <v/>
      </c>
      <c r="E773" s="114">
        <f>+'Invullen groen'!H783</f>
        <v/>
      </c>
      <c r="F773" s="114">
        <f>+'Invullen groen'!I783</f>
        <v/>
      </c>
      <c r="G773" s="114">
        <f>+'Invullen groen'!J783</f>
        <v/>
      </c>
      <c r="H773" s="114">
        <f>+'Invullen groen'!K783</f>
        <v/>
      </c>
      <c r="I773" s="124">
        <f>+'Invullen groen'!AW783</f>
        <v/>
      </c>
      <c r="J773" s="124">
        <f>+'Invullen groen'!AX783</f>
        <v/>
      </c>
      <c r="K773" s="124">
        <f>+'Invullen groen'!AY783</f>
        <v/>
      </c>
      <c r="L773" s="124">
        <f>+'Invullen groen'!AZ783</f>
        <v/>
      </c>
      <c r="M773" s="124">
        <f>+'Invullen groen'!BA783</f>
        <v/>
      </c>
      <c r="N773" s="124">
        <f>+'Invullen groen'!BB783</f>
        <v/>
      </c>
      <c r="O773" s="124">
        <f>+'Invullen groen'!BC783</f>
        <v/>
      </c>
      <c r="P773" s="124">
        <f>+'Invullen groen'!BD783</f>
        <v/>
      </c>
    </row>
    <row r="774">
      <c r="A774" s="113">
        <f>+'Invullen groen'!A784</f>
        <v/>
      </c>
      <c r="B774" s="154">
        <f>+'Invullen groen'!C784</f>
        <v/>
      </c>
      <c r="C774" s="124">
        <f>+'Invullen groen'!G784</f>
        <v/>
      </c>
      <c r="D774" s="113">
        <f>+'Invullen groen'!M784</f>
        <v/>
      </c>
      <c r="E774" s="114">
        <f>+'Invullen groen'!H784</f>
        <v/>
      </c>
      <c r="F774" s="114">
        <f>+'Invullen groen'!I784</f>
        <v/>
      </c>
      <c r="G774" s="114">
        <f>+'Invullen groen'!J784</f>
        <v/>
      </c>
      <c r="H774" s="114">
        <f>+'Invullen groen'!K784</f>
        <v/>
      </c>
      <c r="I774" s="124">
        <f>+'Invullen groen'!AW784</f>
        <v/>
      </c>
      <c r="J774" s="124">
        <f>+'Invullen groen'!AX784</f>
        <v/>
      </c>
      <c r="K774" s="124">
        <f>+'Invullen groen'!AY784</f>
        <v/>
      </c>
      <c r="L774" s="124">
        <f>+'Invullen groen'!AZ784</f>
        <v/>
      </c>
      <c r="M774" s="124">
        <f>+'Invullen groen'!BA784</f>
        <v/>
      </c>
      <c r="N774" s="124">
        <f>+'Invullen groen'!BB784</f>
        <v/>
      </c>
      <c r="O774" s="124">
        <f>+'Invullen groen'!BC784</f>
        <v/>
      </c>
      <c r="P774" s="124">
        <f>+'Invullen groen'!BD784</f>
        <v/>
      </c>
    </row>
    <row r="775">
      <c r="A775" s="113">
        <f>+'Invullen groen'!A785</f>
        <v/>
      </c>
      <c r="B775" s="154">
        <f>+'Invullen groen'!C785</f>
        <v/>
      </c>
      <c r="C775" s="124">
        <f>+'Invullen groen'!G785</f>
        <v/>
      </c>
      <c r="D775" s="113">
        <f>+'Invullen groen'!M785</f>
        <v/>
      </c>
      <c r="E775" s="114">
        <f>+'Invullen groen'!H785</f>
        <v/>
      </c>
      <c r="F775" s="114">
        <f>+'Invullen groen'!I785</f>
        <v/>
      </c>
      <c r="G775" s="114">
        <f>+'Invullen groen'!J785</f>
        <v/>
      </c>
      <c r="H775" s="114">
        <f>+'Invullen groen'!K785</f>
        <v/>
      </c>
      <c r="I775" s="124">
        <f>+'Invullen groen'!AW785</f>
        <v/>
      </c>
      <c r="J775" s="124">
        <f>+'Invullen groen'!AX785</f>
        <v/>
      </c>
      <c r="K775" s="124">
        <f>+'Invullen groen'!AY785</f>
        <v/>
      </c>
      <c r="L775" s="124">
        <f>+'Invullen groen'!AZ785</f>
        <v/>
      </c>
      <c r="M775" s="124">
        <f>+'Invullen groen'!BA785</f>
        <v/>
      </c>
      <c r="N775" s="124">
        <f>+'Invullen groen'!BB785</f>
        <v/>
      </c>
      <c r="O775" s="124">
        <f>+'Invullen groen'!BC785</f>
        <v/>
      </c>
      <c r="P775" s="124">
        <f>+'Invullen groen'!BD785</f>
        <v/>
      </c>
    </row>
    <row r="776">
      <c r="A776" s="113">
        <f>+'Invullen groen'!A786</f>
        <v/>
      </c>
      <c r="B776" s="154">
        <f>+'Invullen groen'!C786</f>
        <v/>
      </c>
      <c r="C776" s="124">
        <f>+'Invullen groen'!G786</f>
        <v/>
      </c>
      <c r="D776" s="113">
        <f>+'Invullen groen'!M786</f>
        <v/>
      </c>
      <c r="E776" s="114">
        <f>+'Invullen groen'!H786</f>
        <v/>
      </c>
      <c r="F776" s="114">
        <f>+'Invullen groen'!I786</f>
        <v/>
      </c>
      <c r="G776" s="114">
        <f>+'Invullen groen'!J786</f>
        <v/>
      </c>
      <c r="H776" s="114">
        <f>+'Invullen groen'!K786</f>
        <v/>
      </c>
      <c r="I776" s="124">
        <f>+'Invullen groen'!AW786</f>
        <v/>
      </c>
      <c r="J776" s="124">
        <f>+'Invullen groen'!AX786</f>
        <v/>
      </c>
      <c r="K776" s="124">
        <f>+'Invullen groen'!AY786</f>
        <v/>
      </c>
      <c r="L776" s="124">
        <f>+'Invullen groen'!AZ786</f>
        <v/>
      </c>
      <c r="M776" s="124">
        <f>+'Invullen groen'!BA786</f>
        <v/>
      </c>
      <c r="N776" s="124">
        <f>+'Invullen groen'!BB786</f>
        <v/>
      </c>
      <c r="O776" s="124">
        <f>+'Invullen groen'!BC786</f>
        <v/>
      </c>
      <c r="P776" s="124">
        <f>+'Invullen groen'!BD786</f>
        <v/>
      </c>
    </row>
    <row r="777">
      <c r="A777" s="113">
        <f>+'Invullen groen'!A787</f>
        <v/>
      </c>
      <c r="B777" s="154">
        <f>+'Invullen groen'!C787</f>
        <v/>
      </c>
      <c r="C777" s="124">
        <f>+'Invullen groen'!G787</f>
        <v/>
      </c>
      <c r="D777" s="113">
        <f>+'Invullen groen'!M787</f>
        <v/>
      </c>
      <c r="E777" s="114">
        <f>+'Invullen groen'!H787</f>
        <v/>
      </c>
      <c r="F777" s="114">
        <f>+'Invullen groen'!I787</f>
        <v/>
      </c>
      <c r="G777" s="114">
        <f>+'Invullen groen'!J787</f>
        <v/>
      </c>
      <c r="H777" s="114">
        <f>+'Invullen groen'!K787</f>
        <v/>
      </c>
      <c r="I777" s="124">
        <f>+'Invullen groen'!AW787</f>
        <v/>
      </c>
      <c r="J777" s="124">
        <f>+'Invullen groen'!AX787</f>
        <v/>
      </c>
      <c r="K777" s="124">
        <f>+'Invullen groen'!AY787</f>
        <v/>
      </c>
      <c r="L777" s="124">
        <f>+'Invullen groen'!AZ787</f>
        <v/>
      </c>
      <c r="M777" s="124">
        <f>+'Invullen groen'!BA787</f>
        <v/>
      </c>
      <c r="N777" s="124">
        <f>+'Invullen groen'!BB787</f>
        <v/>
      </c>
      <c r="O777" s="124">
        <f>+'Invullen groen'!BC787</f>
        <v/>
      </c>
      <c r="P777" s="124">
        <f>+'Invullen groen'!BD787</f>
        <v/>
      </c>
    </row>
    <row r="778">
      <c r="A778" s="113">
        <f>+'Invullen groen'!A788</f>
        <v/>
      </c>
      <c r="B778" s="154">
        <f>+'Invullen groen'!C788</f>
        <v/>
      </c>
      <c r="C778" s="124">
        <f>+'Invullen groen'!G788</f>
        <v/>
      </c>
      <c r="D778" s="113">
        <f>+'Invullen groen'!M788</f>
        <v/>
      </c>
      <c r="E778" s="114">
        <f>+'Invullen groen'!H788</f>
        <v/>
      </c>
      <c r="F778" s="114">
        <f>+'Invullen groen'!I788</f>
        <v/>
      </c>
      <c r="G778" s="114">
        <f>+'Invullen groen'!J788</f>
        <v/>
      </c>
      <c r="H778" s="114">
        <f>+'Invullen groen'!K788</f>
        <v/>
      </c>
      <c r="I778" s="124">
        <f>+'Invullen groen'!AW788</f>
        <v/>
      </c>
      <c r="J778" s="124">
        <f>+'Invullen groen'!AX788</f>
        <v/>
      </c>
      <c r="K778" s="124">
        <f>+'Invullen groen'!AY788</f>
        <v/>
      </c>
      <c r="L778" s="124">
        <f>+'Invullen groen'!AZ788</f>
        <v/>
      </c>
      <c r="M778" s="124">
        <f>+'Invullen groen'!BA788</f>
        <v/>
      </c>
      <c r="N778" s="124">
        <f>+'Invullen groen'!BB788</f>
        <v/>
      </c>
      <c r="O778" s="124">
        <f>+'Invullen groen'!BC788</f>
        <v/>
      </c>
      <c r="P778" s="124">
        <f>+'Invullen groen'!BD788</f>
        <v/>
      </c>
    </row>
    <row r="779">
      <c r="A779" s="113">
        <f>+'Invullen groen'!A789</f>
        <v/>
      </c>
      <c r="B779" s="154">
        <f>+'Invullen groen'!C789</f>
        <v/>
      </c>
      <c r="C779" s="124">
        <f>+'Invullen groen'!G789</f>
        <v/>
      </c>
      <c r="D779" s="113">
        <f>+'Invullen groen'!M789</f>
        <v/>
      </c>
      <c r="E779" s="114">
        <f>+'Invullen groen'!H789</f>
        <v/>
      </c>
      <c r="F779" s="114">
        <f>+'Invullen groen'!I789</f>
        <v/>
      </c>
      <c r="G779" s="114">
        <f>+'Invullen groen'!J789</f>
        <v/>
      </c>
      <c r="H779" s="114">
        <f>+'Invullen groen'!K789</f>
        <v/>
      </c>
      <c r="I779" s="124">
        <f>+'Invullen groen'!AW789</f>
        <v/>
      </c>
      <c r="J779" s="124">
        <f>+'Invullen groen'!AX789</f>
        <v/>
      </c>
      <c r="K779" s="124">
        <f>+'Invullen groen'!AY789</f>
        <v/>
      </c>
      <c r="L779" s="124">
        <f>+'Invullen groen'!AZ789</f>
        <v/>
      </c>
      <c r="M779" s="124">
        <f>+'Invullen groen'!BA789</f>
        <v/>
      </c>
      <c r="N779" s="124">
        <f>+'Invullen groen'!BB789</f>
        <v/>
      </c>
      <c r="O779" s="124">
        <f>+'Invullen groen'!BC789</f>
        <v/>
      </c>
      <c r="P779" s="124">
        <f>+'Invullen groen'!BD789</f>
        <v/>
      </c>
    </row>
    <row r="780">
      <c r="A780" s="113">
        <f>+'Invullen groen'!A790</f>
        <v/>
      </c>
      <c r="B780" s="154">
        <f>+'Invullen groen'!C790</f>
        <v/>
      </c>
      <c r="C780" s="124">
        <f>+'Invullen groen'!G790</f>
        <v/>
      </c>
      <c r="D780" s="113">
        <f>+'Invullen groen'!M790</f>
        <v/>
      </c>
      <c r="E780" s="114">
        <f>+'Invullen groen'!H790</f>
        <v/>
      </c>
      <c r="F780" s="114">
        <f>+'Invullen groen'!I790</f>
        <v/>
      </c>
      <c r="G780" s="114">
        <f>+'Invullen groen'!J790</f>
        <v/>
      </c>
      <c r="H780" s="114">
        <f>+'Invullen groen'!K790</f>
        <v/>
      </c>
      <c r="I780" s="124">
        <f>+'Invullen groen'!AW790</f>
        <v/>
      </c>
      <c r="J780" s="124">
        <f>+'Invullen groen'!AX790</f>
        <v/>
      </c>
      <c r="K780" s="124">
        <f>+'Invullen groen'!AY790</f>
        <v/>
      </c>
      <c r="L780" s="124">
        <f>+'Invullen groen'!AZ790</f>
        <v/>
      </c>
      <c r="M780" s="124">
        <f>+'Invullen groen'!BA790</f>
        <v/>
      </c>
      <c r="N780" s="124">
        <f>+'Invullen groen'!BB790</f>
        <v/>
      </c>
      <c r="O780" s="124">
        <f>+'Invullen groen'!BC790</f>
        <v/>
      </c>
      <c r="P780" s="124">
        <f>+'Invullen groen'!BD790</f>
        <v/>
      </c>
    </row>
    <row r="781">
      <c r="A781" s="113">
        <f>+'Invullen groen'!A791</f>
        <v/>
      </c>
      <c r="B781" s="154">
        <f>+'Invullen groen'!C791</f>
        <v/>
      </c>
      <c r="C781" s="124">
        <f>+'Invullen groen'!G791</f>
        <v/>
      </c>
      <c r="D781" s="113">
        <f>+'Invullen groen'!M791</f>
        <v/>
      </c>
      <c r="E781" s="114">
        <f>+'Invullen groen'!H791</f>
        <v/>
      </c>
      <c r="F781" s="114">
        <f>+'Invullen groen'!I791</f>
        <v/>
      </c>
      <c r="G781" s="114">
        <f>+'Invullen groen'!J791</f>
        <v/>
      </c>
      <c r="H781" s="114">
        <f>+'Invullen groen'!K791</f>
        <v/>
      </c>
      <c r="I781" s="124">
        <f>+'Invullen groen'!AW791</f>
        <v/>
      </c>
      <c r="J781" s="124">
        <f>+'Invullen groen'!AX791</f>
        <v/>
      </c>
      <c r="K781" s="124">
        <f>+'Invullen groen'!AY791</f>
        <v/>
      </c>
      <c r="L781" s="124">
        <f>+'Invullen groen'!AZ791</f>
        <v/>
      </c>
      <c r="M781" s="124">
        <f>+'Invullen groen'!BA791</f>
        <v/>
      </c>
      <c r="N781" s="124">
        <f>+'Invullen groen'!BB791</f>
        <v/>
      </c>
      <c r="O781" s="124">
        <f>+'Invullen groen'!BC791</f>
        <v/>
      </c>
      <c r="P781" s="124">
        <f>+'Invullen groen'!BD791</f>
        <v/>
      </c>
    </row>
    <row r="782">
      <c r="A782" s="113">
        <f>+'Invullen groen'!A792</f>
        <v/>
      </c>
      <c r="B782" s="154">
        <f>+'Invullen groen'!C792</f>
        <v/>
      </c>
      <c r="C782" s="124">
        <f>+'Invullen groen'!G792</f>
        <v/>
      </c>
      <c r="D782" s="113">
        <f>+'Invullen groen'!M792</f>
        <v/>
      </c>
      <c r="E782" s="114">
        <f>+'Invullen groen'!H792</f>
        <v/>
      </c>
      <c r="F782" s="114">
        <f>+'Invullen groen'!I792</f>
        <v/>
      </c>
      <c r="G782" s="114">
        <f>+'Invullen groen'!J792</f>
        <v/>
      </c>
      <c r="H782" s="114">
        <f>+'Invullen groen'!K792</f>
        <v/>
      </c>
      <c r="I782" s="124">
        <f>+'Invullen groen'!AW792</f>
        <v/>
      </c>
      <c r="J782" s="124">
        <f>+'Invullen groen'!AX792</f>
        <v/>
      </c>
      <c r="K782" s="124">
        <f>+'Invullen groen'!AY792</f>
        <v/>
      </c>
      <c r="L782" s="124">
        <f>+'Invullen groen'!AZ792</f>
        <v/>
      </c>
      <c r="M782" s="124">
        <f>+'Invullen groen'!BA792</f>
        <v/>
      </c>
      <c r="N782" s="124">
        <f>+'Invullen groen'!BB792</f>
        <v/>
      </c>
      <c r="O782" s="124">
        <f>+'Invullen groen'!BC792</f>
        <v/>
      </c>
      <c r="P782" s="124">
        <f>+'Invullen groen'!BD792</f>
        <v/>
      </c>
    </row>
    <row r="783">
      <c r="A783" s="113">
        <f>+'Invullen groen'!A793</f>
        <v/>
      </c>
      <c r="B783" s="154">
        <f>+'Invullen groen'!C793</f>
        <v/>
      </c>
      <c r="C783" s="124">
        <f>+'Invullen groen'!G793</f>
        <v/>
      </c>
      <c r="D783" s="113">
        <f>+'Invullen groen'!M793</f>
        <v/>
      </c>
      <c r="E783" s="114">
        <f>+'Invullen groen'!H793</f>
        <v/>
      </c>
      <c r="F783" s="114">
        <f>+'Invullen groen'!I793</f>
        <v/>
      </c>
      <c r="G783" s="114">
        <f>+'Invullen groen'!J793</f>
        <v/>
      </c>
      <c r="H783" s="114">
        <f>+'Invullen groen'!K793</f>
        <v/>
      </c>
      <c r="I783" s="124">
        <f>+'Invullen groen'!AW793</f>
        <v/>
      </c>
      <c r="J783" s="124">
        <f>+'Invullen groen'!AX793</f>
        <v/>
      </c>
      <c r="K783" s="124">
        <f>+'Invullen groen'!AY793</f>
        <v/>
      </c>
      <c r="L783" s="124">
        <f>+'Invullen groen'!AZ793</f>
        <v/>
      </c>
      <c r="M783" s="124">
        <f>+'Invullen groen'!BA793</f>
        <v/>
      </c>
      <c r="N783" s="124">
        <f>+'Invullen groen'!BB793</f>
        <v/>
      </c>
      <c r="O783" s="124">
        <f>+'Invullen groen'!BC793</f>
        <v/>
      </c>
      <c r="P783" s="124">
        <f>+'Invullen groen'!BD793</f>
        <v/>
      </c>
    </row>
    <row r="784">
      <c r="A784" s="113">
        <f>+'Invullen groen'!A794</f>
        <v/>
      </c>
      <c r="B784" s="154">
        <f>+'Invullen groen'!C794</f>
        <v/>
      </c>
      <c r="C784" s="124">
        <f>+'Invullen groen'!G794</f>
        <v/>
      </c>
      <c r="D784" s="113">
        <f>+'Invullen groen'!M794</f>
        <v/>
      </c>
      <c r="E784" s="114">
        <f>+'Invullen groen'!H794</f>
        <v/>
      </c>
      <c r="F784" s="114">
        <f>+'Invullen groen'!I794</f>
        <v/>
      </c>
      <c r="G784" s="114">
        <f>+'Invullen groen'!J794</f>
        <v/>
      </c>
      <c r="H784" s="114">
        <f>+'Invullen groen'!K794</f>
        <v/>
      </c>
      <c r="I784" s="124">
        <f>+'Invullen groen'!AW794</f>
        <v/>
      </c>
      <c r="J784" s="124">
        <f>+'Invullen groen'!AX794</f>
        <v/>
      </c>
      <c r="K784" s="124">
        <f>+'Invullen groen'!AY794</f>
        <v/>
      </c>
      <c r="L784" s="124">
        <f>+'Invullen groen'!AZ794</f>
        <v/>
      </c>
      <c r="M784" s="124">
        <f>+'Invullen groen'!BA794</f>
        <v/>
      </c>
      <c r="N784" s="124">
        <f>+'Invullen groen'!BB794</f>
        <v/>
      </c>
      <c r="O784" s="124">
        <f>+'Invullen groen'!BC794</f>
        <v/>
      </c>
      <c r="P784" s="124">
        <f>+'Invullen groen'!BD794</f>
        <v/>
      </c>
    </row>
    <row r="785">
      <c r="A785" s="113">
        <f>+'Invullen groen'!A795</f>
        <v/>
      </c>
      <c r="B785" s="154">
        <f>+'Invullen groen'!C795</f>
        <v/>
      </c>
      <c r="C785" s="124">
        <f>+'Invullen groen'!G795</f>
        <v/>
      </c>
      <c r="D785" s="113">
        <f>+'Invullen groen'!M795</f>
        <v/>
      </c>
      <c r="E785" s="114">
        <f>+'Invullen groen'!H795</f>
        <v/>
      </c>
      <c r="F785" s="114">
        <f>+'Invullen groen'!I795</f>
        <v/>
      </c>
      <c r="G785" s="114">
        <f>+'Invullen groen'!J795</f>
        <v/>
      </c>
      <c r="H785" s="114">
        <f>+'Invullen groen'!K795</f>
        <v/>
      </c>
      <c r="I785" s="124">
        <f>+'Invullen groen'!AW795</f>
        <v/>
      </c>
      <c r="J785" s="124">
        <f>+'Invullen groen'!AX795</f>
        <v/>
      </c>
      <c r="K785" s="124">
        <f>+'Invullen groen'!AY795</f>
        <v/>
      </c>
      <c r="L785" s="124">
        <f>+'Invullen groen'!AZ795</f>
        <v/>
      </c>
      <c r="M785" s="124">
        <f>+'Invullen groen'!BA795</f>
        <v/>
      </c>
      <c r="N785" s="124">
        <f>+'Invullen groen'!BB795</f>
        <v/>
      </c>
      <c r="O785" s="124">
        <f>+'Invullen groen'!BC795</f>
        <v/>
      </c>
      <c r="P785" s="124">
        <f>+'Invullen groen'!BD795</f>
        <v/>
      </c>
    </row>
    <row r="786">
      <c r="A786" s="113">
        <f>+'Invullen groen'!A796</f>
        <v/>
      </c>
      <c r="B786" s="154">
        <f>+'Invullen groen'!C796</f>
        <v/>
      </c>
      <c r="C786" s="124">
        <f>+'Invullen groen'!G796</f>
        <v/>
      </c>
      <c r="D786" s="113">
        <f>+'Invullen groen'!M796</f>
        <v/>
      </c>
      <c r="E786" s="114">
        <f>+'Invullen groen'!H796</f>
        <v/>
      </c>
      <c r="F786" s="114">
        <f>+'Invullen groen'!I796</f>
        <v/>
      </c>
      <c r="G786" s="114">
        <f>+'Invullen groen'!J796</f>
        <v/>
      </c>
      <c r="H786" s="114">
        <f>+'Invullen groen'!K796</f>
        <v/>
      </c>
      <c r="I786" s="124">
        <f>+'Invullen groen'!AW796</f>
        <v/>
      </c>
      <c r="J786" s="124">
        <f>+'Invullen groen'!AX796</f>
        <v/>
      </c>
      <c r="K786" s="124">
        <f>+'Invullen groen'!AY796</f>
        <v/>
      </c>
      <c r="L786" s="124">
        <f>+'Invullen groen'!AZ796</f>
        <v/>
      </c>
      <c r="M786" s="124">
        <f>+'Invullen groen'!BA796</f>
        <v/>
      </c>
      <c r="N786" s="124">
        <f>+'Invullen groen'!BB796</f>
        <v/>
      </c>
      <c r="O786" s="124">
        <f>+'Invullen groen'!BC796</f>
        <v/>
      </c>
      <c r="P786" s="124">
        <f>+'Invullen groen'!BD796</f>
        <v/>
      </c>
    </row>
    <row r="787">
      <c r="A787" s="113">
        <f>+'Invullen groen'!A797</f>
        <v/>
      </c>
      <c r="B787" s="154">
        <f>+'Invullen groen'!C797</f>
        <v/>
      </c>
      <c r="C787" s="124">
        <f>+'Invullen groen'!G797</f>
        <v/>
      </c>
      <c r="D787" s="113">
        <f>+'Invullen groen'!M797</f>
        <v/>
      </c>
      <c r="E787" s="114">
        <f>+'Invullen groen'!H797</f>
        <v/>
      </c>
      <c r="F787" s="114">
        <f>+'Invullen groen'!I797</f>
        <v/>
      </c>
      <c r="G787" s="114">
        <f>+'Invullen groen'!J797</f>
        <v/>
      </c>
      <c r="H787" s="114">
        <f>+'Invullen groen'!K797</f>
        <v/>
      </c>
      <c r="I787" s="124">
        <f>+'Invullen groen'!AW797</f>
        <v/>
      </c>
      <c r="J787" s="124">
        <f>+'Invullen groen'!AX797</f>
        <v/>
      </c>
      <c r="K787" s="124">
        <f>+'Invullen groen'!AY797</f>
        <v/>
      </c>
      <c r="L787" s="124">
        <f>+'Invullen groen'!AZ797</f>
        <v/>
      </c>
      <c r="M787" s="124">
        <f>+'Invullen groen'!BA797</f>
        <v/>
      </c>
      <c r="N787" s="124">
        <f>+'Invullen groen'!BB797</f>
        <v/>
      </c>
      <c r="O787" s="124">
        <f>+'Invullen groen'!BC797</f>
        <v/>
      </c>
      <c r="P787" s="124">
        <f>+'Invullen groen'!BD797</f>
        <v/>
      </c>
    </row>
    <row r="788">
      <c r="A788" s="113">
        <f>+'Invullen groen'!A798</f>
        <v/>
      </c>
      <c r="B788" s="154">
        <f>+'Invullen groen'!C798</f>
        <v/>
      </c>
      <c r="C788" s="124">
        <f>+'Invullen groen'!G798</f>
        <v/>
      </c>
      <c r="D788" s="113">
        <f>+'Invullen groen'!M798</f>
        <v/>
      </c>
      <c r="E788" s="114">
        <f>+'Invullen groen'!H798</f>
        <v/>
      </c>
      <c r="F788" s="114">
        <f>+'Invullen groen'!I798</f>
        <v/>
      </c>
      <c r="G788" s="114">
        <f>+'Invullen groen'!J798</f>
        <v/>
      </c>
      <c r="H788" s="114">
        <f>+'Invullen groen'!K798</f>
        <v/>
      </c>
      <c r="I788" s="124">
        <f>+'Invullen groen'!AW798</f>
        <v/>
      </c>
      <c r="J788" s="124">
        <f>+'Invullen groen'!AX798</f>
        <v/>
      </c>
      <c r="K788" s="124">
        <f>+'Invullen groen'!AY798</f>
        <v/>
      </c>
      <c r="L788" s="124">
        <f>+'Invullen groen'!AZ798</f>
        <v/>
      </c>
      <c r="M788" s="124">
        <f>+'Invullen groen'!BA798</f>
        <v/>
      </c>
      <c r="N788" s="124">
        <f>+'Invullen groen'!BB798</f>
        <v/>
      </c>
      <c r="O788" s="124">
        <f>+'Invullen groen'!BC798</f>
        <v/>
      </c>
      <c r="P788" s="124">
        <f>+'Invullen groen'!BD798</f>
        <v/>
      </c>
    </row>
    <row r="789">
      <c r="A789" s="113">
        <f>+'Invullen groen'!A799</f>
        <v/>
      </c>
      <c r="B789" s="154">
        <f>+'Invullen groen'!C799</f>
        <v/>
      </c>
      <c r="C789" s="124">
        <f>+'Invullen groen'!G799</f>
        <v/>
      </c>
      <c r="D789" s="113">
        <f>+'Invullen groen'!M799</f>
        <v/>
      </c>
      <c r="E789" s="114">
        <f>+'Invullen groen'!H799</f>
        <v/>
      </c>
      <c r="F789" s="114">
        <f>+'Invullen groen'!I799</f>
        <v/>
      </c>
      <c r="G789" s="114">
        <f>+'Invullen groen'!J799</f>
        <v/>
      </c>
      <c r="H789" s="114">
        <f>+'Invullen groen'!K799</f>
        <v/>
      </c>
      <c r="I789" s="124">
        <f>+'Invullen groen'!AW799</f>
        <v/>
      </c>
      <c r="J789" s="124">
        <f>+'Invullen groen'!AX799</f>
        <v/>
      </c>
      <c r="K789" s="124">
        <f>+'Invullen groen'!AY799</f>
        <v/>
      </c>
      <c r="L789" s="124">
        <f>+'Invullen groen'!AZ799</f>
        <v/>
      </c>
      <c r="M789" s="124">
        <f>+'Invullen groen'!BA799</f>
        <v/>
      </c>
      <c r="N789" s="124">
        <f>+'Invullen groen'!BB799</f>
        <v/>
      </c>
      <c r="O789" s="124">
        <f>+'Invullen groen'!BC799</f>
        <v/>
      </c>
      <c r="P789" s="124">
        <f>+'Invullen groen'!BD799</f>
        <v/>
      </c>
    </row>
    <row r="790">
      <c r="A790" s="113">
        <f>+'Invullen groen'!A800</f>
        <v/>
      </c>
      <c r="B790" s="154">
        <f>+'Invullen groen'!C800</f>
        <v/>
      </c>
      <c r="C790" s="124">
        <f>+'Invullen groen'!G800</f>
        <v/>
      </c>
      <c r="D790" s="113">
        <f>+'Invullen groen'!M800</f>
        <v/>
      </c>
      <c r="E790" s="114">
        <f>+'Invullen groen'!H800</f>
        <v/>
      </c>
      <c r="F790" s="114">
        <f>+'Invullen groen'!I800</f>
        <v/>
      </c>
      <c r="G790" s="114">
        <f>+'Invullen groen'!J800</f>
        <v/>
      </c>
      <c r="H790" s="114">
        <f>+'Invullen groen'!K800</f>
        <v/>
      </c>
      <c r="I790" s="124">
        <f>+'Invullen groen'!AW800</f>
        <v/>
      </c>
      <c r="J790" s="124">
        <f>+'Invullen groen'!AX800</f>
        <v/>
      </c>
      <c r="K790" s="124">
        <f>+'Invullen groen'!AY800</f>
        <v/>
      </c>
      <c r="L790" s="124">
        <f>+'Invullen groen'!AZ800</f>
        <v/>
      </c>
      <c r="M790" s="124">
        <f>+'Invullen groen'!BA800</f>
        <v/>
      </c>
      <c r="N790" s="124">
        <f>+'Invullen groen'!BB800</f>
        <v/>
      </c>
      <c r="O790" s="124">
        <f>+'Invullen groen'!BC800</f>
        <v/>
      </c>
      <c r="P790" s="124">
        <f>+'Invullen groen'!BD800</f>
        <v/>
      </c>
    </row>
    <row r="791">
      <c r="A791" s="113">
        <f>+'Invullen groen'!A801</f>
        <v/>
      </c>
      <c r="B791" s="154">
        <f>+'Invullen groen'!C801</f>
        <v/>
      </c>
      <c r="C791" s="124">
        <f>+'Invullen groen'!G801</f>
        <v/>
      </c>
      <c r="D791" s="113">
        <f>+'Invullen groen'!M801</f>
        <v/>
      </c>
      <c r="E791" s="114">
        <f>+'Invullen groen'!H801</f>
        <v/>
      </c>
      <c r="F791" s="114">
        <f>+'Invullen groen'!I801</f>
        <v/>
      </c>
      <c r="G791" s="114">
        <f>+'Invullen groen'!J801</f>
        <v/>
      </c>
      <c r="H791" s="114">
        <f>+'Invullen groen'!K801</f>
        <v/>
      </c>
      <c r="I791" s="124">
        <f>+'Invullen groen'!AW801</f>
        <v/>
      </c>
      <c r="J791" s="124">
        <f>+'Invullen groen'!AX801</f>
        <v/>
      </c>
      <c r="K791" s="124">
        <f>+'Invullen groen'!AY801</f>
        <v/>
      </c>
      <c r="L791" s="124">
        <f>+'Invullen groen'!AZ801</f>
        <v/>
      </c>
      <c r="M791" s="124">
        <f>+'Invullen groen'!BA801</f>
        <v/>
      </c>
      <c r="N791" s="124">
        <f>+'Invullen groen'!BB801</f>
        <v/>
      </c>
      <c r="O791" s="124">
        <f>+'Invullen groen'!BC801</f>
        <v/>
      </c>
      <c r="P791" s="124">
        <f>+'Invullen groen'!BD801</f>
        <v/>
      </c>
    </row>
    <row r="792">
      <c r="A792" s="113">
        <f>+'Invullen groen'!A802</f>
        <v/>
      </c>
      <c r="B792" s="154">
        <f>+'Invullen groen'!C802</f>
        <v/>
      </c>
      <c r="C792" s="124">
        <f>+'Invullen groen'!G802</f>
        <v/>
      </c>
      <c r="D792" s="113">
        <f>+'Invullen groen'!M802</f>
        <v/>
      </c>
      <c r="E792" s="114">
        <f>+'Invullen groen'!H802</f>
        <v/>
      </c>
      <c r="F792" s="114">
        <f>+'Invullen groen'!I802</f>
        <v/>
      </c>
      <c r="G792" s="114">
        <f>+'Invullen groen'!J802</f>
        <v/>
      </c>
      <c r="H792" s="114">
        <f>+'Invullen groen'!K802</f>
        <v/>
      </c>
      <c r="I792" s="124">
        <f>+'Invullen groen'!AW802</f>
        <v/>
      </c>
      <c r="J792" s="124">
        <f>+'Invullen groen'!AX802</f>
        <v/>
      </c>
      <c r="K792" s="124">
        <f>+'Invullen groen'!AY802</f>
        <v/>
      </c>
      <c r="L792" s="124">
        <f>+'Invullen groen'!AZ802</f>
        <v/>
      </c>
      <c r="M792" s="124">
        <f>+'Invullen groen'!BA802</f>
        <v/>
      </c>
      <c r="N792" s="124">
        <f>+'Invullen groen'!BB802</f>
        <v/>
      </c>
      <c r="O792" s="124">
        <f>+'Invullen groen'!BC802</f>
        <v/>
      </c>
      <c r="P792" s="124">
        <f>+'Invullen groen'!BD802</f>
        <v/>
      </c>
    </row>
    <row r="793">
      <c r="A793" s="113">
        <f>+'Invullen groen'!A803</f>
        <v/>
      </c>
      <c r="B793" s="154">
        <f>+'Invullen groen'!C803</f>
        <v/>
      </c>
      <c r="C793" s="124">
        <f>+'Invullen groen'!G803</f>
        <v/>
      </c>
      <c r="D793" s="113">
        <f>+'Invullen groen'!M803</f>
        <v/>
      </c>
      <c r="E793" s="114">
        <f>+'Invullen groen'!H803</f>
        <v/>
      </c>
      <c r="F793" s="114">
        <f>+'Invullen groen'!I803</f>
        <v/>
      </c>
      <c r="G793" s="114">
        <f>+'Invullen groen'!J803</f>
        <v/>
      </c>
      <c r="H793" s="114">
        <f>+'Invullen groen'!K803</f>
        <v/>
      </c>
      <c r="I793" s="124">
        <f>+'Invullen groen'!AW803</f>
        <v/>
      </c>
      <c r="J793" s="124">
        <f>+'Invullen groen'!AX803</f>
        <v/>
      </c>
      <c r="K793" s="124">
        <f>+'Invullen groen'!AY803</f>
        <v/>
      </c>
      <c r="L793" s="124">
        <f>+'Invullen groen'!AZ803</f>
        <v/>
      </c>
      <c r="M793" s="124">
        <f>+'Invullen groen'!BA803</f>
        <v/>
      </c>
      <c r="N793" s="124">
        <f>+'Invullen groen'!BB803</f>
        <v/>
      </c>
      <c r="O793" s="124">
        <f>+'Invullen groen'!BC803</f>
        <v/>
      </c>
      <c r="P793" s="124">
        <f>+'Invullen groen'!BD803</f>
        <v/>
      </c>
    </row>
    <row r="794">
      <c r="A794" s="113">
        <f>+'Invullen groen'!A804</f>
        <v/>
      </c>
      <c r="B794" s="154">
        <f>+'Invullen groen'!C804</f>
        <v/>
      </c>
      <c r="C794" s="124">
        <f>+'Invullen groen'!G804</f>
        <v/>
      </c>
      <c r="D794" s="113">
        <f>+'Invullen groen'!M804</f>
        <v/>
      </c>
      <c r="E794" s="114">
        <f>+'Invullen groen'!H804</f>
        <v/>
      </c>
      <c r="F794" s="114">
        <f>+'Invullen groen'!I804</f>
        <v/>
      </c>
      <c r="G794" s="114">
        <f>+'Invullen groen'!J804</f>
        <v/>
      </c>
      <c r="H794" s="114">
        <f>+'Invullen groen'!K804</f>
        <v/>
      </c>
      <c r="I794" s="124">
        <f>+'Invullen groen'!AW804</f>
        <v/>
      </c>
      <c r="J794" s="124">
        <f>+'Invullen groen'!AX804</f>
        <v/>
      </c>
      <c r="K794" s="124">
        <f>+'Invullen groen'!AY804</f>
        <v/>
      </c>
      <c r="L794" s="124">
        <f>+'Invullen groen'!AZ804</f>
        <v/>
      </c>
      <c r="M794" s="124">
        <f>+'Invullen groen'!BA804</f>
        <v/>
      </c>
      <c r="N794" s="124">
        <f>+'Invullen groen'!BB804</f>
        <v/>
      </c>
      <c r="O794" s="124">
        <f>+'Invullen groen'!BC804</f>
        <v/>
      </c>
      <c r="P794" s="124">
        <f>+'Invullen groen'!BD804</f>
        <v/>
      </c>
    </row>
    <row r="795">
      <c r="A795" s="113">
        <f>+'Invullen groen'!A805</f>
        <v/>
      </c>
      <c r="B795" s="154">
        <f>+'Invullen groen'!C805</f>
        <v/>
      </c>
      <c r="C795" s="124">
        <f>+'Invullen groen'!G805</f>
        <v/>
      </c>
      <c r="D795" s="113">
        <f>+'Invullen groen'!M805</f>
        <v/>
      </c>
      <c r="E795" s="114">
        <f>+'Invullen groen'!H805</f>
        <v/>
      </c>
      <c r="F795" s="114">
        <f>+'Invullen groen'!I805</f>
        <v/>
      </c>
      <c r="G795" s="114">
        <f>+'Invullen groen'!J805</f>
        <v/>
      </c>
      <c r="H795" s="114">
        <f>+'Invullen groen'!K805</f>
        <v/>
      </c>
      <c r="I795" s="124">
        <f>+'Invullen groen'!AW805</f>
        <v/>
      </c>
      <c r="J795" s="124">
        <f>+'Invullen groen'!AX805</f>
        <v/>
      </c>
      <c r="K795" s="124">
        <f>+'Invullen groen'!AY805</f>
        <v/>
      </c>
      <c r="L795" s="124">
        <f>+'Invullen groen'!AZ805</f>
        <v/>
      </c>
      <c r="M795" s="124">
        <f>+'Invullen groen'!BA805</f>
        <v/>
      </c>
      <c r="N795" s="124">
        <f>+'Invullen groen'!BB805</f>
        <v/>
      </c>
      <c r="O795" s="124">
        <f>+'Invullen groen'!BC805</f>
        <v/>
      </c>
      <c r="P795" s="124">
        <f>+'Invullen groen'!BD805</f>
        <v/>
      </c>
    </row>
    <row r="796">
      <c r="A796" s="113">
        <f>+'Invullen groen'!A806</f>
        <v/>
      </c>
      <c r="B796" s="154">
        <f>+'Invullen groen'!C806</f>
        <v/>
      </c>
      <c r="C796" s="124">
        <f>+'Invullen groen'!G806</f>
        <v/>
      </c>
      <c r="D796" s="113">
        <f>+'Invullen groen'!M806</f>
        <v/>
      </c>
      <c r="E796" s="114">
        <f>+'Invullen groen'!H806</f>
        <v/>
      </c>
      <c r="F796" s="114">
        <f>+'Invullen groen'!I806</f>
        <v/>
      </c>
      <c r="G796" s="114">
        <f>+'Invullen groen'!J806</f>
        <v/>
      </c>
      <c r="H796" s="114">
        <f>+'Invullen groen'!K806</f>
        <v/>
      </c>
      <c r="I796" s="124">
        <f>+'Invullen groen'!AW806</f>
        <v/>
      </c>
      <c r="J796" s="124">
        <f>+'Invullen groen'!AX806</f>
        <v/>
      </c>
      <c r="K796" s="124">
        <f>+'Invullen groen'!AY806</f>
        <v/>
      </c>
      <c r="L796" s="124">
        <f>+'Invullen groen'!AZ806</f>
        <v/>
      </c>
      <c r="M796" s="124">
        <f>+'Invullen groen'!BA806</f>
        <v/>
      </c>
      <c r="N796" s="124">
        <f>+'Invullen groen'!BB806</f>
        <v/>
      </c>
      <c r="O796" s="124">
        <f>+'Invullen groen'!BC806</f>
        <v/>
      </c>
      <c r="P796" s="124">
        <f>+'Invullen groen'!BD806</f>
        <v/>
      </c>
    </row>
    <row r="797">
      <c r="A797" s="113">
        <f>+'Invullen groen'!A807</f>
        <v/>
      </c>
      <c r="B797" s="154">
        <f>+'Invullen groen'!C807</f>
        <v/>
      </c>
      <c r="C797" s="124">
        <f>+'Invullen groen'!G807</f>
        <v/>
      </c>
      <c r="D797" s="113">
        <f>+'Invullen groen'!M807</f>
        <v/>
      </c>
      <c r="E797" s="114">
        <f>+'Invullen groen'!H807</f>
        <v/>
      </c>
      <c r="F797" s="114">
        <f>+'Invullen groen'!I807</f>
        <v/>
      </c>
      <c r="G797" s="114">
        <f>+'Invullen groen'!J807</f>
        <v/>
      </c>
      <c r="H797" s="114">
        <f>+'Invullen groen'!K807</f>
        <v/>
      </c>
      <c r="I797" s="124">
        <f>+'Invullen groen'!AW807</f>
        <v/>
      </c>
      <c r="J797" s="124">
        <f>+'Invullen groen'!AX807</f>
        <v/>
      </c>
      <c r="K797" s="124">
        <f>+'Invullen groen'!AY807</f>
        <v/>
      </c>
      <c r="L797" s="124">
        <f>+'Invullen groen'!AZ807</f>
        <v/>
      </c>
      <c r="M797" s="124">
        <f>+'Invullen groen'!BA807</f>
        <v/>
      </c>
      <c r="N797" s="124">
        <f>+'Invullen groen'!BB807</f>
        <v/>
      </c>
      <c r="O797" s="124">
        <f>+'Invullen groen'!BC807</f>
        <v/>
      </c>
      <c r="P797" s="124">
        <f>+'Invullen groen'!BD807</f>
        <v/>
      </c>
    </row>
    <row r="798">
      <c r="A798" s="113">
        <f>+'Invullen groen'!A808</f>
        <v/>
      </c>
      <c r="B798" s="154">
        <f>+'Invullen groen'!C808</f>
        <v/>
      </c>
      <c r="C798" s="124">
        <f>+'Invullen groen'!G808</f>
        <v/>
      </c>
      <c r="D798" s="113">
        <f>+'Invullen groen'!M808</f>
        <v/>
      </c>
      <c r="E798" s="114">
        <f>+'Invullen groen'!H808</f>
        <v/>
      </c>
      <c r="F798" s="114">
        <f>+'Invullen groen'!I808</f>
        <v/>
      </c>
      <c r="G798" s="114">
        <f>+'Invullen groen'!J808</f>
        <v/>
      </c>
      <c r="H798" s="114">
        <f>+'Invullen groen'!K808</f>
        <v/>
      </c>
      <c r="I798" s="124">
        <f>+'Invullen groen'!AW808</f>
        <v/>
      </c>
      <c r="J798" s="124">
        <f>+'Invullen groen'!AX808</f>
        <v/>
      </c>
      <c r="K798" s="124">
        <f>+'Invullen groen'!AY808</f>
        <v/>
      </c>
      <c r="L798" s="124">
        <f>+'Invullen groen'!AZ808</f>
        <v/>
      </c>
      <c r="M798" s="124">
        <f>+'Invullen groen'!BA808</f>
        <v/>
      </c>
      <c r="N798" s="124">
        <f>+'Invullen groen'!BB808</f>
        <v/>
      </c>
      <c r="O798" s="124">
        <f>+'Invullen groen'!BC808</f>
        <v/>
      </c>
      <c r="P798" s="124">
        <f>+'Invullen groen'!BD808</f>
        <v/>
      </c>
    </row>
    <row r="799">
      <c r="A799" s="113">
        <f>+'Invullen groen'!A809</f>
        <v/>
      </c>
      <c r="B799" s="154">
        <f>+'Invullen groen'!C809</f>
        <v/>
      </c>
      <c r="C799" s="124">
        <f>+'Invullen groen'!G809</f>
        <v/>
      </c>
      <c r="D799" s="113">
        <f>+'Invullen groen'!M809</f>
        <v/>
      </c>
      <c r="E799" s="114">
        <f>+'Invullen groen'!H809</f>
        <v/>
      </c>
      <c r="F799" s="114">
        <f>+'Invullen groen'!I809</f>
        <v/>
      </c>
      <c r="G799" s="114">
        <f>+'Invullen groen'!J809</f>
        <v/>
      </c>
      <c r="H799" s="114">
        <f>+'Invullen groen'!K809</f>
        <v/>
      </c>
      <c r="I799" s="124">
        <f>+'Invullen groen'!AW809</f>
        <v/>
      </c>
      <c r="J799" s="124">
        <f>+'Invullen groen'!AX809</f>
        <v/>
      </c>
      <c r="K799" s="124">
        <f>+'Invullen groen'!AY809</f>
        <v/>
      </c>
      <c r="L799" s="124">
        <f>+'Invullen groen'!AZ809</f>
        <v/>
      </c>
      <c r="M799" s="124">
        <f>+'Invullen groen'!BA809</f>
        <v/>
      </c>
      <c r="N799" s="124">
        <f>+'Invullen groen'!BB809</f>
        <v/>
      </c>
      <c r="O799" s="124">
        <f>+'Invullen groen'!BC809</f>
        <v/>
      </c>
      <c r="P799" s="124">
        <f>+'Invullen groen'!BD809</f>
        <v/>
      </c>
    </row>
    <row r="800">
      <c r="A800" s="113">
        <f>+'Invullen groen'!A810</f>
        <v/>
      </c>
      <c r="B800" s="154">
        <f>+'Invullen groen'!C810</f>
        <v/>
      </c>
      <c r="C800" s="124">
        <f>+'Invullen groen'!G810</f>
        <v/>
      </c>
      <c r="D800" s="113">
        <f>+'Invullen groen'!M810</f>
        <v/>
      </c>
      <c r="E800" s="114">
        <f>+'Invullen groen'!H810</f>
        <v/>
      </c>
      <c r="F800" s="114">
        <f>+'Invullen groen'!I810</f>
        <v/>
      </c>
      <c r="G800" s="114">
        <f>+'Invullen groen'!J810</f>
        <v/>
      </c>
      <c r="H800" s="114">
        <f>+'Invullen groen'!K810</f>
        <v/>
      </c>
      <c r="I800" s="124">
        <f>+'Invullen groen'!AW810</f>
        <v/>
      </c>
      <c r="J800" s="124">
        <f>+'Invullen groen'!AX810</f>
        <v/>
      </c>
      <c r="K800" s="124">
        <f>+'Invullen groen'!AY810</f>
        <v/>
      </c>
      <c r="L800" s="124">
        <f>+'Invullen groen'!AZ810</f>
        <v/>
      </c>
      <c r="M800" s="124">
        <f>+'Invullen groen'!BA810</f>
        <v/>
      </c>
      <c r="N800" s="124">
        <f>+'Invullen groen'!BB810</f>
        <v/>
      </c>
      <c r="O800" s="124">
        <f>+'Invullen groen'!BC810</f>
        <v/>
      </c>
      <c r="P800" s="124">
        <f>+'Invullen groen'!BD810</f>
        <v/>
      </c>
    </row>
    <row r="801">
      <c r="A801" s="113">
        <f>+'Invullen groen'!A811</f>
        <v/>
      </c>
      <c r="B801" s="154">
        <f>+'Invullen groen'!C811</f>
        <v/>
      </c>
      <c r="C801" s="124">
        <f>+'Invullen groen'!G811</f>
        <v/>
      </c>
      <c r="D801" s="113">
        <f>+'Invullen groen'!M811</f>
        <v/>
      </c>
      <c r="E801" s="114">
        <f>+'Invullen groen'!H811</f>
        <v/>
      </c>
      <c r="F801" s="114">
        <f>+'Invullen groen'!I811</f>
        <v/>
      </c>
      <c r="G801" s="114">
        <f>+'Invullen groen'!J811</f>
        <v/>
      </c>
      <c r="H801" s="114">
        <f>+'Invullen groen'!K811</f>
        <v/>
      </c>
      <c r="I801" s="124">
        <f>+'Invullen groen'!AW811</f>
        <v/>
      </c>
      <c r="J801" s="124">
        <f>+'Invullen groen'!AX811</f>
        <v/>
      </c>
      <c r="K801" s="124">
        <f>+'Invullen groen'!AY811</f>
        <v/>
      </c>
      <c r="L801" s="124">
        <f>+'Invullen groen'!AZ811</f>
        <v/>
      </c>
      <c r="M801" s="124">
        <f>+'Invullen groen'!BA811</f>
        <v/>
      </c>
      <c r="N801" s="124">
        <f>+'Invullen groen'!BB811</f>
        <v/>
      </c>
      <c r="O801" s="124">
        <f>+'Invullen groen'!BC811</f>
        <v/>
      </c>
      <c r="P801" s="124">
        <f>+'Invullen groen'!BD811</f>
        <v/>
      </c>
    </row>
    <row r="802">
      <c r="A802" s="113">
        <f>+'Invullen groen'!A812</f>
        <v/>
      </c>
      <c r="B802" s="154">
        <f>+'Invullen groen'!C812</f>
        <v/>
      </c>
      <c r="C802" s="124">
        <f>+'Invullen groen'!G812</f>
        <v/>
      </c>
      <c r="D802" s="113">
        <f>+'Invullen groen'!M812</f>
        <v/>
      </c>
      <c r="E802" s="114">
        <f>+'Invullen groen'!H812</f>
        <v/>
      </c>
      <c r="F802" s="114">
        <f>+'Invullen groen'!I812</f>
        <v/>
      </c>
      <c r="G802" s="114">
        <f>+'Invullen groen'!J812</f>
        <v/>
      </c>
      <c r="H802" s="114">
        <f>+'Invullen groen'!K812</f>
        <v/>
      </c>
      <c r="I802" s="124">
        <f>+'Invullen groen'!AW812</f>
        <v/>
      </c>
      <c r="J802" s="124">
        <f>+'Invullen groen'!AX812</f>
        <v/>
      </c>
      <c r="K802" s="124">
        <f>+'Invullen groen'!AY812</f>
        <v/>
      </c>
      <c r="L802" s="124">
        <f>+'Invullen groen'!AZ812</f>
        <v/>
      </c>
      <c r="M802" s="124">
        <f>+'Invullen groen'!BA812</f>
        <v/>
      </c>
      <c r="N802" s="124">
        <f>+'Invullen groen'!BB812</f>
        <v/>
      </c>
      <c r="O802" s="124">
        <f>+'Invullen groen'!BC812</f>
        <v/>
      </c>
      <c r="P802" s="124">
        <f>+'Invullen groen'!BD812</f>
        <v/>
      </c>
    </row>
    <row r="803">
      <c r="A803" s="113">
        <f>+'Invullen groen'!A813</f>
        <v/>
      </c>
      <c r="B803" s="154">
        <f>+'Invullen groen'!C813</f>
        <v/>
      </c>
      <c r="C803" s="124">
        <f>+'Invullen groen'!G813</f>
        <v/>
      </c>
      <c r="D803" s="113">
        <f>+'Invullen groen'!M813</f>
        <v/>
      </c>
      <c r="E803" s="114">
        <f>+'Invullen groen'!H813</f>
        <v/>
      </c>
      <c r="F803" s="114">
        <f>+'Invullen groen'!I813</f>
        <v/>
      </c>
      <c r="G803" s="114">
        <f>+'Invullen groen'!J813</f>
        <v/>
      </c>
      <c r="H803" s="114">
        <f>+'Invullen groen'!K813</f>
        <v/>
      </c>
      <c r="I803" s="124">
        <f>+'Invullen groen'!AW813</f>
        <v/>
      </c>
      <c r="J803" s="124">
        <f>+'Invullen groen'!AX813</f>
        <v/>
      </c>
      <c r="K803" s="124">
        <f>+'Invullen groen'!AY813</f>
        <v/>
      </c>
      <c r="L803" s="124">
        <f>+'Invullen groen'!AZ813</f>
        <v/>
      </c>
      <c r="M803" s="124">
        <f>+'Invullen groen'!BA813</f>
        <v/>
      </c>
      <c r="N803" s="124">
        <f>+'Invullen groen'!BB813</f>
        <v/>
      </c>
      <c r="O803" s="124">
        <f>+'Invullen groen'!BC813</f>
        <v/>
      </c>
      <c r="P803" s="124">
        <f>+'Invullen groen'!BD813</f>
        <v/>
      </c>
    </row>
    <row r="804">
      <c r="A804" s="113">
        <f>+'Invullen groen'!A814</f>
        <v/>
      </c>
      <c r="B804" s="154">
        <f>+'Invullen groen'!C814</f>
        <v/>
      </c>
      <c r="C804" s="124">
        <f>+'Invullen groen'!G814</f>
        <v/>
      </c>
      <c r="D804" s="113">
        <f>+'Invullen groen'!M814</f>
        <v/>
      </c>
      <c r="E804" s="114">
        <f>+'Invullen groen'!H814</f>
        <v/>
      </c>
      <c r="F804" s="114">
        <f>+'Invullen groen'!I814</f>
        <v/>
      </c>
      <c r="G804" s="114">
        <f>+'Invullen groen'!J814</f>
        <v/>
      </c>
      <c r="H804" s="114">
        <f>+'Invullen groen'!K814</f>
        <v/>
      </c>
      <c r="I804" s="124">
        <f>+'Invullen groen'!AW814</f>
        <v/>
      </c>
      <c r="J804" s="124">
        <f>+'Invullen groen'!AX814</f>
        <v/>
      </c>
      <c r="K804" s="124">
        <f>+'Invullen groen'!AY814</f>
        <v/>
      </c>
      <c r="L804" s="124">
        <f>+'Invullen groen'!AZ814</f>
        <v/>
      </c>
      <c r="M804" s="124">
        <f>+'Invullen groen'!BA814</f>
        <v/>
      </c>
      <c r="N804" s="124">
        <f>+'Invullen groen'!BB814</f>
        <v/>
      </c>
      <c r="O804" s="124">
        <f>+'Invullen groen'!BC814</f>
        <v/>
      </c>
      <c r="P804" s="124">
        <f>+'Invullen groen'!BD814</f>
        <v/>
      </c>
    </row>
    <row r="805">
      <c r="A805" s="113">
        <f>+'Invullen groen'!A815</f>
        <v/>
      </c>
      <c r="B805" s="154">
        <f>+'Invullen groen'!C815</f>
        <v/>
      </c>
      <c r="C805" s="124">
        <f>+'Invullen groen'!G815</f>
        <v/>
      </c>
      <c r="D805" s="113">
        <f>+'Invullen groen'!M815</f>
        <v/>
      </c>
      <c r="E805" s="114">
        <f>+'Invullen groen'!H815</f>
        <v/>
      </c>
      <c r="F805" s="114">
        <f>+'Invullen groen'!I815</f>
        <v/>
      </c>
      <c r="G805" s="114">
        <f>+'Invullen groen'!J815</f>
        <v/>
      </c>
      <c r="H805" s="114">
        <f>+'Invullen groen'!K815</f>
        <v/>
      </c>
      <c r="I805" s="124">
        <f>+'Invullen groen'!AW815</f>
        <v/>
      </c>
      <c r="J805" s="124">
        <f>+'Invullen groen'!AX815</f>
        <v/>
      </c>
      <c r="K805" s="124">
        <f>+'Invullen groen'!AY815</f>
        <v/>
      </c>
      <c r="L805" s="124">
        <f>+'Invullen groen'!AZ815</f>
        <v/>
      </c>
      <c r="M805" s="124">
        <f>+'Invullen groen'!BA815</f>
        <v/>
      </c>
      <c r="N805" s="124">
        <f>+'Invullen groen'!BB815</f>
        <v/>
      </c>
      <c r="O805" s="124">
        <f>+'Invullen groen'!BC815</f>
        <v/>
      </c>
      <c r="P805" s="124">
        <f>+'Invullen groen'!BD815</f>
        <v/>
      </c>
    </row>
    <row r="806">
      <c r="A806" s="113">
        <f>+'Invullen groen'!A816</f>
        <v/>
      </c>
      <c r="B806" s="154">
        <f>+'Invullen groen'!C816</f>
        <v/>
      </c>
      <c r="C806" s="124">
        <f>+'Invullen groen'!G816</f>
        <v/>
      </c>
      <c r="D806" s="113">
        <f>+'Invullen groen'!M816</f>
        <v/>
      </c>
      <c r="E806" s="114">
        <f>+'Invullen groen'!H816</f>
        <v/>
      </c>
      <c r="F806" s="114">
        <f>+'Invullen groen'!I816</f>
        <v/>
      </c>
      <c r="G806" s="114">
        <f>+'Invullen groen'!J816</f>
        <v/>
      </c>
      <c r="H806" s="114">
        <f>+'Invullen groen'!K816</f>
        <v/>
      </c>
      <c r="I806" s="124">
        <f>+'Invullen groen'!AW816</f>
        <v/>
      </c>
      <c r="J806" s="124">
        <f>+'Invullen groen'!AX816</f>
        <v/>
      </c>
      <c r="K806" s="124">
        <f>+'Invullen groen'!AY816</f>
        <v/>
      </c>
      <c r="L806" s="124">
        <f>+'Invullen groen'!AZ816</f>
        <v/>
      </c>
      <c r="M806" s="124">
        <f>+'Invullen groen'!BA816</f>
        <v/>
      </c>
      <c r="N806" s="124">
        <f>+'Invullen groen'!BB816</f>
        <v/>
      </c>
      <c r="O806" s="124">
        <f>+'Invullen groen'!BC816</f>
        <v/>
      </c>
      <c r="P806" s="124">
        <f>+'Invullen groen'!BD816</f>
        <v/>
      </c>
    </row>
    <row r="807">
      <c r="A807" s="113">
        <f>+'Invullen groen'!A817</f>
        <v/>
      </c>
      <c r="B807" s="154">
        <f>+'Invullen groen'!C817</f>
        <v/>
      </c>
      <c r="C807" s="124">
        <f>+'Invullen groen'!G817</f>
        <v/>
      </c>
      <c r="D807" s="113">
        <f>+'Invullen groen'!M817</f>
        <v/>
      </c>
      <c r="E807" s="114">
        <f>+'Invullen groen'!H817</f>
        <v/>
      </c>
      <c r="F807" s="114">
        <f>+'Invullen groen'!I817</f>
        <v/>
      </c>
      <c r="G807" s="114">
        <f>+'Invullen groen'!J817</f>
        <v/>
      </c>
      <c r="H807" s="114">
        <f>+'Invullen groen'!K817</f>
        <v/>
      </c>
      <c r="I807" s="124">
        <f>+'Invullen groen'!AW817</f>
        <v/>
      </c>
      <c r="J807" s="124">
        <f>+'Invullen groen'!AX817</f>
        <v/>
      </c>
      <c r="K807" s="124">
        <f>+'Invullen groen'!AY817</f>
        <v/>
      </c>
      <c r="L807" s="124">
        <f>+'Invullen groen'!AZ817</f>
        <v/>
      </c>
      <c r="M807" s="124">
        <f>+'Invullen groen'!BA817</f>
        <v/>
      </c>
      <c r="N807" s="124">
        <f>+'Invullen groen'!BB817</f>
        <v/>
      </c>
      <c r="O807" s="124">
        <f>+'Invullen groen'!BC817</f>
        <v/>
      </c>
      <c r="P807" s="124">
        <f>+'Invullen groen'!BD817</f>
        <v/>
      </c>
    </row>
    <row r="808">
      <c r="A808" s="113">
        <f>+'Invullen groen'!A818</f>
        <v/>
      </c>
      <c r="B808" s="154">
        <f>+'Invullen groen'!C818</f>
        <v/>
      </c>
      <c r="C808" s="124">
        <f>+'Invullen groen'!G818</f>
        <v/>
      </c>
      <c r="D808" s="113">
        <f>+'Invullen groen'!M818</f>
        <v/>
      </c>
      <c r="E808" s="114">
        <f>+'Invullen groen'!H818</f>
        <v/>
      </c>
      <c r="F808" s="114">
        <f>+'Invullen groen'!I818</f>
        <v/>
      </c>
      <c r="G808" s="114">
        <f>+'Invullen groen'!J818</f>
        <v/>
      </c>
      <c r="H808" s="114">
        <f>+'Invullen groen'!K818</f>
        <v/>
      </c>
      <c r="I808" s="124">
        <f>+'Invullen groen'!AW818</f>
        <v/>
      </c>
      <c r="J808" s="124">
        <f>+'Invullen groen'!AX818</f>
        <v/>
      </c>
      <c r="K808" s="124">
        <f>+'Invullen groen'!AY818</f>
        <v/>
      </c>
      <c r="L808" s="124">
        <f>+'Invullen groen'!AZ818</f>
        <v/>
      </c>
      <c r="M808" s="124">
        <f>+'Invullen groen'!BA818</f>
        <v/>
      </c>
      <c r="N808" s="124">
        <f>+'Invullen groen'!BB818</f>
        <v/>
      </c>
      <c r="O808" s="124">
        <f>+'Invullen groen'!BC818</f>
        <v/>
      </c>
      <c r="P808" s="124">
        <f>+'Invullen groen'!BD818</f>
        <v/>
      </c>
    </row>
    <row r="809">
      <c r="A809" s="113">
        <f>+'Invullen groen'!A819</f>
        <v/>
      </c>
      <c r="B809" s="154">
        <f>+'Invullen groen'!C819</f>
        <v/>
      </c>
      <c r="C809" s="124">
        <f>+'Invullen groen'!G819</f>
        <v/>
      </c>
      <c r="D809" s="113">
        <f>+'Invullen groen'!M819</f>
        <v/>
      </c>
      <c r="E809" s="114">
        <f>+'Invullen groen'!H819</f>
        <v/>
      </c>
      <c r="F809" s="114">
        <f>+'Invullen groen'!I819</f>
        <v/>
      </c>
      <c r="G809" s="114">
        <f>+'Invullen groen'!J819</f>
        <v/>
      </c>
      <c r="H809" s="114">
        <f>+'Invullen groen'!K819</f>
        <v/>
      </c>
      <c r="I809" s="124">
        <f>+'Invullen groen'!AW819</f>
        <v/>
      </c>
      <c r="J809" s="124">
        <f>+'Invullen groen'!AX819</f>
        <v/>
      </c>
      <c r="K809" s="124">
        <f>+'Invullen groen'!AY819</f>
        <v/>
      </c>
      <c r="L809" s="124">
        <f>+'Invullen groen'!AZ819</f>
        <v/>
      </c>
      <c r="M809" s="124">
        <f>+'Invullen groen'!BA819</f>
        <v/>
      </c>
      <c r="N809" s="124">
        <f>+'Invullen groen'!BB819</f>
        <v/>
      </c>
      <c r="O809" s="124">
        <f>+'Invullen groen'!BC819</f>
        <v/>
      </c>
      <c r="P809" s="124">
        <f>+'Invullen groen'!BD819</f>
        <v/>
      </c>
    </row>
    <row r="810">
      <c r="A810" s="113">
        <f>+'Invullen groen'!A820</f>
        <v/>
      </c>
      <c r="B810" s="154">
        <f>+'Invullen groen'!C820</f>
        <v/>
      </c>
      <c r="C810" s="124">
        <f>+'Invullen groen'!G820</f>
        <v/>
      </c>
      <c r="D810" s="113">
        <f>+'Invullen groen'!M820</f>
        <v/>
      </c>
      <c r="E810" s="114">
        <f>+'Invullen groen'!H820</f>
        <v/>
      </c>
      <c r="F810" s="114">
        <f>+'Invullen groen'!I820</f>
        <v/>
      </c>
      <c r="G810" s="114">
        <f>+'Invullen groen'!J820</f>
        <v/>
      </c>
      <c r="H810" s="114">
        <f>+'Invullen groen'!K820</f>
        <v/>
      </c>
      <c r="I810" s="124">
        <f>+'Invullen groen'!AW820</f>
        <v/>
      </c>
      <c r="J810" s="124">
        <f>+'Invullen groen'!AX820</f>
        <v/>
      </c>
      <c r="K810" s="124">
        <f>+'Invullen groen'!AY820</f>
        <v/>
      </c>
      <c r="L810" s="124">
        <f>+'Invullen groen'!AZ820</f>
        <v/>
      </c>
      <c r="M810" s="124">
        <f>+'Invullen groen'!BA820</f>
        <v/>
      </c>
      <c r="N810" s="124">
        <f>+'Invullen groen'!BB820</f>
        <v/>
      </c>
      <c r="O810" s="124">
        <f>+'Invullen groen'!BC820</f>
        <v/>
      </c>
      <c r="P810" s="124">
        <f>+'Invullen groen'!BD820</f>
        <v/>
      </c>
    </row>
    <row r="811">
      <c r="A811" s="113">
        <f>+'Invullen groen'!A821</f>
        <v/>
      </c>
      <c r="B811" s="154">
        <f>+'Invullen groen'!C821</f>
        <v/>
      </c>
      <c r="C811" s="124">
        <f>+'Invullen groen'!G821</f>
        <v/>
      </c>
      <c r="D811" s="113">
        <f>+'Invullen groen'!M821</f>
        <v/>
      </c>
      <c r="E811" s="114">
        <f>+'Invullen groen'!H821</f>
        <v/>
      </c>
      <c r="F811" s="114">
        <f>+'Invullen groen'!I821</f>
        <v/>
      </c>
      <c r="G811" s="114">
        <f>+'Invullen groen'!J821</f>
        <v/>
      </c>
      <c r="H811" s="114">
        <f>+'Invullen groen'!K821</f>
        <v/>
      </c>
      <c r="I811" s="124">
        <f>+'Invullen groen'!AW821</f>
        <v/>
      </c>
      <c r="J811" s="124">
        <f>+'Invullen groen'!AX821</f>
        <v/>
      </c>
      <c r="K811" s="124">
        <f>+'Invullen groen'!AY821</f>
        <v/>
      </c>
      <c r="L811" s="124">
        <f>+'Invullen groen'!AZ821</f>
        <v/>
      </c>
      <c r="M811" s="124">
        <f>+'Invullen groen'!BA821</f>
        <v/>
      </c>
      <c r="N811" s="124">
        <f>+'Invullen groen'!BB821</f>
        <v/>
      </c>
      <c r="O811" s="124">
        <f>+'Invullen groen'!BC821</f>
        <v/>
      </c>
      <c r="P811" s="124">
        <f>+'Invullen groen'!BD821</f>
        <v/>
      </c>
    </row>
    <row r="812">
      <c r="A812" s="113">
        <f>+'Invullen groen'!A822</f>
        <v/>
      </c>
      <c r="B812" s="154">
        <f>+'Invullen groen'!C822</f>
        <v/>
      </c>
      <c r="C812" s="124">
        <f>+'Invullen groen'!G822</f>
        <v/>
      </c>
      <c r="D812" s="113">
        <f>+'Invullen groen'!M822</f>
        <v/>
      </c>
      <c r="E812" s="114">
        <f>+'Invullen groen'!H822</f>
        <v/>
      </c>
      <c r="F812" s="114">
        <f>+'Invullen groen'!I822</f>
        <v/>
      </c>
      <c r="G812" s="114">
        <f>+'Invullen groen'!J822</f>
        <v/>
      </c>
      <c r="H812" s="114">
        <f>+'Invullen groen'!K822</f>
        <v/>
      </c>
      <c r="I812" s="124">
        <f>+'Invullen groen'!AW822</f>
        <v/>
      </c>
      <c r="J812" s="124">
        <f>+'Invullen groen'!AX822</f>
        <v/>
      </c>
      <c r="K812" s="124">
        <f>+'Invullen groen'!AY822</f>
        <v/>
      </c>
      <c r="L812" s="124">
        <f>+'Invullen groen'!AZ822</f>
        <v/>
      </c>
      <c r="M812" s="124">
        <f>+'Invullen groen'!BA822</f>
        <v/>
      </c>
      <c r="N812" s="124">
        <f>+'Invullen groen'!BB822</f>
        <v/>
      </c>
      <c r="O812" s="124">
        <f>+'Invullen groen'!BC822</f>
        <v/>
      </c>
      <c r="P812" s="124">
        <f>+'Invullen groen'!BD822</f>
        <v/>
      </c>
    </row>
    <row r="813">
      <c r="A813" s="113">
        <f>+'Invullen groen'!A823</f>
        <v/>
      </c>
      <c r="B813" s="154">
        <f>+'Invullen groen'!C823</f>
        <v/>
      </c>
      <c r="C813" s="124">
        <f>+'Invullen groen'!G823</f>
        <v/>
      </c>
      <c r="D813" s="113">
        <f>+'Invullen groen'!M823</f>
        <v/>
      </c>
      <c r="E813" s="114">
        <f>+'Invullen groen'!H823</f>
        <v/>
      </c>
      <c r="F813" s="114">
        <f>+'Invullen groen'!I823</f>
        <v/>
      </c>
      <c r="G813" s="114">
        <f>+'Invullen groen'!J823</f>
        <v/>
      </c>
      <c r="H813" s="114">
        <f>+'Invullen groen'!K823</f>
        <v/>
      </c>
      <c r="I813" s="124">
        <f>+'Invullen groen'!AW823</f>
        <v/>
      </c>
      <c r="J813" s="124">
        <f>+'Invullen groen'!AX823</f>
        <v/>
      </c>
      <c r="K813" s="124">
        <f>+'Invullen groen'!AY823</f>
        <v/>
      </c>
      <c r="L813" s="124">
        <f>+'Invullen groen'!AZ823</f>
        <v/>
      </c>
      <c r="M813" s="124">
        <f>+'Invullen groen'!BA823</f>
        <v/>
      </c>
      <c r="N813" s="124">
        <f>+'Invullen groen'!BB823</f>
        <v/>
      </c>
      <c r="O813" s="124">
        <f>+'Invullen groen'!BC823</f>
        <v/>
      </c>
      <c r="P813" s="124">
        <f>+'Invullen groen'!BD823</f>
        <v/>
      </c>
    </row>
    <row r="814">
      <c r="A814" s="113">
        <f>+'Invullen groen'!A824</f>
        <v/>
      </c>
      <c r="B814" s="154">
        <f>+'Invullen groen'!C824</f>
        <v/>
      </c>
      <c r="C814" s="124">
        <f>+'Invullen groen'!G824</f>
        <v/>
      </c>
      <c r="D814" s="113">
        <f>+'Invullen groen'!M824</f>
        <v/>
      </c>
      <c r="E814" s="114">
        <f>+'Invullen groen'!H824</f>
        <v/>
      </c>
      <c r="F814" s="114">
        <f>+'Invullen groen'!I824</f>
        <v/>
      </c>
      <c r="G814" s="114">
        <f>+'Invullen groen'!J824</f>
        <v/>
      </c>
      <c r="H814" s="114">
        <f>+'Invullen groen'!K824</f>
        <v/>
      </c>
      <c r="I814" s="124">
        <f>+'Invullen groen'!AW824</f>
        <v/>
      </c>
      <c r="J814" s="124">
        <f>+'Invullen groen'!AX824</f>
        <v/>
      </c>
      <c r="K814" s="124">
        <f>+'Invullen groen'!AY824</f>
        <v/>
      </c>
      <c r="L814" s="124">
        <f>+'Invullen groen'!AZ824</f>
        <v/>
      </c>
      <c r="M814" s="124">
        <f>+'Invullen groen'!BA824</f>
        <v/>
      </c>
      <c r="N814" s="124">
        <f>+'Invullen groen'!BB824</f>
        <v/>
      </c>
      <c r="O814" s="124">
        <f>+'Invullen groen'!BC824</f>
        <v/>
      </c>
      <c r="P814" s="124">
        <f>+'Invullen groen'!BD824</f>
        <v/>
      </c>
    </row>
    <row r="815">
      <c r="A815" s="113">
        <f>+'Invullen groen'!A825</f>
        <v/>
      </c>
      <c r="B815" s="154">
        <f>+'Invullen groen'!C825</f>
        <v/>
      </c>
      <c r="C815" s="124">
        <f>+'Invullen groen'!G825</f>
        <v/>
      </c>
      <c r="D815" s="113">
        <f>+'Invullen groen'!M825</f>
        <v/>
      </c>
      <c r="E815" s="114">
        <f>+'Invullen groen'!H825</f>
        <v/>
      </c>
      <c r="F815" s="114">
        <f>+'Invullen groen'!I825</f>
        <v/>
      </c>
      <c r="G815" s="114">
        <f>+'Invullen groen'!J825</f>
        <v/>
      </c>
      <c r="H815" s="114">
        <f>+'Invullen groen'!K825</f>
        <v/>
      </c>
      <c r="I815" s="124">
        <f>+'Invullen groen'!AW825</f>
        <v/>
      </c>
      <c r="J815" s="124">
        <f>+'Invullen groen'!AX825</f>
        <v/>
      </c>
      <c r="K815" s="124">
        <f>+'Invullen groen'!AY825</f>
        <v/>
      </c>
      <c r="L815" s="124">
        <f>+'Invullen groen'!AZ825</f>
        <v/>
      </c>
      <c r="M815" s="124">
        <f>+'Invullen groen'!BA825</f>
        <v/>
      </c>
      <c r="N815" s="124">
        <f>+'Invullen groen'!BB825</f>
        <v/>
      </c>
      <c r="O815" s="124">
        <f>+'Invullen groen'!BC825</f>
        <v/>
      </c>
      <c r="P815" s="124">
        <f>+'Invullen groen'!BD825</f>
        <v/>
      </c>
    </row>
    <row r="816">
      <c r="A816" s="113">
        <f>+'Invullen groen'!A826</f>
        <v/>
      </c>
      <c r="B816" s="154">
        <f>+'Invullen groen'!C826</f>
        <v/>
      </c>
      <c r="C816" s="124">
        <f>+'Invullen groen'!G826</f>
        <v/>
      </c>
      <c r="D816" s="113">
        <f>+'Invullen groen'!M826</f>
        <v/>
      </c>
      <c r="E816" s="114">
        <f>+'Invullen groen'!H826</f>
        <v/>
      </c>
      <c r="F816" s="114">
        <f>+'Invullen groen'!I826</f>
        <v/>
      </c>
      <c r="G816" s="114">
        <f>+'Invullen groen'!J826</f>
        <v/>
      </c>
      <c r="H816" s="114">
        <f>+'Invullen groen'!K826</f>
        <v/>
      </c>
      <c r="I816" s="124">
        <f>+'Invullen groen'!AW826</f>
        <v/>
      </c>
      <c r="J816" s="124">
        <f>+'Invullen groen'!AX826</f>
        <v/>
      </c>
      <c r="K816" s="124">
        <f>+'Invullen groen'!AY826</f>
        <v/>
      </c>
      <c r="L816" s="124">
        <f>+'Invullen groen'!AZ826</f>
        <v/>
      </c>
      <c r="M816" s="124">
        <f>+'Invullen groen'!BA826</f>
        <v/>
      </c>
      <c r="N816" s="124">
        <f>+'Invullen groen'!BB826</f>
        <v/>
      </c>
      <c r="O816" s="124">
        <f>+'Invullen groen'!BC826</f>
        <v/>
      </c>
      <c r="P816" s="124">
        <f>+'Invullen groen'!BD826</f>
        <v/>
      </c>
    </row>
    <row r="817">
      <c r="A817" s="113">
        <f>+'Invullen groen'!A827</f>
        <v/>
      </c>
      <c r="B817" s="154">
        <f>+'Invullen groen'!C827</f>
        <v/>
      </c>
      <c r="C817" s="124">
        <f>+'Invullen groen'!G827</f>
        <v/>
      </c>
      <c r="D817" s="113">
        <f>+'Invullen groen'!M827</f>
        <v/>
      </c>
      <c r="E817" s="114">
        <f>+'Invullen groen'!H827</f>
        <v/>
      </c>
      <c r="F817" s="114">
        <f>+'Invullen groen'!I827</f>
        <v/>
      </c>
      <c r="G817" s="114">
        <f>+'Invullen groen'!J827</f>
        <v/>
      </c>
      <c r="H817" s="114">
        <f>+'Invullen groen'!K827</f>
        <v/>
      </c>
      <c r="I817" s="124">
        <f>+'Invullen groen'!AW827</f>
        <v/>
      </c>
      <c r="J817" s="124">
        <f>+'Invullen groen'!AX827</f>
        <v/>
      </c>
      <c r="K817" s="124">
        <f>+'Invullen groen'!AY827</f>
        <v/>
      </c>
      <c r="L817" s="124">
        <f>+'Invullen groen'!AZ827</f>
        <v/>
      </c>
      <c r="M817" s="124">
        <f>+'Invullen groen'!BA827</f>
        <v/>
      </c>
      <c r="N817" s="124">
        <f>+'Invullen groen'!BB827</f>
        <v/>
      </c>
      <c r="O817" s="124">
        <f>+'Invullen groen'!BC827</f>
        <v/>
      </c>
      <c r="P817" s="124">
        <f>+'Invullen groen'!BD827</f>
        <v/>
      </c>
    </row>
    <row r="818">
      <c r="A818" s="113">
        <f>+'Invullen groen'!A828</f>
        <v/>
      </c>
      <c r="B818" s="154">
        <f>+'Invullen groen'!C828</f>
        <v/>
      </c>
      <c r="C818" s="124">
        <f>+'Invullen groen'!G828</f>
        <v/>
      </c>
      <c r="D818" s="113">
        <f>+'Invullen groen'!M828</f>
        <v/>
      </c>
      <c r="E818" s="114">
        <f>+'Invullen groen'!H828</f>
        <v/>
      </c>
      <c r="F818" s="114">
        <f>+'Invullen groen'!I828</f>
        <v/>
      </c>
      <c r="G818" s="114">
        <f>+'Invullen groen'!J828</f>
        <v/>
      </c>
      <c r="H818" s="114">
        <f>+'Invullen groen'!K828</f>
        <v/>
      </c>
      <c r="I818" s="124">
        <f>+'Invullen groen'!AW828</f>
        <v/>
      </c>
      <c r="J818" s="124">
        <f>+'Invullen groen'!AX828</f>
        <v/>
      </c>
      <c r="K818" s="124">
        <f>+'Invullen groen'!AY828</f>
        <v/>
      </c>
      <c r="L818" s="124">
        <f>+'Invullen groen'!AZ828</f>
        <v/>
      </c>
      <c r="M818" s="124">
        <f>+'Invullen groen'!BA828</f>
        <v/>
      </c>
      <c r="N818" s="124">
        <f>+'Invullen groen'!BB828</f>
        <v/>
      </c>
      <c r="O818" s="124">
        <f>+'Invullen groen'!BC828</f>
        <v/>
      </c>
      <c r="P818" s="124">
        <f>+'Invullen groen'!BD828</f>
        <v/>
      </c>
    </row>
    <row r="819">
      <c r="A819" s="113">
        <f>+'Invullen groen'!A829</f>
        <v/>
      </c>
      <c r="B819" s="154">
        <f>+'Invullen groen'!C829</f>
        <v/>
      </c>
      <c r="C819" s="124">
        <f>+'Invullen groen'!G829</f>
        <v/>
      </c>
      <c r="D819" s="113">
        <f>+'Invullen groen'!M829</f>
        <v/>
      </c>
      <c r="E819" s="114">
        <f>+'Invullen groen'!H829</f>
        <v/>
      </c>
      <c r="F819" s="114">
        <f>+'Invullen groen'!I829</f>
        <v/>
      </c>
      <c r="G819" s="114">
        <f>+'Invullen groen'!J829</f>
        <v/>
      </c>
      <c r="H819" s="114">
        <f>+'Invullen groen'!K829</f>
        <v/>
      </c>
      <c r="I819" s="124">
        <f>+'Invullen groen'!AW829</f>
        <v/>
      </c>
      <c r="J819" s="124">
        <f>+'Invullen groen'!AX829</f>
        <v/>
      </c>
      <c r="K819" s="124">
        <f>+'Invullen groen'!AY829</f>
        <v/>
      </c>
      <c r="L819" s="124">
        <f>+'Invullen groen'!AZ829</f>
        <v/>
      </c>
      <c r="M819" s="124">
        <f>+'Invullen groen'!BA829</f>
        <v/>
      </c>
      <c r="N819" s="124">
        <f>+'Invullen groen'!BB829</f>
        <v/>
      </c>
      <c r="O819" s="124">
        <f>+'Invullen groen'!BC829</f>
        <v/>
      </c>
      <c r="P819" s="124">
        <f>+'Invullen groen'!BD829</f>
        <v/>
      </c>
    </row>
    <row r="820">
      <c r="A820" s="113">
        <f>+'Invullen groen'!A830</f>
        <v/>
      </c>
      <c r="B820" s="154">
        <f>+'Invullen groen'!C830</f>
        <v/>
      </c>
      <c r="C820" s="124">
        <f>+'Invullen groen'!G830</f>
        <v/>
      </c>
      <c r="D820" s="113">
        <f>+'Invullen groen'!M830</f>
        <v/>
      </c>
      <c r="E820" s="114">
        <f>+'Invullen groen'!H830</f>
        <v/>
      </c>
      <c r="F820" s="114">
        <f>+'Invullen groen'!I830</f>
        <v/>
      </c>
      <c r="G820" s="114">
        <f>+'Invullen groen'!J830</f>
        <v/>
      </c>
      <c r="H820" s="114">
        <f>+'Invullen groen'!K830</f>
        <v/>
      </c>
      <c r="I820" s="124">
        <f>+'Invullen groen'!AW830</f>
        <v/>
      </c>
      <c r="J820" s="124">
        <f>+'Invullen groen'!AX830</f>
        <v/>
      </c>
      <c r="K820" s="124">
        <f>+'Invullen groen'!AY830</f>
        <v/>
      </c>
      <c r="L820" s="124">
        <f>+'Invullen groen'!AZ830</f>
        <v/>
      </c>
      <c r="M820" s="124">
        <f>+'Invullen groen'!BA830</f>
        <v/>
      </c>
      <c r="N820" s="124">
        <f>+'Invullen groen'!BB830</f>
        <v/>
      </c>
      <c r="O820" s="124">
        <f>+'Invullen groen'!BC830</f>
        <v/>
      </c>
      <c r="P820" s="124">
        <f>+'Invullen groen'!BD830</f>
        <v/>
      </c>
    </row>
    <row r="821">
      <c r="A821" s="113">
        <f>+'Invullen groen'!A831</f>
        <v/>
      </c>
      <c r="B821" s="154">
        <f>+'Invullen groen'!C831</f>
        <v/>
      </c>
      <c r="C821" s="124">
        <f>+'Invullen groen'!G831</f>
        <v/>
      </c>
      <c r="D821" s="113">
        <f>+'Invullen groen'!M831</f>
        <v/>
      </c>
      <c r="E821" s="114">
        <f>+'Invullen groen'!H831</f>
        <v/>
      </c>
      <c r="F821" s="114">
        <f>+'Invullen groen'!I831</f>
        <v/>
      </c>
      <c r="G821" s="114">
        <f>+'Invullen groen'!J831</f>
        <v/>
      </c>
      <c r="H821" s="114">
        <f>+'Invullen groen'!K831</f>
        <v/>
      </c>
      <c r="I821" s="124">
        <f>+'Invullen groen'!AW831</f>
        <v/>
      </c>
      <c r="J821" s="124">
        <f>+'Invullen groen'!AX831</f>
        <v/>
      </c>
      <c r="K821" s="124">
        <f>+'Invullen groen'!AY831</f>
        <v/>
      </c>
      <c r="L821" s="124">
        <f>+'Invullen groen'!AZ831</f>
        <v/>
      </c>
      <c r="M821" s="124">
        <f>+'Invullen groen'!BA831</f>
        <v/>
      </c>
      <c r="N821" s="124">
        <f>+'Invullen groen'!BB831</f>
        <v/>
      </c>
      <c r="O821" s="124">
        <f>+'Invullen groen'!BC831</f>
        <v/>
      </c>
      <c r="P821" s="124">
        <f>+'Invullen groen'!BD831</f>
        <v/>
      </c>
    </row>
    <row r="822">
      <c r="A822" s="113">
        <f>+'Invullen groen'!A832</f>
        <v/>
      </c>
      <c r="B822" s="154">
        <f>+'Invullen groen'!C832</f>
        <v/>
      </c>
      <c r="C822" s="124">
        <f>+'Invullen groen'!G832</f>
        <v/>
      </c>
      <c r="D822" s="113">
        <f>+'Invullen groen'!M832</f>
        <v/>
      </c>
      <c r="E822" s="114">
        <f>+'Invullen groen'!H832</f>
        <v/>
      </c>
      <c r="F822" s="114">
        <f>+'Invullen groen'!I832</f>
        <v/>
      </c>
      <c r="G822" s="114">
        <f>+'Invullen groen'!J832</f>
        <v/>
      </c>
      <c r="H822" s="114">
        <f>+'Invullen groen'!K832</f>
        <v/>
      </c>
      <c r="I822" s="124">
        <f>+'Invullen groen'!AW832</f>
        <v/>
      </c>
      <c r="J822" s="124">
        <f>+'Invullen groen'!AX832</f>
        <v/>
      </c>
      <c r="K822" s="124">
        <f>+'Invullen groen'!AY832</f>
        <v/>
      </c>
      <c r="L822" s="124">
        <f>+'Invullen groen'!AZ832</f>
        <v/>
      </c>
      <c r="M822" s="124">
        <f>+'Invullen groen'!BA832</f>
        <v/>
      </c>
      <c r="N822" s="124">
        <f>+'Invullen groen'!BB832</f>
        <v/>
      </c>
      <c r="O822" s="124">
        <f>+'Invullen groen'!BC832</f>
        <v/>
      </c>
      <c r="P822" s="124">
        <f>+'Invullen groen'!BD832</f>
        <v/>
      </c>
    </row>
    <row r="823">
      <c r="A823" s="113">
        <f>+'Invullen groen'!A833</f>
        <v/>
      </c>
      <c r="B823" s="154">
        <f>+'Invullen groen'!C833</f>
        <v/>
      </c>
      <c r="C823" s="124">
        <f>+'Invullen groen'!G833</f>
        <v/>
      </c>
      <c r="D823" s="113">
        <f>+'Invullen groen'!M833</f>
        <v/>
      </c>
      <c r="E823" s="114">
        <f>+'Invullen groen'!H833</f>
        <v/>
      </c>
      <c r="F823" s="114">
        <f>+'Invullen groen'!I833</f>
        <v/>
      </c>
      <c r="G823" s="114">
        <f>+'Invullen groen'!J833</f>
        <v/>
      </c>
      <c r="H823" s="114">
        <f>+'Invullen groen'!K833</f>
        <v/>
      </c>
      <c r="I823" s="124">
        <f>+'Invullen groen'!AW833</f>
        <v/>
      </c>
      <c r="J823" s="124">
        <f>+'Invullen groen'!AX833</f>
        <v/>
      </c>
      <c r="K823" s="124">
        <f>+'Invullen groen'!AY833</f>
        <v/>
      </c>
      <c r="L823" s="124">
        <f>+'Invullen groen'!AZ833</f>
        <v/>
      </c>
      <c r="M823" s="124">
        <f>+'Invullen groen'!BA833</f>
        <v/>
      </c>
      <c r="N823" s="124">
        <f>+'Invullen groen'!BB833</f>
        <v/>
      </c>
      <c r="O823" s="124">
        <f>+'Invullen groen'!BC833</f>
        <v/>
      </c>
      <c r="P823" s="124">
        <f>+'Invullen groen'!BD833</f>
        <v/>
      </c>
    </row>
    <row r="824">
      <c r="A824" s="113">
        <f>+'Invullen groen'!A834</f>
        <v/>
      </c>
      <c r="B824" s="154">
        <f>+'Invullen groen'!C834</f>
        <v/>
      </c>
      <c r="C824" s="124">
        <f>+'Invullen groen'!G834</f>
        <v/>
      </c>
      <c r="D824" s="113">
        <f>+'Invullen groen'!M834</f>
        <v/>
      </c>
      <c r="E824" s="114">
        <f>+'Invullen groen'!H834</f>
        <v/>
      </c>
      <c r="F824" s="114">
        <f>+'Invullen groen'!I834</f>
        <v/>
      </c>
      <c r="G824" s="114">
        <f>+'Invullen groen'!J834</f>
        <v/>
      </c>
      <c r="H824" s="114">
        <f>+'Invullen groen'!K834</f>
        <v/>
      </c>
      <c r="I824" s="124">
        <f>+'Invullen groen'!AW834</f>
        <v/>
      </c>
      <c r="J824" s="124">
        <f>+'Invullen groen'!AX834</f>
        <v/>
      </c>
      <c r="K824" s="124">
        <f>+'Invullen groen'!AY834</f>
        <v/>
      </c>
      <c r="L824" s="124">
        <f>+'Invullen groen'!AZ834</f>
        <v/>
      </c>
      <c r="M824" s="124">
        <f>+'Invullen groen'!BA834</f>
        <v/>
      </c>
      <c r="N824" s="124">
        <f>+'Invullen groen'!BB834</f>
        <v/>
      </c>
      <c r="O824" s="124">
        <f>+'Invullen groen'!BC834</f>
        <v/>
      </c>
      <c r="P824" s="124">
        <f>+'Invullen groen'!BD834</f>
        <v/>
      </c>
    </row>
    <row r="825">
      <c r="A825" s="113">
        <f>+'Invullen groen'!A835</f>
        <v/>
      </c>
      <c r="B825" s="154">
        <f>+'Invullen groen'!C835</f>
        <v/>
      </c>
      <c r="C825" s="124">
        <f>+'Invullen groen'!G835</f>
        <v/>
      </c>
      <c r="D825" s="113">
        <f>+'Invullen groen'!M835</f>
        <v/>
      </c>
      <c r="E825" s="114">
        <f>+'Invullen groen'!H835</f>
        <v/>
      </c>
      <c r="F825" s="114">
        <f>+'Invullen groen'!I835</f>
        <v/>
      </c>
      <c r="G825" s="114">
        <f>+'Invullen groen'!J835</f>
        <v/>
      </c>
      <c r="H825" s="114">
        <f>+'Invullen groen'!K835</f>
        <v/>
      </c>
      <c r="I825" s="124">
        <f>+'Invullen groen'!AW835</f>
        <v/>
      </c>
      <c r="J825" s="124">
        <f>+'Invullen groen'!AX835</f>
        <v/>
      </c>
      <c r="K825" s="124">
        <f>+'Invullen groen'!AY835</f>
        <v/>
      </c>
      <c r="L825" s="124">
        <f>+'Invullen groen'!AZ835</f>
        <v/>
      </c>
      <c r="M825" s="124">
        <f>+'Invullen groen'!BA835</f>
        <v/>
      </c>
      <c r="N825" s="124">
        <f>+'Invullen groen'!BB835</f>
        <v/>
      </c>
      <c r="O825" s="124">
        <f>+'Invullen groen'!BC835</f>
        <v/>
      </c>
      <c r="P825" s="124">
        <f>+'Invullen groen'!BD835</f>
        <v/>
      </c>
    </row>
    <row r="826">
      <c r="A826" s="113">
        <f>+'Invullen groen'!A836</f>
        <v/>
      </c>
      <c r="B826" s="154">
        <f>+'Invullen groen'!C836</f>
        <v/>
      </c>
      <c r="C826" s="124">
        <f>+'Invullen groen'!G836</f>
        <v/>
      </c>
      <c r="D826" s="113">
        <f>+'Invullen groen'!M836</f>
        <v/>
      </c>
      <c r="E826" s="114">
        <f>+'Invullen groen'!H836</f>
        <v/>
      </c>
      <c r="F826" s="114">
        <f>+'Invullen groen'!I836</f>
        <v/>
      </c>
      <c r="G826" s="114">
        <f>+'Invullen groen'!J836</f>
        <v/>
      </c>
      <c r="H826" s="114">
        <f>+'Invullen groen'!K836</f>
        <v/>
      </c>
      <c r="I826" s="124">
        <f>+'Invullen groen'!AW836</f>
        <v/>
      </c>
      <c r="J826" s="124">
        <f>+'Invullen groen'!AX836</f>
        <v/>
      </c>
      <c r="K826" s="124">
        <f>+'Invullen groen'!AY836</f>
        <v/>
      </c>
      <c r="L826" s="124">
        <f>+'Invullen groen'!AZ836</f>
        <v/>
      </c>
      <c r="M826" s="124">
        <f>+'Invullen groen'!BA836</f>
        <v/>
      </c>
      <c r="N826" s="124">
        <f>+'Invullen groen'!BB836</f>
        <v/>
      </c>
      <c r="O826" s="124">
        <f>+'Invullen groen'!BC836</f>
        <v/>
      </c>
      <c r="P826" s="124">
        <f>+'Invullen groen'!BD836</f>
        <v/>
      </c>
    </row>
    <row r="827">
      <c r="A827" s="113">
        <f>+'Invullen groen'!A837</f>
        <v/>
      </c>
      <c r="B827" s="154">
        <f>+'Invullen groen'!C837</f>
        <v/>
      </c>
      <c r="C827" s="124">
        <f>+'Invullen groen'!G837</f>
        <v/>
      </c>
      <c r="D827" s="113">
        <f>+'Invullen groen'!M837</f>
        <v/>
      </c>
      <c r="E827" s="114">
        <f>+'Invullen groen'!H837</f>
        <v/>
      </c>
      <c r="F827" s="114">
        <f>+'Invullen groen'!I837</f>
        <v/>
      </c>
      <c r="G827" s="114">
        <f>+'Invullen groen'!J837</f>
        <v/>
      </c>
      <c r="H827" s="114">
        <f>+'Invullen groen'!K837</f>
        <v/>
      </c>
      <c r="I827" s="124">
        <f>+'Invullen groen'!AW837</f>
        <v/>
      </c>
      <c r="J827" s="124">
        <f>+'Invullen groen'!AX837</f>
        <v/>
      </c>
      <c r="K827" s="124">
        <f>+'Invullen groen'!AY837</f>
        <v/>
      </c>
      <c r="L827" s="124">
        <f>+'Invullen groen'!AZ837</f>
        <v/>
      </c>
      <c r="M827" s="124">
        <f>+'Invullen groen'!BA837</f>
        <v/>
      </c>
      <c r="N827" s="124">
        <f>+'Invullen groen'!BB837</f>
        <v/>
      </c>
      <c r="O827" s="124">
        <f>+'Invullen groen'!BC837</f>
        <v/>
      </c>
      <c r="P827" s="124">
        <f>+'Invullen groen'!BD837</f>
        <v/>
      </c>
    </row>
    <row r="828">
      <c r="A828" s="113">
        <f>+'Invullen groen'!A838</f>
        <v/>
      </c>
      <c r="B828" s="154">
        <f>+'Invullen groen'!C838</f>
        <v/>
      </c>
      <c r="C828" s="124">
        <f>+'Invullen groen'!G838</f>
        <v/>
      </c>
      <c r="D828" s="113">
        <f>+'Invullen groen'!M838</f>
        <v/>
      </c>
      <c r="E828" s="114">
        <f>+'Invullen groen'!H838</f>
        <v/>
      </c>
      <c r="F828" s="114">
        <f>+'Invullen groen'!I838</f>
        <v/>
      </c>
      <c r="G828" s="114">
        <f>+'Invullen groen'!J838</f>
        <v/>
      </c>
      <c r="H828" s="114">
        <f>+'Invullen groen'!K838</f>
        <v/>
      </c>
      <c r="I828" s="124">
        <f>+'Invullen groen'!AW838</f>
        <v/>
      </c>
      <c r="J828" s="124">
        <f>+'Invullen groen'!AX838</f>
        <v/>
      </c>
      <c r="K828" s="124">
        <f>+'Invullen groen'!AY838</f>
        <v/>
      </c>
      <c r="L828" s="124">
        <f>+'Invullen groen'!AZ838</f>
        <v/>
      </c>
      <c r="M828" s="124">
        <f>+'Invullen groen'!BA838</f>
        <v/>
      </c>
      <c r="N828" s="124">
        <f>+'Invullen groen'!BB838</f>
        <v/>
      </c>
      <c r="O828" s="124">
        <f>+'Invullen groen'!BC838</f>
        <v/>
      </c>
      <c r="P828" s="124">
        <f>+'Invullen groen'!BD838</f>
        <v/>
      </c>
    </row>
    <row r="829">
      <c r="A829" s="113">
        <f>+'Invullen groen'!A839</f>
        <v/>
      </c>
      <c r="B829" s="154">
        <f>+'Invullen groen'!C839</f>
        <v/>
      </c>
      <c r="C829" s="124">
        <f>+'Invullen groen'!G839</f>
        <v/>
      </c>
      <c r="D829" s="113">
        <f>+'Invullen groen'!M839</f>
        <v/>
      </c>
      <c r="E829" s="114">
        <f>+'Invullen groen'!H839</f>
        <v/>
      </c>
      <c r="F829" s="114">
        <f>+'Invullen groen'!I839</f>
        <v/>
      </c>
      <c r="G829" s="114">
        <f>+'Invullen groen'!J839</f>
        <v/>
      </c>
      <c r="H829" s="114">
        <f>+'Invullen groen'!K839</f>
        <v/>
      </c>
      <c r="I829" s="124">
        <f>+'Invullen groen'!AW839</f>
        <v/>
      </c>
      <c r="J829" s="124">
        <f>+'Invullen groen'!AX839</f>
        <v/>
      </c>
      <c r="K829" s="124">
        <f>+'Invullen groen'!AY839</f>
        <v/>
      </c>
      <c r="L829" s="124">
        <f>+'Invullen groen'!AZ839</f>
        <v/>
      </c>
      <c r="M829" s="124">
        <f>+'Invullen groen'!BA839</f>
        <v/>
      </c>
      <c r="N829" s="124">
        <f>+'Invullen groen'!BB839</f>
        <v/>
      </c>
      <c r="O829" s="124">
        <f>+'Invullen groen'!BC839</f>
        <v/>
      </c>
      <c r="P829" s="124">
        <f>+'Invullen groen'!BD839</f>
        <v/>
      </c>
    </row>
    <row r="830">
      <c r="A830" s="113">
        <f>+'Invullen groen'!A840</f>
        <v/>
      </c>
      <c r="B830" s="154">
        <f>+'Invullen groen'!C840</f>
        <v/>
      </c>
      <c r="C830" s="124">
        <f>+'Invullen groen'!G840</f>
        <v/>
      </c>
      <c r="D830" s="113">
        <f>+'Invullen groen'!M840</f>
        <v/>
      </c>
      <c r="E830" s="114">
        <f>+'Invullen groen'!H840</f>
        <v/>
      </c>
      <c r="F830" s="114">
        <f>+'Invullen groen'!I840</f>
        <v/>
      </c>
      <c r="G830" s="114">
        <f>+'Invullen groen'!J840</f>
        <v/>
      </c>
      <c r="H830" s="114">
        <f>+'Invullen groen'!K840</f>
        <v/>
      </c>
      <c r="I830" s="124">
        <f>+'Invullen groen'!AW840</f>
        <v/>
      </c>
      <c r="J830" s="124">
        <f>+'Invullen groen'!AX840</f>
        <v/>
      </c>
      <c r="K830" s="124">
        <f>+'Invullen groen'!AY840</f>
        <v/>
      </c>
      <c r="L830" s="124">
        <f>+'Invullen groen'!AZ840</f>
        <v/>
      </c>
      <c r="M830" s="124">
        <f>+'Invullen groen'!BA840</f>
        <v/>
      </c>
      <c r="N830" s="124">
        <f>+'Invullen groen'!BB840</f>
        <v/>
      </c>
      <c r="O830" s="124">
        <f>+'Invullen groen'!BC840</f>
        <v/>
      </c>
      <c r="P830" s="124">
        <f>+'Invullen groen'!BD840</f>
        <v/>
      </c>
    </row>
    <row r="831">
      <c r="A831" s="113">
        <f>+'Invullen groen'!A841</f>
        <v/>
      </c>
      <c r="B831" s="154">
        <f>+'Invullen groen'!C841</f>
        <v/>
      </c>
      <c r="C831" s="124">
        <f>+'Invullen groen'!G841</f>
        <v/>
      </c>
      <c r="D831" s="113">
        <f>+'Invullen groen'!M841</f>
        <v/>
      </c>
      <c r="E831" s="114">
        <f>+'Invullen groen'!H841</f>
        <v/>
      </c>
      <c r="F831" s="114">
        <f>+'Invullen groen'!I841</f>
        <v/>
      </c>
      <c r="G831" s="114">
        <f>+'Invullen groen'!J841</f>
        <v/>
      </c>
      <c r="H831" s="114">
        <f>+'Invullen groen'!K841</f>
        <v/>
      </c>
      <c r="I831" s="124">
        <f>+'Invullen groen'!AW841</f>
        <v/>
      </c>
      <c r="J831" s="124">
        <f>+'Invullen groen'!AX841</f>
        <v/>
      </c>
      <c r="K831" s="124">
        <f>+'Invullen groen'!AY841</f>
        <v/>
      </c>
      <c r="L831" s="124">
        <f>+'Invullen groen'!AZ841</f>
        <v/>
      </c>
      <c r="M831" s="124">
        <f>+'Invullen groen'!BA841</f>
        <v/>
      </c>
      <c r="N831" s="124">
        <f>+'Invullen groen'!BB841</f>
        <v/>
      </c>
      <c r="O831" s="124">
        <f>+'Invullen groen'!BC841</f>
        <v/>
      </c>
      <c r="P831" s="124">
        <f>+'Invullen groen'!BD841</f>
        <v/>
      </c>
    </row>
    <row r="832">
      <c r="A832" s="113">
        <f>+'Invullen groen'!A842</f>
        <v/>
      </c>
      <c r="B832" s="154">
        <f>+'Invullen groen'!C842</f>
        <v/>
      </c>
      <c r="C832" s="124">
        <f>+'Invullen groen'!G842</f>
        <v/>
      </c>
      <c r="D832" s="113">
        <f>+'Invullen groen'!M842</f>
        <v/>
      </c>
      <c r="E832" s="114">
        <f>+'Invullen groen'!H842</f>
        <v/>
      </c>
      <c r="F832" s="114">
        <f>+'Invullen groen'!I842</f>
        <v/>
      </c>
      <c r="G832" s="114">
        <f>+'Invullen groen'!J842</f>
        <v/>
      </c>
      <c r="H832" s="114">
        <f>+'Invullen groen'!K842</f>
        <v/>
      </c>
      <c r="I832" s="124">
        <f>+'Invullen groen'!AW842</f>
        <v/>
      </c>
      <c r="J832" s="124">
        <f>+'Invullen groen'!AX842</f>
        <v/>
      </c>
      <c r="K832" s="124">
        <f>+'Invullen groen'!AY842</f>
        <v/>
      </c>
      <c r="L832" s="124">
        <f>+'Invullen groen'!AZ842</f>
        <v/>
      </c>
      <c r="M832" s="124">
        <f>+'Invullen groen'!BA842</f>
        <v/>
      </c>
      <c r="N832" s="124">
        <f>+'Invullen groen'!BB842</f>
        <v/>
      </c>
      <c r="O832" s="124">
        <f>+'Invullen groen'!BC842</f>
        <v/>
      </c>
      <c r="P832" s="124">
        <f>+'Invullen groen'!BD842</f>
        <v/>
      </c>
    </row>
    <row r="833">
      <c r="A833" s="113">
        <f>+'Invullen groen'!A843</f>
        <v/>
      </c>
      <c r="B833" s="154">
        <f>+'Invullen groen'!C843</f>
        <v/>
      </c>
      <c r="C833" s="124">
        <f>+'Invullen groen'!G843</f>
        <v/>
      </c>
      <c r="D833" s="113">
        <f>+'Invullen groen'!M843</f>
        <v/>
      </c>
      <c r="E833" s="114">
        <f>+'Invullen groen'!H843</f>
        <v/>
      </c>
      <c r="F833" s="114">
        <f>+'Invullen groen'!I843</f>
        <v/>
      </c>
      <c r="G833" s="114">
        <f>+'Invullen groen'!J843</f>
        <v/>
      </c>
      <c r="H833" s="114">
        <f>+'Invullen groen'!K843</f>
        <v/>
      </c>
      <c r="I833" s="124">
        <f>+'Invullen groen'!AW843</f>
        <v/>
      </c>
      <c r="J833" s="124">
        <f>+'Invullen groen'!AX843</f>
        <v/>
      </c>
      <c r="K833" s="124">
        <f>+'Invullen groen'!AY843</f>
        <v/>
      </c>
      <c r="L833" s="124">
        <f>+'Invullen groen'!AZ843</f>
        <v/>
      </c>
      <c r="M833" s="124">
        <f>+'Invullen groen'!BA843</f>
        <v/>
      </c>
      <c r="N833" s="124">
        <f>+'Invullen groen'!BB843</f>
        <v/>
      </c>
      <c r="O833" s="124">
        <f>+'Invullen groen'!BC843</f>
        <v/>
      </c>
      <c r="P833" s="124">
        <f>+'Invullen groen'!BD843</f>
        <v/>
      </c>
    </row>
    <row r="834">
      <c r="A834" s="113">
        <f>+'Invullen groen'!A844</f>
        <v/>
      </c>
      <c r="B834" s="154">
        <f>+'Invullen groen'!C844</f>
        <v/>
      </c>
      <c r="C834" s="124">
        <f>+'Invullen groen'!G844</f>
        <v/>
      </c>
      <c r="D834" s="113">
        <f>+'Invullen groen'!M844</f>
        <v/>
      </c>
      <c r="E834" s="114">
        <f>+'Invullen groen'!H844</f>
        <v/>
      </c>
      <c r="F834" s="114">
        <f>+'Invullen groen'!I844</f>
        <v/>
      </c>
      <c r="G834" s="114">
        <f>+'Invullen groen'!J844</f>
        <v/>
      </c>
      <c r="H834" s="114">
        <f>+'Invullen groen'!K844</f>
        <v/>
      </c>
      <c r="I834" s="124">
        <f>+'Invullen groen'!AW844</f>
        <v/>
      </c>
      <c r="J834" s="124">
        <f>+'Invullen groen'!AX844</f>
        <v/>
      </c>
      <c r="K834" s="124">
        <f>+'Invullen groen'!AY844</f>
        <v/>
      </c>
      <c r="L834" s="124">
        <f>+'Invullen groen'!AZ844</f>
        <v/>
      </c>
      <c r="M834" s="124">
        <f>+'Invullen groen'!BA844</f>
        <v/>
      </c>
      <c r="N834" s="124">
        <f>+'Invullen groen'!BB844</f>
        <v/>
      </c>
      <c r="O834" s="124">
        <f>+'Invullen groen'!BC844</f>
        <v/>
      </c>
      <c r="P834" s="124">
        <f>+'Invullen groen'!BD844</f>
        <v/>
      </c>
    </row>
    <row r="835">
      <c r="A835" s="113">
        <f>+'Invullen groen'!A845</f>
        <v/>
      </c>
      <c r="B835" s="154">
        <f>+'Invullen groen'!C845</f>
        <v/>
      </c>
      <c r="C835" s="124">
        <f>+'Invullen groen'!G845</f>
        <v/>
      </c>
      <c r="D835" s="113">
        <f>+'Invullen groen'!M845</f>
        <v/>
      </c>
      <c r="E835" s="114">
        <f>+'Invullen groen'!H845</f>
        <v/>
      </c>
      <c r="F835" s="114">
        <f>+'Invullen groen'!I845</f>
        <v/>
      </c>
      <c r="G835" s="114">
        <f>+'Invullen groen'!J845</f>
        <v/>
      </c>
      <c r="H835" s="114">
        <f>+'Invullen groen'!K845</f>
        <v/>
      </c>
      <c r="I835" s="124">
        <f>+'Invullen groen'!AW845</f>
        <v/>
      </c>
      <c r="J835" s="124">
        <f>+'Invullen groen'!AX845</f>
        <v/>
      </c>
      <c r="K835" s="124">
        <f>+'Invullen groen'!AY845</f>
        <v/>
      </c>
      <c r="L835" s="124">
        <f>+'Invullen groen'!AZ845</f>
        <v/>
      </c>
      <c r="M835" s="124">
        <f>+'Invullen groen'!BA845</f>
        <v/>
      </c>
      <c r="N835" s="124">
        <f>+'Invullen groen'!BB845</f>
        <v/>
      </c>
      <c r="O835" s="124">
        <f>+'Invullen groen'!BC845</f>
        <v/>
      </c>
      <c r="P835" s="124">
        <f>+'Invullen groen'!BD845</f>
        <v/>
      </c>
    </row>
    <row r="836">
      <c r="A836" s="113">
        <f>+'Invullen groen'!A846</f>
        <v/>
      </c>
      <c r="B836" s="154">
        <f>+'Invullen groen'!C846</f>
        <v/>
      </c>
      <c r="C836" s="124">
        <f>+'Invullen groen'!G846</f>
        <v/>
      </c>
      <c r="D836" s="113">
        <f>+'Invullen groen'!M846</f>
        <v/>
      </c>
      <c r="E836" s="114">
        <f>+'Invullen groen'!H846</f>
        <v/>
      </c>
      <c r="F836" s="114">
        <f>+'Invullen groen'!I846</f>
        <v/>
      </c>
      <c r="G836" s="114">
        <f>+'Invullen groen'!J846</f>
        <v/>
      </c>
      <c r="H836" s="114">
        <f>+'Invullen groen'!K846</f>
        <v/>
      </c>
      <c r="I836" s="124">
        <f>+'Invullen groen'!AW846</f>
        <v/>
      </c>
      <c r="J836" s="124">
        <f>+'Invullen groen'!AX846</f>
        <v/>
      </c>
      <c r="K836" s="124">
        <f>+'Invullen groen'!AY846</f>
        <v/>
      </c>
      <c r="L836" s="124">
        <f>+'Invullen groen'!AZ846</f>
        <v/>
      </c>
      <c r="M836" s="124">
        <f>+'Invullen groen'!BA846</f>
        <v/>
      </c>
      <c r="N836" s="124">
        <f>+'Invullen groen'!BB846</f>
        <v/>
      </c>
      <c r="O836" s="124">
        <f>+'Invullen groen'!BC846</f>
        <v/>
      </c>
      <c r="P836" s="124">
        <f>+'Invullen groen'!BD846</f>
        <v/>
      </c>
    </row>
    <row r="837">
      <c r="A837" s="113">
        <f>+'Invullen groen'!A847</f>
        <v/>
      </c>
      <c r="B837" s="154">
        <f>+'Invullen groen'!C847</f>
        <v/>
      </c>
      <c r="C837" s="124">
        <f>+'Invullen groen'!G847</f>
        <v/>
      </c>
      <c r="D837" s="113">
        <f>+'Invullen groen'!M847</f>
        <v/>
      </c>
      <c r="E837" s="114">
        <f>+'Invullen groen'!H847</f>
        <v/>
      </c>
      <c r="F837" s="114">
        <f>+'Invullen groen'!I847</f>
        <v/>
      </c>
      <c r="G837" s="114">
        <f>+'Invullen groen'!J847</f>
        <v/>
      </c>
      <c r="H837" s="114">
        <f>+'Invullen groen'!K847</f>
        <v/>
      </c>
      <c r="I837" s="124">
        <f>+'Invullen groen'!AW847</f>
        <v/>
      </c>
      <c r="J837" s="124">
        <f>+'Invullen groen'!AX847</f>
        <v/>
      </c>
      <c r="K837" s="124">
        <f>+'Invullen groen'!AY847</f>
        <v/>
      </c>
      <c r="L837" s="124">
        <f>+'Invullen groen'!AZ847</f>
        <v/>
      </c>
      <c r="M837" s="124">
        <f>+'Invullen groen'!BA847</f>
        <v/>
      </c>
      <c r="N837" s="124">
        <f>+'Invullen groen'!BB847</f>
        <v/>
      </c>
      <c r="O837" s="124">
        <f>+'Invullen groen'!BC847</f>
        <v/>
      </c>
      <c r="P837" s="124">
        <f>+'Invullen groen'!BD847</f>
        <v/>
      </c>
    </row>
    <row r="838">
      <c r="A838" s="113">
        <f>+'Invullen groen'!A848</f>
        <v/>
      </c>
      <c r="B838" s="154">
        <f>+'Invullen groen'!C848</f>
        <v/>
      </c>
      <c r="C838" s="124">
        <f>+'Invullen groen'!G848</f>
        <v/>
      </c>
      <c r="D838" s="113">
        <f>+'Invullen groen'!M848</f>
        <v/>
      </c>
      <c r="E838" s="114">
        <f>+'Invullen groen'!H848</f>
        <v/>
      </c>
      <c r="F838" s="114">
        <f>+'Invullen groen'!I848</f>
        <v/>
      </c>
      <c r="G838" s="114">
        <f>+'Invullen groen'!J848</f>
        <v/>
      </c>
      <c r="H838" s="114">
        <f>+'Invullen groen'!K848</f>
        <v/>
      </c>
      <c r="I838" s="124">
        <f>+'Invullen groen'!AW848</f>
        <v/>
      </c>
      <c r="J838" s="124">
        <f>+'Invullen groen'!AX848</f>
        <v/>
      </c>
      <c r="K838" s="124">
        <f>+'Invullen groen'!AY848</f>
        <v/>
      </c>
      <c r="L838" s="124">
        <f>+'Invullen groen'!AZ848</f>
        <v/>
      </c>
      <c r="M838" s="124">
        <f>+'Invullen groen'!BA848</f>
        <v/>
      </c>
      <c r="N838" s="124">
        <f>+'Invullen groen'!BB848</f>
        <v/>
      </c>
      <c r="O838" s="124">
        <f>+'Invullen groen'!BC848</f>
        <v/>
      </c>
      <c r="P838" s="124">
        <f>+'Invullen groen'!BD848</f>
        <v/>
      </c>
    </row>
    <row r="839">
      <c r="A839" s="113">
        <f>+'Invullen groen'!A849</f>
        <v/>
      </c>
      <c r="B839" s="154">
        <f>+'Invullen groen'!C849</f>
        <v/>
      </c>
      <c r="C839" s="124">
        <f>+'Invullen groen'!G849</f>
        <v/>
      </c>
      <c r="D839" s="113">
        <f>+'Invullen groen'!M849</f>
        <v/>
      </c>
      <c r="E839" s="114">
        <f>+'Invullen groen'!H849</f>
        <v/>
      </c>
      <c r="F839" s="114">
        <f>+'Invullen groen'!I849</f>
        <v/>
      </c>
      <c r="G839" s="114">
        <f>+'Invullen groen'!J849</f>
        <v/>
      </c>
      <c r="H839" s="114">
        <f>+'Invullen groen'!K849</f>
        <v/>
      </c>
      <c r="I839" s="124">
        <f>+'Invullen groen'!AW849</f>
        <v/>
      </c>
      <c r="J839" s="124">
        <f>+'Invullen groen'!AX849</f>
        <v/>
      </c>
      <c r="K839" s="124">
        <f>+'Invullen groen'!AY849</f>
        <v/>
      </c>
      <c r="L839" s="124">
        <f>+'Invullen groen'!AZ849</f>
        <v/>
      </c>
      <c r="M839" s="124">
        <f>+'Invullen groen'!BA849</f>
        <v/>
      </c>
      <c r="N839" s="124">
        <f>+'Invullen groen'!BB849</f>
        <v/>
      </c>
      <c r="O839" s="124">
        <f>+'Invullen groen'!BC849</f>
        <v/>
      </c>
      <c r="P839" s="124">
        <f>+'Invullen groen'!BD849</f>
        <v/>
      </c>
    </row>
    <row r="840">
      <c r="A840" s="113">
        <f>+'Invullen groen'!A850</f>
        <v/>
      </c>
      <c r="B840" s="154">
        <f>+'Invullen groen'!C850</f>
        <v/>
      </c>
      <c r="C840" s="124">
        <f>+'Invullen groen'!G850</f>
        <v/>
      </c>
      <c r="D840" s="113">
        <f>+'Invullen groen'!M850</f>
        <v/>
      </c>
      <c r="E840" s="114">
        <f>+'Invullen groen'!H850</f>
        <v/>
      </c>
      <c r="F840" s="114">
        <f>+'Invullen groen'!I850</f>
        <v/>
      </c>
      <c r="G840" s="114">
        <f>+'Invullen groen'!J850</f>
        <v/>
      </c>
      <c r="H840" s="114">
        <f>+'Invullen groen'!K850</f>
        <v/>
      </c>
      <c r="I840" s="124">
        <f>+'Invullen groen'!AW850</f>
        <v/>
      </c>
      <c r="J840" s="124">
        <f>+'Invullen groen'!AX850</f>
        <v/>
      </c>
      <c r="K840" s="124">
        <f>+'Invullen groen'!AY850</f>
        <v/>
      </c>
      <c r="L840" s="124">
        <f>+'Invullen groen'!AZ850</f>
        <v/>
      </c>
      <c r="M840" s="124">
        <f>+'Invullen groen'!BA850</f>
        <v/>
      </c>
      <c r="N840" s="124">
        <f>+'Invullen groen'!BB850</f>
        <v/>
      </c>
      <c r="O840" s="124">
        <f>+'Invullen groen'!BC850</f>
        <v/>
      </c>
      <c r="P840" s="124">
        <f>+'Invullen groen'!BD850</f>
        <v/>
      </c>
    </row>
    <row r="841">
      <c r="A841" s="113">
        <f>+'Invullen groen'!A851</f>
        <v/>
      </c>
      <c r="B841" s="154">
        <f>+'Invullen groen'!C851</f>
        <v/>
      </c>
      <c r="C841" s="124">
        <f>+'Invullen groen'!G851</f>
        <v/>
      </c>
      <c r="D841" s="113">
        <f>+'Invullen groen'!M851</f>
        <v/>
      </c>
      <c r="E841" s="114">
        <f>+'Invullen groen'!H851</f>
        <v/>
      </c>
      <c r="F841" s="114">
        <f>+'Invullen groen'!I851</f>
        <v/>
      </c>
      <c r="G841" s="114">
        <f>+'Invullen groen'!J851</f>
        <v/>
      </c>
      <c r="H841" s="114">
        <f>+'Invullen groen'!K851</f>
        <v/>
      </c>
      <c r="I841" s="124">
        <f>+'Invullen groen'!AW851</f>
        <v/>
      </c>
      <c r="J841" s="124">
        <f>+'Invullen groen'!AX851</f>
        <v/>
      </c>
      <c r="K841" s="124">
        <f>+'Invullen groen'!AY851</f>
        <v/>
      </c>
      <c r="L841" s="124">
        <f>+'Invullen groen'!AZ851</f>
        <v/>
      </c>
      <c r="M841" s="124">
        <f>+'Invullen groen'!BA851</f>
        <v/>
      </c>
      <c r="N841" s="124">
        <f>+'Invullen groen'!BB851</f>
        <v/>
      </c>
      <c r="O841" s="124">
        <f>+'Invullen groen'!BC851</f>
        <v/>
      </c>
      <c r="P841" s="124">
        <f>+'Invullen groen'!BD851</f>
        <v/>
      </c>
    </row>
    <row r="842">
      <c r="A842" s="113">
        <f>+'Invullen groen'!A852</f>
        <v/>
      </c>
      <c r="B842" s="154">
        <f>+'Invullen groen'!C852</f>
        <v/>
      </c>
      <c r="C842" s="124">
        <f>+'Invullen groen'!G852</f>
        <v/>
      </c>
      <c r="D842" s="113">
        <f>+'Invullen groen'!M852</f>
        <v/>
      </c>
      <c r="E842" s="114">
        <f>+'Invullen groen'!H852</f>
        <v/>
      </c>
      <c r="F842" s="114">
        <f>+'Invullen groen'!I852</f>
        <v/>
      </c>
      <c r="G842" s="114">
        <f>+'Invullen groen'!J852</f>
        <v/>
      </c>
      <c r="H842" s="114">
        <f>+'Invullen groen'!K852</f>
        <v/>
      </c>
      <c r="I842" s="124">
        <f>+'Invullen groen'!AW852</f>
        <v/>
      </c>
      <c r="J842" s="124">
        <f>+'Invullen groen'!AX852</f>
        <v/>
      </c>
      <c r="K842" s="124">
        <f>+'Invullen groen'!AY852</f>
        <v/>
      </c>
      <c r="L842" s="124">
        <f>+'Invullen groen'!AZ852</f>
        <v/>
      </c>
      <c r="M842" s="124">
        <f>+'Invullen groen'!BA852</f>
        <v/>
      </c>
      <c r="N842" s="124">
        <f>+'Invullen groen'!BB852</f>
        <v/>
      </c>
      <c r="O842" s="124">
        <f>+'Invullen groen'!BC852</f>
        <v/>
      </c>
      <c r="P842" s="124">
        <f>+'Invullen groen'!BD852</f>
        <v/>
      </c>
    </row>
    <row r="843">
      <c r="A843" s="113">
        <f>+'Invullen groen'!A853</f>
        <v/>
      </c>
      <c r="B843" s="154">
        <f>+'Invullen groen'!C853</f>
        <v/>
      </c>
      <c r="C843" s="124">
        <f>+'Invullen groen'!G853</f>
        <v/>
      </c>
      <c r="D843" s="113">
        <f>+'Invullen groen'!M853</f>
        <v/>
      </c>
      <c r="E843" s="114">
        <f>+'Invullen groen'!H853</f>
        <v/>
      </c>
      <c r="F843" s="114">
        <f>+'Invullen groen'!I853</f>
        <v/>
      </c>
      <c r="G843" s="114">
        <f>+'Invullen groen'!J853</f>
        <v/>
      </c>
      <c r="H843" s="114">
        <f>+'Invullen groen'!K853</f>
        <v/>
      </c>
      <c r="I843" s="124">
        <f>+'Invullen groen'!AW853</f>
        <v/>
      </c>
      <c r="J843" s="124">
        <f>+'Invullen groen'!AX853</f>
        <v/>
      </c>
      <c r="K843" s="124">
        <f>+'Invullen groen'!AY853</f>
        <v/>
      </c>
      <c r="L843" s="124">
        <f>+'Invullen groen'!AZ853</f>
        <v/>
      </c>
      <c r="M843" s="124">
        <f>+'Invullen groen'!BA853</f>
        <v/>
      </c>
      <c r="N843" s="124">
        <f>+'Invullen groen'!BB853</f>
        <v/>
      </c>
      <c r="O843" s="124">
        <f>+'Invullen groen'!BC853</f>
        <v/>
      </c>
      <c r="P843" s="124">
        <f>+'Invullen groen'!BD853</f>
        <v/>
      </c>
    </row>
    <row r="844">
      <c r="A844" s="113">
        <f>+'Invullen groen'!A854</f>
        <v/>
      </c>
      <c r="B844" s="154">
        <f>+'Invullen groen'!C854</f>
        <v/>
      </c>
      <c r="C844" s="124">
        <f>+'Invullen groen'!G854</f>
        <v/>
      </c>
      <c r="D844" s="113">
        <f>+'Invullen groen'!M854</f>
        <v/>
      </c>
      <c r="E844" s="114">
        <f>+'Invullen groen'!H854</f>
        <v/>
      </c>
      <c r="F844" s="114">
        <f>+'Invullen groen'!I854</f>
        <v/>
      </c>
      <c r="G844" s="114">
        <f>+'Invullen groen'!J854</f>
        <v/>
      </c>
      <c r="H844" s="114">
        <f>+'Invullen groen'!K854</f>
        <v/>
      </c>
      <c r="I844" s="124">
        <f>+'Invullen groen'!AW854</f>
        <v/>
      </c>
      <c r="J844" s="124">
        <f>+'Invullen groen'!AX854</f>
        <v/>
      </c>
      <c r="K844" s="124">
        <f>+'Invullen groen'!AY854</f>
        <v/>
      </c>
      <c r="L844" s="124">
        <f>+'Invullen groen'!AZ854</f>
        <v/>
      </c>
      <c r="M844" s="124">
        <f>+'Invullen groen'!BA854</f>
        <v/>
      </c>
      <c r="N844" s="124">
        <f>+'Invullen groen'!BB854</f>
        <v/>
      </c>
      <c r="O844" s="124">
        <f>+'Invullen groen'!BC854</f>
        <v/>
      </c>
      <c r="P844" s="124">
        <f>+'Invullen groen'!BD854</f>
        <v/>
      </c>
    </row>
    <row r="845">
      <c r="A845" s="113">
        <f>+'Invullen groen'!A855</f>
        <v/>
      </c>
      <c r="B845" s="154">
        <f>+'Invullen groen'!C855</f>
        <v/>
      </c>
      <c r="C845" s="124">
        <f>+'Invullen groen'!G855</f>
        <v/>
      </c>
      <c r="D845" s="113">
        <f>+'Invullen groen'!M855</f>
        <v/>
      </c>
      <c r="E845" s="114">
        <f>+'Invullen groen'!H855</f>
        <v/>
      </c>
      <c r="F845" s="114">
        <f>+'Invullen groen'!I855</f>
        <v/>
      </c>
      <c r="G845" s="114">
        <f>+'Invullen groen'!J855</f>
        <v/>
      </c>
      <c r="H845" s="114">
        <f>+'Invullen groen'!K855</f>
        <v/>
      </c>
      <c r="I845" s="124">
        <f>+'Invullen groen'!AW855</f>
        <v/>
      </c>
      <c r="J845" s="124">
        <f>+'Invullen groen'!AX855</f>
        <v/>
      </c>
      <c r="K845" s="124">
        <f>+'Invullen groen'!AY855</f>
        <v/>
      </c>
      <c r="L845" s="124">
        <f>+'Invullen groen'!AZ855</f>
        <v/>
      </c>
      <c r="M845" s="124">
        <f>+'Invullen groen'!BA855</f>
        <v/>
      </c>
      <c r="N845" s="124">
        <f>+'Invullen groen'!BB855</f>
        <v/>
      </c>
      <c r="O845" s="124">
        <f>+'Invullen groen'!BC855</f>
        <v/>
      </c>
      <c r="P845" s="124">
        <f>+'Invullen groen'!BD855</f>
        <v/>
      </c>
    </row>
    <row r="846">
      <c r="A846" s="113">
        <f>+'Invullen groen'!A856</f>
        <v/>
      </c>
      <c r="B846" s="154">
        <f>+'Invullen groen'!C856</f>
        <v/>
      </c>
      <c r="C846" s="124">
        <f>+'Invullen groen'!G856</f>
        <v/>
      </c>
      <c r="D846" s="113">
        <f>+'Invullen groen'!M856</f>
        <v/>
      </c>
      <c r="E846" s="114">
        <f>+'Invullen groen'!H856</f>
        <v/>
      </c>
      <c r="F846" s="114">
        <f>+'Invullen groen'!I856</f>
        <v/>
      </c>
      <c r="G846" s="114">
        <f>+'Invullen groen'!J856</f>
        <v/>
      </c>
      <c r="H846" s="114">
        <f>+'Invullen groen'!K856</f>
        <v/>
      </c>
      <c r="I846" s="124">
        <f>+'Invullen groen'!AW856</f>
        <v/>
      </c>
      <c r="J846" s="124">
        <f>+'Invullen groen'!AX856</f>
        <v/>
      </c>
      <c r="K846" s="124">
        <f>+'Invullen groen'!AY856</f>
        <v/>
      </c>
      <c r="L846" s="124">
        <f>+'Invullen groen'!AZ856</f>
        <v/>
      </c>
      <c r="M846" s="124">
        <f>+'Invullen groen'!BA856</f>
        <v/>
      </c>
      <c r="N846" s="124">
        <f>+'Invullen groen'!BB856</f>
        <v/>
      </c>
      <c r="O846" s="124">
        <f>+'Invullen groen'!BC856</f>
        <v/>
      </c>
      <c r="P846" s="124">
        <f>+'Invullen groen'!BD856</f>
        <v/>
      </c>
    </row>
    <row r="847">
      <c r="A847" s="113">
        <f>+'Invullen groen'!A857</f>
        <v/>
      </c>
      <c r="B847" s="154">
        <f>+'Invullen groen'!C857</f>
        <v/>
      </c>
      <c r="C847" s="124">
        <f>+'Invullen groen'!G857</f>
        <v/>
      </c>
      <c r="D847" s="113">
        <f>+'Invullen groen'!M857</f>
        <v/>
      </c>
      <c r="E847" s="114">
        <f>+'Invullen groen'!H857</f>
        <v/>
      </c>
      <c r="F847" s="114">
        <f>+'Invullen groen'!I857</f>
        <v/>
      </c>
      <c r="G847" s="114">
        <f>+'Invullen groen'!J857</f>
        <v/>
      </c>
      <c r="H847" s="114">
        <f>+'Invullen groen'!K857</f>
        <v/>
      </c>
      <c r="I847" s="124">
        <f>+'Invullen groen'!AW857</f>
        <v/>
      </c>
      <c r="J847" s="124">
        <f>+'Invullen groen'!AX857</f>
        <v/>
      </c>
      <c r="K847" s="124">
        <f>+'Invullen groen'!AY857</f>
        <v/>
      </c>
      <c r="L847" s="124">
        <f>+'Invullen groen'!AZ857</f>
        <v/>
      </c>
      <c r="M847" s="124">
        <f>+'Invullen groen'!BA857</f>
        <v/>
      </c>
      <c r="N847" s="124">
        <f>+'Invullen groen'!BB857</f>
        <v/>
      </c>
      <c r="O847" s="124">
        <f>+'Invullen groen'!BC857</f>
        <v/>
      </c>
      <c r="P847" s="124">
        <f>+'Invullen groen'!BD857</f>
        <v/>
      </c>
    </row>
    <row r="848">
      <c r="A848" s="113">
        <f>+'Invullen groen'!A858</f>
        <v/>
      </c>
      <c r="B848" s="154">
        <f>+'Invullen groen'!C858</f>
        <v/>
      </c>
      <c r="C848" s="124">
        <f>+'Invullen groen'!G858</f>
        <v/>
      </c>
      <c r="D848" s="113">
        <f>+'Invullen groen'!M858</f>
        <v/>
      </c>
      <c r="E848" s="114">
        <f>+'Invullen groen'!H858</f>
        <v/>
      </c>
      <c r="F848" s="114">
        <f>+'Invullen groen'!I858</f>
        <v/>
      </c>
      <c r="G848" s="114">
        <f>+'Invullen groen'!J858</f>
        <v/>
      </c>
      <c r="H848" s="114">
        <f>+'Invullen groen'!K858</f>
        <v/>
      </c>
      <c r="I848" s="124">
        <f>+'Invullen groen'!AW858</f>
        <v/>
      </c>
      <c r="J848" s="124">
        <f>+'Invullen groen'!AX858</f>
        <v/>
      </c>
      <c r="K848" s="124">
        <f>+'Invullen groen'!AY858</f>
        <v/>
      </c>
      <c r="L848" s="124">
        <f>+'Invullen groen'!AZ858</f>
        <v/>
      </c>
      <c r="M848" s="124">
        <f>+'Invullen groen'!BA858</f>
        <v/>
      </c>
      <c r="N848" s="124">
        <f>+'Invullen groen'!BB858</f>
        <v/>
      </c>
      <c r="O848" s="124">
        <f>+'Invullen groen'!BC858</f>
        <v/>
      </c>
      <c r="P848" s="124">
        <f>+'Invullen groen'!BD858</f>
        <v/>
      </c>
    </row>
    <row r="849">
      <c r="A849" s="113">
        <f>+'Invullen groen'!A859</f>
        <v/>
      </c>
      <c r="B849" s="154">
        <f>+'Invullen groen'!C859</f>
        <v/>
      </c>
      <c r="C849" s="124">
        <f>+'Invullen groen'!G859</f>
        <v/>
      </c>
      <c r="D849" s="113">
        <f>+'Invullen groen'!M859</f>
        <v/>
      </c>
      <c r="E849" s="114">
        <f>+'Invullen groen'!H859</f>
        <v/>
      </c>
      <c r="F849" s="114">
        <f>+'Invullen groen'!I859</f>
        <v/>
      </c>
      <c r="G849" s="114">
        <f>+'Invullen groen'!J859</f>
        <v/>
      </c>
      <c r="H849" s="114">
        <f>+'Invullen groen'!K859</f>
        <v/>
      </c>
      <c r="I849" s="124">
        <f>+'Invullen groen'!AW859</f>
        <v/>
      </c>
      <c r="J849" s="124">
        <f>+'Invullen groen'!AX859</f>
        <v/>
      </c>
      <c r="K849" s="124">
        <f>+'Invullen groen'!AY859</f>
        <v/>
      </c>
      <c r="L849" s="124">
        <f>+'Invullen groen'!AZ859</f>
        <v/>
      </c>
      <c r="M849" s="124">
        <f>+'Invullen groen'!BA859</f>
        <v/>
      </c>
      <c r="N849" s="124">
        <f>+'Invullen groen'!BB859</f>
        <v/>
      </c>
      <c r="O849" s="124">
        <f>+'Invullen groen'!BC859</f>
        <v/>
      </c>
      <c r="P849" s="124">
        <f>+'Invullen groen'!BD859</f>
        <v/>
      </c>
    </row>
    <row r="850">
      <c r="A850" s="113">
        <f>+'Invullen groen'!A860</f>
        <v/>
      </c>
      <c r="B850" s="154">
        <f>+'Invullen groen'!C860</f>
        <v/>
      </c>
      <c r="C850" s="124">
        <f>+'Invullen groen'!G860</f>
        <v/>
      </c>
      <c r="D850" s="113">
        <f>+'Invullen groen'!M860</f>
        <v/>
      </c>
      <c r="E850" s="114">
        <f>+'Invullen groen'!H860</f>
        <v/>
      </c>
      <c r="F850" s="114">
        <f>+'Invullen groen'!I860</f>
        <v/>
      </c>
      <c r="G850" s="114">
        <f>+'Invullen groen'!J860</f>
        <v/>
      </c>
      <c r="H850" s="114">
        <f>+'Invullen groen'!K860</f>
        <v/>
      </c>
      <c r="I850" s="124">
        <f>+'Invullen groen'!AW860</f>
        <v/>
      </c>
      <c r="J850" s="124">
        <f>+'Invullen groen'!AX860</f>
        <v/>
      </c>
      <c r="K850" s="124">
        <f>+'Invullen groen'!AY860</f>
        <v/>
      </c>
      <c r="L850" s="124">
        <f>+'Invullen groen'!AZ860</f>
        <v/>
      </c>
      <c r="M850" s="124">
        <f>+'Invullen groen'!BA860</f>
        <v/>
      </c>
      <c r="N850" s="124">
        <f>+'Invullen groen'!BB860</f>
        <v/>
      </c>
      <c r="O850" s="124">
        <f>+'Invullen groen'!BC860</f>
        <v/>
      </c>
      <c r="P850" s="124">
        <f>+'Invullen groen'!BD860</f>
        <v/>
      </c>
    </row>
    <row r="851">
      <c r="A851" s="113">
        <f>+'Invullen groen'!A861</f>
        <v/>
      </c>
      <c r="B851" s="154">
        <f>+'Invullen groen'!C861</f>
        <v/>
      </c>
      <c r="C851" s="124">
        <f>+'Invullen groen'!G861</f>
        <v/>
      </c>
      <c r="D851" s="113">
        <f>+'Invullen groen'!M861</f>
        <v/>
      </c>
      <c r="E851" s="114">
        <f>+'Invullen groen'!H861</f>
        <v/>
      </c>
      <c r="F851" s="114">
        <f>+'Invullen groen'!I861</f>
        <v/>
      </c>
      <c r="G851" s="114">
        <f>+'Invullen groen'!J861</f>
        <v/>
      </c>
      <c r="H851" s="114">
        <f>+'Invullen groen'!K861</f>
        <v/>
      </c>
      <c r="I851" s="124">
        <f>+'Invullen groen'!AW861</f>
        <v/>
      </c>
      <c r="J851" s="124">
        <f>+'Invullen groen'!AX861</f>
        <v/>
      </c>
      <c r="K851" s="124">
        <f>+'Invullen groen'!AY861</f>
        <v/>
      </c>
      <c r="L851" s="124">
        <f>+'Invullen groen'!AZ861</f>
        <v/>
      </c>
      <c r="M851" s="124">
        <f>+'Invullen groen'!BA861</f>
        <v/>
      </c>
      <c r="N851" s="124">
        <f>+'Invullen groen'!BB861</f>
        <v/>
      </c>
      <c r="O851" s="124">
        <f>+'Invullen groen'!BC861</f>
        <v/>
      </c>
      <c r="P851" s="124">
        <f>+'Invullen groen'!BD861</f>
        <v/>
      </c>
    </row>
    <row r="852">
      <c r="A852" s="113">
        <f>+'Invullen groen'!A862</f>
        <v/>
      </c>
      <c r="B852" s="154">
        <f>+'Invullen groen'!C862</f>
        <v/>
      </c>
      <c r="C852" s="124">
        <f>+'Invullen groen'!G862</f>
        <v/>
      </c>
      <c r="D852" s="113">
        <f>+'Invullen groen'!M862</f>
        <v/>
      </c>
      <c r="E852" s="114">
        <f>+'Invullen groen'!H862</f>
        <v/>
      </c>
      <c r="F852" s="114">
        <f>+'Invullen groen'!I862</f>
        <v/>
      </c>
      <c r="G852" s="114">
        <f>+'Invullen groen'!J862</f>
        <v/>
      </c>
      <c r="H852" s="114">
        <f>+'Invullen groen'!K862</f>
        <v/>
      </c>
      <c r="I852" s="124">
        <f>+'Invullen groen'!AW862</f>
        <v/>
      </c>
      <c r="J852" s="124">
        <f>+'Invullen groen'!AX862</f>
        <v/>
      </c>
      <c r="K852" s="124">
        <f>+'Invullen groen'!AY862</f>
        <v/>
      </c>
      <c r="L852" s="124">
        <f>+'Invullen groen'!AZ862</f>
        <v/>
      </c>
      <c r="M852" s="124">
        <f>+'Invullen groen'!BA862</f>
        <v/>
      </c>
      <c r="N852" s="124">
        <f>+'Invullen groen'!BB862</f>
        <v/>
      </c>
      <c r="O852" s="124">
        <f>+'Invullen groen'!BC862</f>
        <v/>
      </c>
      <c r="P852" s="124">
        <f>+'Invullen groen'!BD862</f>
        <v/>
      </c>
    </row>
    <row r="853">
      <c r="A853" s="113">
        <f>+'Invullen groen'!A863</f>
        <v/>
      </c>
      <c r="B853" s="154">
        <f>+'Invullen groen'!C863</f>
        <v/>
      </c>
      <c r="C853" s="124">
        <f>+'Invullen groen'!G863</f>
        <v/>
      </c>
      <c r="D853" s="113">
        <f>+'Invullen groen'!M863</f>
        <v/>
      </c>
      <c r="E853" s="114">
        <f>+'Invullen groen'!H863</f>
        <v/>
      </c>
      <c r="F853" s="114">
        <f>+'Invullen groen'!I863</f>
        <v/>
      </c>
      <c r="G853" s="114">
        <f>+'Invullen groen'!J863</f>
        <v/>
      </c>
      <c r="H853" s="114">
        <f>+'Invullen groen'!K863</f>
        <v/>
      </c>
      <c r="I853" s="124">
        <f>+'Invullen groen'!AW863</f>
        <v/>
      </c>
      <c r="J853" s="124">
        <f>+'Invullen groen'!AX863</f>
        <v/>
      </c>
      <c r="K853" s="124">
        <f>+'Invullen groen'!AY863</f>
        <v/>
      </c>
      <c r="L853" s="124">
        <f>+'Invullen groen'!AZ863</f>
        <v/>
      </c>
      <c r="M853" s="124">
        <f>+'Invullen groen'!BA863</f>
        <v/>
      </c>
      <c r="N853" s="124">
        <f>+'Invullen groen'!BB863</f>
        <v/>
      </c>
      <c r="O853" s="124">
        <f>+'Invullen groen'!BC863</f>
        <v/>
      </c>
      <c r="P853" s="124">
        <f>+'Invullen groen'!BD863</f>
        <v/>
      </c>
    </row>
    <row r="854">
      <c r="A854" s="113">
        <f>+'Invullen groen'!A864</f>
        <v/>
      </c>
      <c r="B854" s="154">
        <f>+'Invullen groen'!C864</f>
        <v/>
      </c>
      <c r="C854" s="124">
        <f>+'Invullen groen'!G864</f>
        <v/>
      </c>
      <c r="D854" s="113">
        <f>+'Invullen groen'!M864</f>
        <v/>
      </c>
      <c r="E854" s="114">
        <f>+'Invullen groen'!H864</f>
        <v/>
      </c>
      <c r="F854" s="114">
        <f>+'Invullen groen'!I864</f>
        <v/>
      </c>
      <c r="G854" s="114">
        <f>+'Invullen groen'!J864</f>
        <v/>
      </c>
      <c r="H854" s="114">
        <f>+'Invullen groen'!K864</f>
        <v/>
      </c>
      <c r="I854" s="124">
        <f>+'Invullen groen'!AW864</f>
        <v/>
      </c>
      <c r="J854" s="124">
        <f>+'Invullen groen'!AX864</f>
        <v/>
      </c>
      <c r="K854" s="124">
        <f>+'Invullen groen'!AY864</f>
        <v/>
      </c>
      <c r="L854" s="124">
        <f>+'Invullen groen'!AZ864</f>
        <v/>
      </c>
      <c r="M854" s="124">
        <f>+'Invullen groen'!BA864</f>
        <v/>
      </c>
      <c r="N854" s="124">
        <f>+'Invullen groen'!BB864</f>
        <v/>
      </c>
      <c r="O854" s="124">
        <f>+'Invullen groen'!BC864</f>
        <v/>
      </c>
      <c r="P854" s="124">
        <f>+'Invullen groen'!BD864</f>
        <v/>
      </c>
    </row>
    <row r="855">
      <c r="A855" s="113">
        <f>+'Invullen groen'!A865</f>
        <v/>
      </c>
      <c r="B855" s="154">
        <f>+'Invullen groen'!C865</f>
        <v/>
      </c>
      <c r="C855" s="124">
        <f>+'Invullen groen'!G865</f>
        <v/>
      </c>
      <c r="D855" s="113">
        <f>+'Invullen groen'!M865</f>
        <v/>
      </c>
      <c r="E855" s="114">
        <f>+'Invullen groen'!H865</f>
        <v/>
      </c>
      <c r="F855" s="114">
        <f>+'Invullen groen'!I865</f>
        <v/>
      </c>
      <c r="G855" s="114">
        <f>+'Invullen groen'!J865</f>
        <v/>
      </c>
      <c r="H855" s="114">
        <f>+'Invullen groen'!K865</f>
        <v/>
      </c>
      <c r="I855" s="124">
        <f>+'Invullen groen'!AW865</f>
        <v/>
      </c>
      <c r="J855" s="124">
        <f>+'Invullen groen'!AX865</f>
        <v/>
      </c>
      <c r="K855" s="124">
        <f>+'Invullen groen'!AY865</f>
        <v/>
      </c>
      <c r="L855" s="124">
        <f>+'Invullen groen'!AZ865</f>
        <v/>
      </c>
      <c r="M855" s="124">
        <f>+'Invullen groen'!BA865</f>
        <v/>
      </c>
      <c r="N855" s="124">
        <f>+'Invullen groen'!BB865</f>
        <v/>
      </c>
      <c r="O855" s="124">
        <f>+'Invullen groen'!BC865</f>
        <v/>
      </c>
      <c r="P855" s="124">
        <f>+'Invullen groen'!BD865</f>
        <v/>
      </c>
    </row>
    <row r="856">
      <c r="A856" s="113">
        <f>+'Invullen groen'!A866</f>
        <v/>
      </c>
      <c r="B856" s="154">
        <f>+'Invullen groen'!C866</f>
        <v/>
      </c>
      <c r="C856" s="124">
        <f>+'Invullen groen'!G866</f>
        <v/>
      </c>
      <c r="D856" s="113">
        <f>+'Invullen groen'!M866</f>
        <v/>
      </c>
      <c r="E856" s="114">
        <f>+'Invullen groen'!H866</f>
        <v/>
      </c>
      <c r="F856" s="114">
        <f>+'Invullen groen'!I866</f>
        <v/>
      </c>
      <c r="G856" s="114">
        <f>+'Invullen groen'!J866</f>
        <v/>
      </c>
      <c r="H856" s="114">
        <f>+'Invullen groen'!K866</f>
        <v/>
      </c>
      <c r="I856" s="124">
        <f>+'Invullen groen'!AW866</f>
        <v/>
      </c>
      <c r="J856" s="124">
        <f>+'Invullen groen'!AX866</f>
        <v/>
      </c>
      <c r="K856" s="124">
        <f>+'Invullen groen'!AY866</f>
        <v/>
      </c>
      <c r="L856" s="124">
        <f>+'Invullen groen'!AZ866</f>
        <v/>
      </c>
      <c r="M856" s="124">
        <f>+'Invullen groen'!BA866</f>
        <v/>
      </c>
      <c r="N856" s="124">
        <f>+'Invullen groen'!BB866</f>
        <v/>
      </c>
      <c r="O856" s="124">
        <f>+'Invullen groen'!BC866</f>
        <v/>
      </c>
      <c r="P856" s="124">
        <f>+'Invullen groen'!BD866</f>
        <v/>
      </c>
    </row>
    <row r="857">
      <c r="A857" s="113">
        <f>+'Invullen groen'!A867</f>
        <v/>
      </c>
      <c r="B857" s="154">
        <f>+'Invullen groen'!C867</f>
        <v/>
      </c>
      <c r="C857" s="124">
        <f>+'Invullen groen'!G867</f>
        <v/>
      </c>
      <c r="D857" s="113">
        <f>+'Invullen groen'!M867</f>
        <v/>
      </c>
      <c r="E857" s="114">
        <f>+'Invullen groen'!H867</f>
        <v/>
      </c>
      <c r="F857" s="114">
        <f>+'Invullen groen'!I867</f>
        <v/>
      </c>
      <c r="G857" s="114">
        <f>+'Invullen groen'!J867</f>
        <v/>
      </c>
      <c r="H857" s="114">
        <f>+'Invullen groen'!K867</f>
        <v/>
      </c>
      <c r="I857" s="124">
        <f>+'Invullen groen'!AW867</f>
        <v/>
      </c>
      <c r="J857" s="124">
        <f>+'Invullen groen'!AX867</f>
        <v/>
      </c>
      <c r="K857" s="124">
        <f>+'Invullen groen'!AY867</f>
        <v/>
      </c>
      <c r="L857" s="124">
        <f>+'Invullen groen'!AZ867</f>
        <v/>
      </c>
      <c r="M857" s="124">
        <f>+'Invullen groen'!BA867</f>
        <v/>
      </c>
      <c r="N857" s="124">
        <f>+'Invullen groen'!BB867</f>
        <v/>
      </c>
      <c r="O857" s="124">
        <f>+'Invullen groen'!BC867</f>
        <v/>
      </c>
      <c r="P857" s="124">
        <f>+'Invullen groen'!BD867</f>
        <v/>
      </c>
    </row>
    <row r="858">
      <c r="A858" s="113">
        <f>+'Invullen groen'!A868</f>
        <v/>
      </c>
      <c r="B858" s="154">
        <f>+'Invullen groen'!C868</f>
        <v/>
      </c>
      <c r="C858" s="124">
        <f>+'Invullen groen'!G868</f>
        <v/>
      </c>
      <c r="D858" s="113">
        <f>+'Invullen groen'!M868</f>
        <v/>
      </c>
      <c r="E858" s="114">
        <f>+'Invullen groen'!H868</f>
        <v/>
      </c>
      <c r="F858" s="114">
        <f>+'Invullen groen'!I868</f>
        <v/>
      </c>
      <c r="G858" s="114">
        <f>+'Invullen groen'!J868</f>
        <v/>
      </c>
      <c r="H858" s="114">
        <f>+'Invullen groen'!K868</f>
        <v/>
      </c>
      <c r="I858" s="124">
        <f>+'Invullen groen'!AW868</f>
        <v/>
      </c>
      <c r="J858" s="124">
        <f>+'Invullen groen'!AX868</f>
        <v/>
      </c>
      <c r="K858" s="124">
        <f>+'Invullen groen'!AY868</f>
        <v/>
      </c>
      <c r="L858" s="124">
        <f>+'Invullen groen'!AZ868</f>
        <v/>
      </c>
      <c r="M858" s="124">
        <f>+'Invullen groen'!BA868</f>
        <v/>
      </c>
      <c r="N858" s="124">
        <f>+'Invullen groen'!BB868</f>
        <v/>
      </c>
      <c r="O858" s="124">
        <f>+'Invullen groen'!BC868</f>
        <v/>
      </c>
      <c r="P858" s="124">
        <f>+'Invullen groen'!BD868</f>
        <v/>
      </c>
    </row>
    <row r="859">
      <c r="A859" s="113">
        <f>+'Invullen groen'!A869</f>
        <v/>
      </c>
      <c r="B859" s="154">
        <f>+'Invullen groen'!C869</f>
        <v/>
      </c>
      <c r="C859" s="124">
        <f>+'Invullen groen'!G869</f>
        <v/>
      </c>
      <c r="D859" s="113">
        <f>+'Invullen groen'!M869</f>
        <v/>
      </c>
      <c r="E859" s="114">
        <f>+'Invullen groen'!H869</f>
        <v/>
      </c>
      <c r="F859" s="114">
        <f>+'Invullen groen'!I869</f>
        <v/>
      </c>
      <c r="G859" s="114">
        <f>+'Invullen groen'!J869</f>
        <v/>
      </c>
      <c r="H859" s="114">
        <f>+'Invullen groen'!K869</f>
        <v/>
      </c>
      <c r="I859" s="124">
        <f>+'Invullen groen'!AW869</f>
        <v/>
      </c>
      <c r="J859" s="124">
        <f>+'Invullen groen'!AX869</f>
        <v/>
      </c>
      <c r="K859" s="124">
        <f>+'Invullen groen'!AY869</f>
        <v/>
      </c>
      <c r="L859" s="124">
        <f>+'Invullen groen'!AZ869</f>
        <v/>
      </c>
      <c r="M859" s="124">
        <f>+'Invullen groen'!BA869</f>
        <v/>
      </c>
      <c r="N859" s="124">
        <f>+'Invullen groen'!BB869</f>
        <v/>
      </c>
      <c r="O859" s="124">
        <f>+'Invullen groen'!BC869</f>
        <v/>
      </c>
      <c r="P859" s="124">
        <f>+'Invullen groen'!BD869</f>
        <v/>
      </c>
    </row>
    <row r="860">
      <c r="A860" s="113">
        <f>+'Invullen groen'!A870</f>
        <v/>
      </c>
      <c r="B860" s="154">
        <f>+'Invullen groen'!C870</f>
        <v/>
      </c>
      <c r="C860" s="124">
        <f>+'Invullen groen'!G870</f>
        <v/>
      </c>
      <c r="D860" s="113">
        <f>+'Invullen groen'!M870</f>
        <v/>
      </c>
      <c r="E860" s="114">
        <f>+'Invullen groen'!H870</f>
        <v/>
      </c>
      <c r="F860" s="114">
        <f>+'Invullen groen'!I870</f>
        <v/>
      </c>
      <c r="G860" s="114">
        <f>+'Invullen groen'!J870</f>
        <v/>
      </c>
      <c r="H860" s="114">
        <f>+'Invullen groen'!K870</f>
        <v/>
      </c>
      <c r="I860" s="124">
        <f>+'Invullen groen'!AW870</f>
        <v/>
      </c>
      <c r="J860" s="124">
        <f>+'Invullen groen'!AX870</f>
        <v/>
      </c>
      <c r="K860" s="124">
        <f>+'Invullen groen'!AY870</f>
        <v/>
      </c>
      <c r="L860" s="124">
        <f>+'Invullen groen'!AZ870</f>
        <v/>
      </c>
      <c r="M860" s="124">
        <f>+'Invullen groen'!BA870</f>
        <v/>
      </c>
      <c r="N860" s="124">
        <f>+'Invullen groen'!BB870</f>
        <v/>
      </c>
      <c r="O860" s="124">
        <f>+'Invullen groen'!BC870</f>
        <v/>
      </c>
      <c r="P860" s="124">
        <f>+'Invullen groen'!BD870</f>
        <v/>
      </c>
    </row>
    <row r="861">
      <c r="A861" s="113">
        <f>+'Invullen groen'!A871</f>
        <v/>
      </c>
      <c r="B861" s="154">
        <f>+'Invullen groen'!C871</f>
        <v/>
      </c>
      <c r="C861" s="124">
        <f>+'Invullen groen'!G871</f>
        <v/>
      </c>
      <c r="D861" s="113">
        <f>+'Invullen groen'!M871</f>
        <v/>
      </c>
      <c r="E861" s="114">
        <f>+'Invullen groen'!H871</f>
        <v/>
      </c>
      <c r="F861" s="114">
        <f>+'Invullen groen'!I871</f>
        <v/>
      </c>
      <c r="G861" s="114">
        <f>+'Invullen groen'!J871</f>
        <v/>
      </c>
      <c r="H861" s="114">
        <f>+'Invullen groen'!K871</f>
        <v/>
      </c>
      <c r="I861" s="124">
        <f>+'Invullen groen'!AW871</f>
        <v/>
      </c>
      <c r="J861" s="124">
        <f>+'Invullen groen'!AX871</f>
        <v/>
      </c>
      <c r="K861" s="124">
        <f>+'Invullen groen'!AY871</f>
        <v/>
      </c>
      <c r="L861" s="124">
        <f>+'Invullen groen'!AZ871</f>
        <v/>
      </c>
      <c r="M861" s="124">
        <f>+'Invullen groen'!BA871</f>
        <v/>
      </c>
      <c r="N861" s="124">
        <f>+'Invullen groen'!BB871</f>
        <v/>
      </c>
      <c r="O861" s="124">
        <f>+'Invullen groen'!BC871</f>
        <v/>
      </c>
      <c r="P861" s="124">
        <f>+'Invullen groen'!BD871</f>
        <v/>
      </c>
    </row>
    <row r="862">
      <c r="A862" s="113">
        <f>+'Invullen groen'!A872</f>
        <v/>
      </c>
      <c r="B862" s="154">
        <f>+'Invullen groen'!C872</f>
        <v/>
      </c>
      <c r="C862" s="124">
        <f>+'Invullen groen'!G872</f>
        <v/>
      </c>
      <c r="D862" s="113">
        <f>+'Invullen groen'!M872</f>
        <v/>
      </c>
      <c r="E862" s="114">
        <f>+'Invullen groen'!H872</f>
        <v/>
      </c>
      <c r="F862" s="114">
        <f>+'Invullen groen'!I872</f>
        <v/>
      </c>
      <c r="G862" s="114">
        <f>+'Invullen groen'!J872</f>
        <v/>
      </c>
      <c r="H862" s="114">
        <f>+'Invullen groen'!K872</f>
        <v/>
      </c>
      <c r="I862" s="124">
        <f>+'Invullen groen'!AW872</f>
        <v/>
      </c>
      <c r="J862" s="124">
        <f>+'Invullen groen'!AX872</f>
        <v/>
      </c>
      <c r="K862" s="124">
        <f>+'Invullen groen'!AY872</f>
        <v/>
      </c>
      <c r="L862" s="124">
        <f>+'Invullen groen'!AZ872</f>
        <v/>
      </c>
      <c r="M862" s="124">
        <f>+'Invullen groen'!BA872</f>
        <v/>
      </c>
      <c r="N862" s="124">
        <f>+'Invullen groen'!BB872</f>
        <v/>
      </c>
      <c r="O862" s="124">
        <f>+'Invullen groen'!BC872</f>
        <v/>
      </c>
      <c r="P862" s="124">
        <f>+'Invullen groen'!BD872</f>
        <v/>
      </c>
    </row>
    <row r="863">
      <c r="A863" s="113">
        <f>+'Invullen groen'!A873</f>
        <v/>
      </c>
      <c r="B863" s="154">
        <f>+'Invullen groen'!C873</f>
        <v/>
      </c>
      <c r="C863" s="124">
        <f>+'Invullen groen'!G873</f>
        <v/>
      </c>
      <c r="D863" s="113">
        <f>+'Invullen groen'!M873</f>
        <v/>
      </c>
      <c r="E863" s="114">
        <f>+'Invullen groen'!H873</f>
        <v/>
      </c>
      <c r="F863" s="114">
        <f>+'Invullen groen'!I873</f>
        <v/>
      </c>
      <c r="G863" s="114">
        <f>+'Invullen groen'!J873</f>
        <v/>
      </c>
      <c r="H863" s="114">
        <f>+'Invullen groen'!K873</f>
        <v/>
      </c>
      <c r="I863" s="124">
        <f>+'Invullen groen'!AW873</f>
        <v/>
      </c>
      <c r="J863" s="124">
        <f>+'Invullen groen'!AX873</f>
        <v/>
      </c>
      <c r="K863" s="124">
        <f>+'Invullen groen'!AY873</f>
        <v/>
      </c>
      <c r="L863" s="124">
        <f>+'Invullen groen'!AZ873</f>
        <v/>
      </c>
      <c r="M863" s="124">
        <f>+'Invullen groen'!BA873</f>
        <v/>
      </c>
      <c r="N863" s="124">
        <f>+'Invullen groen'!BB873</f>
        <v/>
      </c>
      <c r="O863" s="124">
        <f>+'Invullen groen'!BC873</f>
        <v/>
      </c>
      <c r="P863" s="124">
        <f>+'Invullen groen'!BD873</f>
        <v/>
      </c>
    </row>
    <row r="864">
      <c r="A864" s="113">
        <f>+'Invullen groen'!A874</f>
        <v/>
      </c>
      <c r="B864" s="154">
        <f>+'Invullen groen'!C874</f>
        <v/>
      </c>
      <c r="C864" s="124">
        <f>+'Invullen groen'!G874</f>
        <v/>
      </c>
      <c r="D864" s="113">
        <f>+'Invullen groen'!M874</f>
        <v/>
      </c>
      <c r="E864" s="114">
        <f>+'Invullen groen'!H874</f>
        <v/>
      </c>
      <c r="F864" s="114">
        <f>+'Invullen groen'!I874</f>
        <v/>
      </c>
      <c r="G864" s="114">
        <f>+'Invullen groen'!J874</f>
        <v/>
      </c>
      <c r="H864" s="114">
        <f>+'Invullen groen'!K874</f>
        <v/>
      </c>
      <c r="I864" s="124">
        <f>+'Invullen groen'!AW874</f>
        <v/>
      </c>
      <c r="J864" s="124">
        <f>+'Invullen groen'!AX874</f>
        <v/>
      </c>
      <c r="K864" s="124">
        <f>+'Invullen groen'!AY874</f>
        <v/>
      </c>
      <c r="L864" s="124">
        <f>+'Invullen groen'!AZ874</f>
        <v/>
      </c>
      <c r="M864" s="124">
        <f>+'Invullen groen'!BA874</f>
        <v/>
      </c>
      <c r="N864" s="124">
        <f>+'Invullen groen'!BB874</f>
        <v/>
      </c>
      <c r="O864" s="124">
        <f>+'Invullen groen'!BC874</f>
        <v/>
      </c>
      <c r="P864" s="124">
        <f>+'Invullen groen'!BD874</f>
        <v/>
      </c>
    </row>
    <row r="865">
      <c r="A865" s="113">
        <f>+'Invullen groen'!A875</f>
        <v/>
      </c>
      <c r="B865" s="154">
        <f>+'Invullen groen'!C875</f>
        <v/>
      </c>
      <c r="C865" s="124">
        <f>+'Invullen groen'!G875</f>
        <v/>
      </c>
      <c r="D865" s="113">
        <f>+'Invullen groen'!M875</f>
        <v/>
      </c>
      <c r="E865" s="114">
        <f>+'Invullen groen'!H875</f>
        <v/>
      </c>
      <c r="F865" s="114">
        <f>+'Invullen groen'!I875</f>
        <v/>
      </c>
      <c r="G865" s="114">
        <f>+'Invullen groen'!J875</f>
        <v/>
      </c>
      <c r="H865" s="114">
        <f>+'Invullen groen'!K875</f>
        <v/>
      </c>
      <c r="I865" s="124">
        <f>+'Invullen groen'!AW875</f>
        <v/>
      </c>
      <c r="J865" s="124">
        <f>+'Invullen groen'!AX875</f>
        <v/>
      </c>
      <c r="K865" s="124">
        <f>+'Invullen groen'!AY875</f>
        <v/>
      </c>
      <c r="L865" s="124">
        <f>+'Invullen groen'!AZ875</f>
        <v/>
      </c>
      <c r="M865" s="124">
        <f>+'Invullen groen'!BA875</f>
        <v/>
      </c>
      <c r="N865" s="124">
        <f>+'Invullen groen'!BB875</f>
        <v/>
      </c>
      <c r="O865" s="124">
        <f>+'Invullen groen'!BC875</f>
        <v/>
      </c>
      <c r="P865" s="124">
        <f>+'Invullen groen'!BD875</f>
        <v/>
      </c>
    </row>
    <row r="866">
      <c r="A866" s="113">
        <f>+'Invullen groen'!A876</f>
        <v/>
      </c>
      <c r="B866" s="154">
        <f>+'Invullen groen'!C876</f>
        <v/>
      </c>
      <c r="C866" s="124">
        <f>+'Invullen groen'!G876</f>
        <v/>
      </c>
      <c r="D866" s="113">
        <f>+'Invullen groen'!M876</f>
        <v/>
      </c>
      <c r="E866" s="114">
        <f>+'Invullen groen'!H876</f>
        <v/>
      </c>
      <c r="F866" s="114">
        <f>+'Invullen groen'!I876</f>
        <v/>
      </c>
      <c r="G866" s="114">
        <f>+'Invullen groen'!J876</f>
        <v/>
      </c>
      <c r="H866" s="114">
        <f>+'Invullen groen'!K876</f>
        <v/>
      </c>
      <c r="I866" s="124">
        <f>+'Invullen groen'!AW876</f>
        <v/>
      </c>
      <c r="J866" s="124">
        <f>+'Invullen groen'!AX876</f>
        <v/>
      </c>
      <c r="K866" s="124">
        <f>+'Invullen groen'!AY876</f>
        <v/>
      </c>
      <c r="L866" s="124">
        <f>+'Invullen groen'!AZ876</f>
        <v/>
      </c>
      <c r="M866" s="124">
        <f>+'Invullen groen'!BA876</f>
        <v/>
      </c>
      <c r="N866" s="124">
        <f>+'Invullen groen'!BB876</f>
        <v/>
      </c>
      <c r="O866" s="124">
        <f>+'Invullen groen'!BC876</f>
        <v/>
      </c>
      <c r="P866" s="124">
        <f>+'Invullen groen'!BD876</f>
        <v/>
      </c>
    </row>
    <row r="867">
      <c r="A867" s="113">
        <f>+'Invullen groen'!A877</f>
        <v/>
      </c>
      <c r="B867" s="154">
        <f>+'Invullen groen'!C877</f>
        <v/>
      </c>
      <c r="C867" s="124">
        <f>+'Invullen groen'!G877</f>
        <v/>
      </c>
      <c r="D867" s="113">
        <f>+'Invullen groen'!M877</f>
        <v/>
      </c>
      <c r="E867" s="114">
        <f>+'Invullen groen'!H877</f>
        <v/>
      </c>
      <c r="F867" s="114">
        <f>+'Invullen groen'!I877</f>
        <v/>
      </c>
      <c r="G867" s="114">
        <f>+'Invullen groen'!J877</f>
        <v/>
      </c>
      <c r="H867" s="114">
        <f>+'Invullen groen'!K877</f>
        <v/>
      </c>
      <c r="I867" s="124">
        <f>+'Invullen groen'!AW877</f>
        <v/>
      </c>
      <c r="J867" s="124">
        <f>+'Invullen groen'!AX877</f>
        <v/>
      </c>
      <c r="K867" s="124">
        <f>+'Invullen groen'!AY877</f>
        <v/>
      </c>
      <c r="L867" s="124">
        <f>+'Invullen groen'!AZ877</f>
        <v/>
      </c>
      <c r="M867" s="124">
        <f>+'Invullen groen'!BA877</f>
        <v/>
      </c>
      <c r="N867" s="124">
        <f>+'Invullen groen'!BB877</f>
        <v/>
      </c>
      <c r="O867" s="124">
        <f>+'Invullen groen'!BC877</f>
        <v/>
      </c>
      <c r="P867" s="124">
        <f>+'Invullen groen'!BD877</f>
        <v/>
      </c>
    </row>
    <row r="868">
      <c r="A868" s="113">
        <f>+'Invullen groen'!A878</f>
        <v/>
      </c>
      <c r="B868" s="154">
        <f>+'Invullen groen'!C878</f>
        <v/>
      </c>
      <c r="C868" s="124">
        <f>+'Invullen groen'!G878</f>
        <v/>
      </c>
      <c r="D868" s="113">
        <f>+'Invullen groen'!M878</f>
        <v/>
      </c>
      <c r="E868" s="114">
        <f>+'Invullen groen'!H878</f>
        <v/>
      </c>
      <c r="F868" s="114">
        <f>+'Invullen groen'!I878</f>
        <v/>
      </c>
      <c r="G868" s="114">
        <f>+'Invullen groen'!J878</f>
        <v/>
      </c>
      <c r="H868" s="114">
        <f>+'Invullen groen'!K878</f>
        <v/>
      </c>
      <c r="I868" s="124">
        <f>+'Invullen groen'!AW878</f>
        <v/>
      </c>
      <c r="J868" s="124">
        <f>+'Invullen groen'!AX878</f>
        <v/>
      </c>
      <c r="K868" s="124">
        <f>+'Invullen groen'!AY878</f>
        <v/>
      </c>
      <c r="L868" s="124">
        <f>+'Invullen groen'!AZ878</f>
        <v/>
      </c>
      <c r="M868" s="124">
        <f>+'Invullen groen'!BA878</f>
        <v/>
      </c>
      <c r="N868" s="124">
        <f>+'Invullen groen'!BB878</f>
        <v/>
      </c>
      <c r="O868" s="124">
        <f>+'Invullen groen'!BC878</f>
        <v/>
      </c>
      <c r="P868" s="124">
        <f>+'Invullen groen'!BD878</f>
        <v/>
      </c>
    </row>
    <row r="869">
      <c r="A869" s="113">
        <f>+'Invullen groen'!A879</f>
        <v/>
      </c>
      <c r="B869" s="154">
        <f>+'Invullen groen'!C879</f>
        <v/>
      </c>
      <c r="C869" s="124">
        <f>+'Invullen groen'!G879</f>
        <v/>
      </c>
      <c r="D869" s="113">
        <f>+'Invullen groen'!M879</f>
        <v/>
      </c>
      <c r="E869" s="114">
        <f>+'Invullen groen'!H879</f>
        <v/>
      </c>
      <c r="F869" s="114">
        <f>+'Invullen groen'!I879</f>
        <v/>
      </c>
      <c r="G869" s="114">
        <f>+'Invullen groen'!J879</f>
        <v/>
      </c>
      <c r="H869" s="114">
        <f>+'Invullen groen'!K879</f>
        <v/>
      </c>
      <c r="I869" s="124">
        <f>+'Invullen groen'!AW879</f>
        <v/>
      </c>
      <c r="J869" s="124">
        <f>+'Invullen groen'!AX879</f>
        <v/>
      </c>
      <c r="K869" s="124">
        <f>+'Invullen groen'!AY879</f>
        <v/>
      </c>
      <c r="L869" s="124">
        <f>+'Invullen groen'!AZ879</f>
        <v/>
      </c>
      <c r="M869" s="124">
        <f>+'Invullen groen'!BA879</f>
        <v/>
      </c>
      <c r="N869" s="124">
        <f>+'Invullen groen'!BB879</f>
        <v/>
      </c>
      <c r="O869" s="124">
        <f>+'Invullen groen'!BC879</f>
        <v/>
      </c>
      <c r="P869" s="124">
        <f>+'Invullen groen'!BD879</f>
        <v/>
      </c>
    </row>
    <row r="870">
      <c r="A870" s="113">
        <f>+'Invullen groen'!A880</f>
        <v/>
      </c>
      <c r="B870" s="154">
        <f>+'Invullen groen'!C880</f>
        <v/>
      </c>
      <c r="C870" s="124">
        <f>+'Invullen groen'!G880</f>
        <v/>
      </c>
      <c r="D870" s="113">
        <f>+'Invullen groen'!M880</f>
        <v/>
      </c>
      <c r="E870" s="114">
        <f>+'Invullen groen'!H880</f>
        <v/>
      </c>
      <c r="F870" s="114">
        <f>+'Invullen groen'!I880</f>
        <v/>
      </c>
      <c r="G870" s="114">
        <f>+'Invullen groen'!J880</f>
        <v/>
      </c>
      <c r="H870" s="114">
        <f>+'Invullen groen'!K880</f>
        <v/>
      </c>
      <c r="I870" s="124">
        <f>+'Invullen groen'!AW880</f>
        <v/>
      </c>
      <c r="J870" s="124">
        <f>+'Invullen groen'!AX880</f>
        <v/>
      </c>
      <c r="K870" s="124">
        <f>+'Invullen groen'!AY880</f>
        <v/>
      </c>
      <c r="L870" s="124">
        <f>+'Invullen groen'!AZ880</f>
        <v/>
      </c>
      <c r="M870" s="124">
        <f>+'Invullen groen'!BA880</f>
        <v/>
      </c>
      <c r="N870" s="124">
        <f>+'Invullen groen'!BB880</f>
        <v/>
      </c>
      <c r="O870" s="124">
        <f>+'Invullen groen'!BC880</f>
        <v/>
      </c>
      <c r="P870" s="124">
        <f>+'Invullen groen'!BD880</f>
        <v/>
      </c>
    </row>
    <row r="871">
      <c r="A871" s="113">
        <f>+'Invullen groen'!A881</f>
        <v/>
      </c>
      <c r="B871" s="154">
        <f>+'Invullen groen'!C881</f>
        <v/>
      </c>
      <c r="C871" s="124">
        <f>+'Invullen groen'!G881</f>
        <v/>
      </c>
      <c r="D871" s="113">
        <f>+'Invullen groen'!M881</f>
        <v/>
      </c>
      <c r="E871" s="114">
        <f>+'Invullen groen'!H881</f>
        <v/>
      </c>
      <c r="F871" s="114">
        <f>+'Invullen groen'!I881</f>
        <v/>
      </c>
      <c r="G871" s="114">
        <f>+'Invullen groen'!J881</f>
        <v/>
      </c>
      <c r="H871" s="114">
        <f>+'Invullen groen'!K881</f>
        <v/>
      </c>
      <c r="I871" s="124">
        <f>+'Invullen groen'!AW881</f>
        <v/>
      </c>
      <c r="J871" s="124">
        <f>+'Invullen groen'!AX881</f>
        <v/>
      </c>
      <c r="K871" s="124">
        <f>+'Invullen groen'!AY881</f>
        <v/>
      </c>
      <c r="L871" s="124">
        <f>+'Invullen groen'!AZ881</f>
        <v/>
      </c>
      <c r="M871" s="124">
        <f>+'Invullen groen'!BA881</f>
        <v/>
      </c>
      <c r="N871" s="124">
        <f>+'Invullen groen'!BB881</f>
        <v/>
      </c>
      <c r="O871" s="124">
        <f>+'Invullen groen'!BC881</f>
        <v/>
      </c>
      <c r="P871" s="124">
        <f>+'Invullen groen'!BD881</f>
        <v/>
      </c>
    </row>
    <row r="872">
      <c r="A872" s="113">
        <f>+'Invullen groen'!A882</f>
        <v/>
      </c>
      <c r="B872" s="154">
        <f>+'Invullen groen'!C882</f>
        <v/>
      </c>
      <c r="C872" s="124">
        <f>+'Invullen groen'!G882</f>
        <v/>
      </c>
      <c r="D872" s="113">
        <f>+'Invullen groen'!M882</f>
        <v/>
      </c>
      <c r="E872" s="114">
        <f>+'Invullen groen'!H882</f>
        <v/>
      </c>
      <c r="F872" s="114">
        <f>+'Invullen groen'!I882</f>
        <v/>
      </c>
      <c r="G872" s="114">
        <f>+'Invullen groen'!J882</f>
        <v/>
      </c>
      <c r="H872" s="114">
        <f>+'Invullen groen'!K882</f>
        <v/>
      </c>
      <c r="I872" s="124">
        <f>+'Invullen groen'!AW882</f>
        <v/>
      </c>
      <c r="J872" s="124">
        <f>+'Invullen groen'!AX882</f>
        <v/>
      </c>
      <c r="K872" s="124">
        <f>+'Invullen groen'!AY882</f>
        <v/>
      </c>
      <c r="L872" s="124">
        <f>+'Invullen groen'!AZ882</f>
        <v/>
      </c>
      <c r="M872" s="124">
        <f>+'Invullen groen'!BA882</f>
        <v/>
      </c>
      <c r="N872" s="124">
        <f>+'Invullen groen'!BB882</f>
        <v/>
      </c>
      <c r="O872" s="124">
        <f>+'Invullen groen'!BC882</f>
        <v/>
      </c>
      <c r="P872" s="124">
        <f>+'Invullen groen'!BD882</f>
        <v/>
      </c>
    </row>
    <row r="873">
      <c r="A873" s="113">
        <f>+'Invullen groen'!A883</f>
        <v/>
      </c>
      <c r="B873" s="154">
        <f>+'Invullen groen'!C883</f>
        <v/>
      </c>
      <c r="C873" s="124">
        <f>+'Invullen groen'!G883</f>
        <v/>
      </c>
      <c r="D873" s="113">
        <f>+'Invullen groen'!M883</f>
        <v/>
      </c>
      <c r="E873" s="114">
        <f>+'Invullen groen'!H883</f>
        <v/>
      </c>
      <c r="F873" s="114">
        <f>+'Invullen groen'!I883</f>
        <v/>
      </c>
      <c r="G873" s="114">
        <f>+'Invullen groen'!J883</f>
        <v/>
      </c>
      <c r="H873" s="114">
        <f>+'Invullen groen'!K883</f>
        <v/>
      </c>
      <c r="I873" s="124">
        <f>+'Invullen groen'!AW883</f>
        <v/>
      </c>
      <c r="J873" s="124">
        <f>+'Invullen groen'!AX883</f>
        <v/>
      </c>
      <c r="K873" s="124">
        <f>+'Invullen groen'!AY883</f>
        <v/>
      </c>
      <c r="L873" s="124">
        <f>+'Invullen groen'!AZ883</f>
        <v/>
      </c>
      <c r="M873" s="124">
        <f>+'Invullen groen'!BA883</f>
        <v/>
      </c>
      <c r="N873" s="124">
        <f>+'Invullen groen'!BB883</f>
        <v/>
      </c>
      <c r="O873" s="124">
        <f>+'Invullen groen'!BC883</f>
        <v/>
      </c>
      <c r="P873" s="124">
        <f>+'Invullen groen'!BD883</f>
        <v/>
      </c>
    </row>
    <row r="874">
      <c r="A874" s="113">
        <f>+'Invullen groen'!A884</f>
        <v/>
      </c>
      <c r="B874" s="154">
        <f>+'Invullen groen'!C884</f>
        <v/>
      </c>
      <c r="C874" s="124">
        <f>+'Invullen groen'!G884</f>
        <v/>
      </c>
      <c r="D874" s="113">
        <f>+'Invullen groen'!M884</f>
        <v/>
      </c>
      <c r="E874" s="114">
        <f>+'Invullen groen'!H884</f>
        <v/>
      </c>
      <c r="F874" s="114">
        <f>+'Invullen groen'!I884</f>
        <v/>
      </c>
      <c r="G874" s="114">
        <f>+'Invullen groen'!J884</f>
        <v/>
      </c>
      <c r="H874" s="114">
        <f>+'Invullen groen'!K884</f>
        <v/>
      </c>
      <c r="I874" s="124">
        <f>+'Invullen groen'!AW884</f>
        <v/>
      </c>
      <c r="J874" s="124">
        <f>+'Invullen groen'!AX884</f>
        <v/>
      </c>
      <c r="K874" s="124">
        <f>+'Invullen groen'!AY884</f>
        <v/>
      </c>
      <c r="L874" s="124">
        <f>+'Invullen groen'!AZ884</f>
        <v/>
      </c>
      <c r="M874" s="124">
        <f>+'Invullen groen'!BA884</f>
        <v/>
      </c>
      <c r="N874" s="124">
        <f>+'Invullen groen'!BB884</f>
        <v/>
      </c>
      <c r="O874" s="124">
        <f>+'Invullen groen'!BC884</f>
        <v/>
      </c>
      <c r="P874" s="124">
        <f>+'Invullen groen'!BD884</f>
        <v/>
      </c>
    </row>
    <row r="875">
      <c r="A875" s="113">
        <f>+'Invullen groen'!A885</f>
        <v/>
      </c>
      <c r="B875" s="154">
        <f>+'Invullen groen'!C885</f>
        <v/>
      </c>
      <c r="C875" s="124">
        <f>+'Invullen groen'!G885</f>
        <v/>
      </c>
      <c r="D875" s="113">
        <f>+'Invullen groen'!M885</f>
        <v/>
      </c>
      <c r="E875" s="114">
        <f>+'Invullen groen'!H885</f>
        <v/>
      </c>
      <c r="F875" s="114">
        <f>+'Invullen groen'!I885</f>
        <v/>
      </c>
      <c r="G875" s="114">
        <f>+'Invullen groen'!J885</f>
        <v/>
      </c>
      <c r="H875" s="114">
        <f>+'Invullen groen'!K885</f>
        <v/>
      </c>
      <c r="I875" s="124">
        <f>+'Invullen groen'!AW885</f>
        <v/>
      </c>
      <c r="J875" s="124">
        <f>+'Invullen groen'!AX885</f>
        <v/>
      </c>
      <c r="K875" s="124">
        <f>+'Invullen groen'!AY885</f>
        <v/>
      </c>
      <c r="L875" s="124">
        <f>+'Invullen groen'!AZ885</f>
        <v/>
      </c>
      <c r="M875" s="124">
        <f>+'Invullen groen'!BA885</f>
        <v/>
      </c>
      <c r="N875" s="124">
        <f>+'Invullen groen'!BB885</f>
        <v/>
      </c>
      <c r="O875" s="124">
        <f>+'Invullen groen'!BC885</f>
        <v/>
      </c>
      <c r="P875" s="124">
        <f>+'Invullen groen'!BD885</f>
        <v/>
      </c>
    </row>
    <row r="876">
      <c r="A876" s="113">
        <f>+'Invullen groen'!A886</f>
        <v/>
      </c>
      <c r="B876" s="154">
        <f>+'Invullen groen'!C886</f>
        <v/>
      </c>
      <c r="C876" s="124">
        <f>+'Invullen groen'!G886</f>
        <v/>
      </c>
      <c r="D876" s="113">
        <f>+'Invullen groen'!M886</f>
        <v/>
      </c>
      <c r="E876" s="114">
        <f>+'Invullen groen'!H886</f>
        <v/>
      </c>
      <c r="F876" s="114">
        <f>+'Invullen groen'!I886</f>
        <v/>
      </c>
      <c r="G876" s="114">
        <f>+'Invullen groen'!J886</f>
        <v/>
      </c>
      <c r="H876" s="114">
        <f>+'Invullen groen'!K886</f>
        <v/>
      </c>
      <c r="I876" s="124">
        <f>+'Invullen groen'!AW886</f>
        <v/>
      </c>
      <c r="J876" s="124">
        <f>+'Invullen groen'!AX886</f>
        <v/>
      </c>
      <c r="K876" s="124">
        <f>+'Invullen groen'!AY886</f>
        <v/>
      </c>
      <c r="L876" s="124">
        <f>+'Invullen groen'!AZ886</f>
        <v/>
      </c>
      <c r="M876" s="124">
        <f>+'Invullen groen'!BA886</f>
        <v/>
      </c>
      <c r="N876" s="124">
        <f>+'Invullen groen'!BB886</f>
        <v/>
      </c>
      <c r="O876" s="124">
        <f>+'Invullen groen'!BC886</f>
        <v/>
      </c>
      <c r="P876" s="124">
        <f>+'Invullen groen'!BD886</f>
        <v/>
      </c>
    </row>
    <row r="877">
      <c r="A877" s="113">
        <f>+'Invullen groen'!A887</f>
        <v/>
      </c>
      <c r="B877" s="154">
        <f>+'Invullen groen'!C887</f>
        <v/>
      </c>
      <c r="C877" s="124">
        <f>+'Invullen groen'!G887</f>
        <v/>
      </c>
      <c r="D877" s="113">
        <f>+'Invullen groen'!M887</f>
        <v/>
      </c>
      <c r="E877" s="114">
        <f>+'Invullen groen'!H887</f>
        <v/>
      </c>
      <c r="F877" s="114">
        <f>+'Invullen groen'!I887</f>
        <v/>
      </c>
      <c r="G877" s="114">
        <f>+'Invullen groen'!J887</f>
        <v/>
      </c>
      <c r="H877" s="114">
        <f>+'Invullen groen'!K887</f>
        <v/>
      </c>
      <c r="I877" s="124">
        <f>+'Invullen groen'!AW887</f>
        <v/>
      </c>
      <c r="J877" s="124">
        <f>+'Invullen groen'!AX887</f>
        <v/>
      </c>
      <c r="K877" s="124">
        <f>+'Invullen groen'!AY887</f>
        <v/>
      </c>
      <c r="L877" s="124">
        <f>+'Invullen groen'!AZ887</f>
        <v/>
      </c>
      <c r="M877" s="124">
        <f>+'Invullen groen'!BA887</f>
        <v/>
      </c>
      <c r="N877" s="124">
        <f>+'Invullen groen'!BB887</f>
        <v/>
      </c>
      <c r="O877" s="124">
        <f>+'Invullen groen'!BC887</f>
        <v/>
      </c>
      <c r="P877" s="124">
        <f>+'Invullen groen'!BD887</f>
        <v/>
      </c>
    </row>
    <row r="878">
      <c r="A878" s="113">
        <f>+'Invullen groen'!A888</f>
        <v/>
      </c>
      <c r="B878" s="154">
        <f>+'Invullen groen'!C888</f>
        <v/>
      </c>
      <c r="C878" s="124">
        <f>+'Invullen groen'!G888</f>
        <v/>
      </c>
      <c r="D878" s="113">
        <f>+'Invullen groen'!M888</f>
        <v/>
      </c>
      <c r="E878" s="114">
        <f>+'Invullen groen'!H888</f>
        <v/>
      </c>
      <c r="F878" s="114">
        <f>+'Invullen groen'!I888</f>
        <v/>
      </c>
      <c r="G878" s="114">
        <f>+'Invullen groen'!J888</f>
        <v/>
      </c>
      <c r="H878" s="114">
        <f>+'Invullen groen'!K888</f>
        <v/>
      </c>
      <c r="I878" s="124">
        <f>+'Invullen groen'!AW888</f>
        <v/>
      </c>
      <c r="J878" s="124">
        <f>+'Invullen groen'!AX888</f>
        <v/>
      </c>
      <c r="K878" s="124">
        <f>+'Invullen groen'!AY888</f>
        <v/>
      </c>
      <c r="L878" s="124">
        <f>+'Invullen groen'!AZ888</f>
        <v/>
      </c>
      <c r="M878" s="124">
        <f>+'Invullen groen'!BA888</f>
        <v/>
      </c>
      <c r="N878" s="124">
        <f>+'Invullen groen'!BB888</f>
        <v/>
      </c>
      <c r="O878" s="124">
        <f>+'Invullen groen'!BC888</f>
        <v/>
      </c>
      <c r="P878" s="124">
        <f>+'Invullen groen'!BD888</f>
        <v/>
      </c>
    </row>
    <row r="879">
      <c r="A879" s="113">
        <f>+'Invullen groen'!A889</f>
        <v/>
      </c>
      <c r="B879" s="154">
        <f>+'Invullen groen'!C889</f>
        <v/>
      </c>
      <c r="C879" s="124">
        <f>+'Invullen groen'!G889</f>
        <v/>
      </c>
      <c r="D879" s="113">
        <f>+'Invullen groen'!M889</f>
        <v/>
      </c>
      <c r="E879" s="114">
        <f>+'Invullen groen'!H889</f>
        <v/>
      </c>
      <c r="F879" s="114">
        <f>+'Invullen groen'!I889</f>
        <v/>
      </c>
      <c r="G879" s="114">
        <f>+'Invullen groen'!J889</f>
        <v/>
      </c>
      <c r="H879" s="114">
        <f>+'Invullen groen'!K889</f>
        <v/>
      </c>
      <c r="I879" s="124">
        <f>+'Invullen groen'!AW889</f>
        <v/>
      </c>
      <c r="J879" s="124">
        <f>+'Invullen groen'!AX889</f>
        <v/>
      </c>
      <c r="K879" s="124">
        <f>+'Invullen groen'!AY889</f>
        <v/>
      </c>
      <c r="L879" s="124">
        <f>+'Invullen groen'!AZ889</f>
        <v/>
      </c>
      <c r="M879" s="124">
        <f>+'Invullen groen'!BA889</f>
        <v/>
      </c>
      <c r="N879" s="124">
        <f>+'Invullen groen'!BB889</f>
        <v/>
      </c>
      <c r="O879" s="124">
        <f>+'Invullen groen'!BC889</f>
        <v/>
      </c>
      <c r="P879" s="124">
        <f>+'Invullen groen'!BD889</f>
        <v/>
      </c>
    </row>
    <row r="880">
      <c r="A880" s="113">
        <f>+'Invullen groen'!A890</f>
        <v/>
      </c>
      <c r="B880" s="154">
        <f>+'Invullen groen'!C890</f>
        <v/>
      </c>
      <c r="C880" s="124">
        <f>+'Invullen groen'!G890</f>
        <v/>
      </c>
      <c r="D880" s="113">
        <f>+'Invullen groen'!M890</f>
        <v/>
      </c>
      <c r="E880" s="114">
        <f>+'Invullen groen'!H890</f>
        <v/>
      </c>
      <c r="F880" s="114">
        <f>+'Invullen groen'!I890</f>
        <v/>
      </c>
      <c r="G880" s="114">
        <f>+'Invullen groen'!J890</f>
        <v/>
      </c>
      <c r="H880" s="114">
        <f>+'Invullen groen'!K890</f>
        <v/>
      </c>
      <c r="I880" s="124">
        <f>+'Invullen groen'!AW890</f>
        <v/>
      </c>
      <c r="J880" s="124">
        <f>+'Invullen groen'!AX890</f>
        <v/>
      </c>
      <c r="K880" s="124">
        <f>+'Invullen groen'!AY890</f>
        <v/>
      </c>
      <c r="L880" s="124">
        <f>+'Invullen groen'!AZ890</f>
        <v/>
      </c>
      <c r="M880" s="124">
        <f>+'Invullen groen'!BA890</f>
        <v/>
      </c>
      <c r="N880" s="124">
        <f>+'Invullen groen'!BB890</f>
        <v/>
      </c>
      <c r="O880" s="124">
        <f>+'Invullen groen'!BC890</f>
        <v/>
      </c>
      <c r="P880" s="124">
        <f>+'Invullen groen'!BD890</f>
        <v/>
      </c>
    </row>
    <row r="881">
      <c r="A881" s="113">
        <f>+'Invullen groen'!A891</f>
        <v/>
      </c>
      <c r="B881" s="154">
        <f>+'Invullen groen'!C891</f>
        <v/>
      </c>
      <c r="C881" s="124">
        <f>+'Invullen groen'!G891</f>
        <v/>
      </c>
      <c r="D881" s="113">
        <f>+'Invullen groen'!M891</f>
        <v/>
      </c>
      <c r="E881" s="114">
        <f>+'Invullen groen'!H891</f>
        <v/>
      </c>
      <c r="F881" s="114">
        <f>+'Invullen groen'!I891</f>
        <v/>
      </c>
      <c r="G881" s="114">
        <f>+'Invullen groen'!J891</f>
        <v/>
      </c>
      <c r="H881" s="114">
        <f>+'Invullen groen'!K891</f>
        <v/>
      </c>
      <c r="I881" s="124">
        <f>+'Invullen groen'!AW891</f>
        <v/>
      </c>
      <c r="J881" s="124">
        <f>+'Invullen groen'!AX891</f>
        <v/>
      </c>
      <c r="K881" s="124">
        <f>+'Invullen groen'!AY891</f>
        <v/>
      </c>
      <c r="L881" s="124">
        <f>+'Invullen groen'!AZ891</f>
        <v/>
      </c>
      <c r="M881" s="124">
        <f>+'Invullen groen'!BA891</f>
        <v/>
      </c>
      <c r="N881" s="124">
        <f>+'Invullen groen'!BB891</f>
        <v/>
      </c>
      <c r="O881" s="124">
        <f>+'Invullen groen'!BC891</f>
        <v/>
      </c>
      <c r="P881" s="124">
        <f>+'Invullen groen'!BD891</f>
        <v/>
      </c>
    </row>
    <row r="882">
      <c r="A882" s="113">
        <f>+'Invullen groen'!A892</f>
        <v/>
      </c>
      <c r="B882" s="154">
        <f>+'Invullen groen'!C892</f>
        <v/>
      </c>
      <c r="C882" s="124">
        <f>+'Invullen groen'!G892</f>
        <v/>
      </c>
      <c r="D882" s="113">
        <f>+'Invullen groen'!M892</f>
        <v/>
      </c>
      <c r="E882" s="114">
        <f>+'Invullen groen'!H892</f>
        <v/>
      </c>
      <c r="F882" s="114">
        <f>+'Invullen groen'!I892</f>
        <v/>
      </c>
      <c r="G882" s="114">
        <f>+'Invullen groen'!J892</f>
        <v/>
      </c>
      <c r="H882" s="114">
        <f>+'Invullen groen'!K892</f>
        <v/>
      </c>
      <c r="I882" s="124">
        <f>+'Invullen groen'!AW892</f>
        <v/>
      </c>
      <c r="J882" s="124">
        <f>+'Invullen groen'!AX892</f>
        <v/>
      </c>
      <c r="K882" s="124">
        <f>+'Invullen groen'!AY892</f>
        <v/>
      </c>
      <c r="L882" s="124">
        <f>+'Invullen groen'!AZ892</f>
        <v/>
      </c>
      <c r="M882" s="124">
        <f>+'Invullen groen'!BA892</f>
        <v/>
      </c>
      <c r="N882" s="124">
        <f>+'Invullen groen'!BB892</f>
        <v/>
      </c>
      <c r="O882" s="124">
        <f>+'Invullen groen'!BC892</f>
        <v/>
      </c>
      <c r="P882" s="124">
        <f>+'Invullen groen'!BD892</f>
        <v/>
      </c>
    </row>
    <row r="883">
      <c r="A883" s="113">
        <f>+'Invullen groen'!A893</f>
        <v/>
      </c>
      <c r="B883" s="154">
        <f>+'Invullen groen'!C893</f>
        <v/>
      </c>
      <c r="C883" s="124">
        <f>+'Invullen groen'!G893</f>
        <v/>
      </c>
      <c r="D883" s="113">
        <f>+'Invullen groen'!M893</f>
        <v/>
      </c>
      <c r="E883" s="114">
        <f>+'Invullen groen'!H893</f>
        <v/>
      </c>
      <c r="F883" s="114">
        <f>+'Invullen groen'!I893</f>
        <v/>
      </c>
      <c r="G883" s="114">
        <f>+'Invullen groen'!J893</f>
        <v/>
      </c>
      <c r="H883" s="114">
        <f>+'Invullen groen'!K893</f>
        <v/>
      </c>
      <c r="I883" s="124">
        <f>+'Invullen groen'!AW893</f>
        <v/>
      </c>
      <c r="J883" s="124">
        <f>+'Invullen groen'!AX893</f>
        <v/>
      </c>
      <c r="K883" s="124">
        <f>+'Invullen groen'!AY893</f>
        <v/>
      </c>
      <c r="L883" s="124">
        <f>+'Invullen groen'!AZ893</f>
        <v/>
      </c>
      <c r="M883" s="124">
        <f>+'Invullen groen'!BA893</f>
        <v/>
      </c>
      <c r="N883" s="124">
        <f>+'Invullen groen'!BB893</f>
        <v/>
      </c>
      <c r="O883" s="124">
        <f>+'Invullen groen'!BC893</f>
        <v/>
      </c>
      <c r="P883" s="124">
        <f>+'Invullen groen'!BD893</f>
        <v/>
      </c>
    </row>
    <row r="884">
      <c r="A884" s="113">
        <f>+'Invullen groen'!A894</f>
        <v/>
      </c>
      <c r="B884" s="154">
        <f>+'Invullen groen'!C894</f>
        <v/>
      </c>
      <c r="C884" s="124">
        <f>+'Invullen groen'!G894</f>
        <v/>
      </c>
      <c r="D884" s="113">
        <f>+'Invullen groen'!M894</f>
        <v/>
      </c>
      <c r="E884" s="114">
        <f>+'Invullen groen'!H894</f>
        <v/>
      </c>
      <c r="F884" s="114">
        <f>+'Invullen groen'!I894</f>
        <v/>
      </c>
      <c r="G884" s="114">
        <f>+'Invullen groen'!J894</f>
        <v/>
      </c>
      <c r="H884" s="114">
        <f>+'Invullen groen'!K894</f>
        <v/>
      </c>
      <c r="I884" s="124">
        <f>+'Invullen groen'!AW894</f>
        <v/>
      </c>
      <c r="J884" s="124">
        <f>+'Invullen groen'!AX894</f>
        <v/>
      </c>
      <c r="K884" s="124">
        <f>+'Invullen groen'!AY894</f>
        <v/>
      </c>
      <c r="L884" s="124">
        <f>+'Invullen groen'!AZ894</f>
        <v/>
      </c>
      <c r="M884" s="124">
        <f>+'Invullen groen'!BA894</f>
        <v/>
      </c>
      <c r="N884" s="124">
        <f>+'Invullen groen'!BB894</f>
        <v/>
      </c>
      <c r="O884" s="124">
        <f>+'Invullen groen'!BC894</f>
        <v/>
      </c>
      <c r="P884" s="124">
        <f>+'Invullen groen'!BD894</f>
        <v/>
      </c>
    </row>
    <row r="885">
      <c r="A885" s="113">
        <f>+'Invullen groen'!A895</f>
        <v/>
      </c>
      <c r="B885" s="154">
        <f>+'Invullen groen'!C895</f>
        <v/>
      </c>
      <c r="C885" s="124">
        <f>+'Invullen groen'!G895</f>
        <v/>
      </c>
      <c r="D885" s="113">
        <f>+'Invullen groen'!M895</f>
        <v/>
      </c>
      <c r="E885" s="114">
        <f>+'Invullen groen'!H895</f>
        <v/>
      </c>
      <c r="F885" s="114">
        <f>+'Invullen groen'!I895</f>
        <v/>
      </c>
      <c r="G885" s="114">
        <f>+'Invullen groen'!J895</f>
        <v/>
      </c>
      <c r="H885" s="114">
        <f>+'Invullen groen'!K895</f>
        <v/>
      </c>
      <c r="I885" s="124">
        <f>+'Invullen groen'!AW895</f>
        <v/>
      </c>
      <c r="J885" s="124">
        <f>+'Invullen groen'!AX895</f>
        <v/>
      </c>
      <c r="K885" s="124">
        <f>+'Invullen groen'!AY895</f>
        <v/>
      </c>
      <c r="L885" s="124">
        <f>+'Invullen groen'!AZ895</f>
        <v/>
      </c>
      <c r="M885" s="124">
        <f>+'Invullen groen'!BA895</f>
        <v/>
      </c>
      <c r="N885" s="124">
        <f>+'Invullen groen'!BB895</f>
        <v/>
      </c>
      <c r="O885" s="124">
        <f>+'Invullen groen'!BC895</f>
        <v/>
      </c>
      <c r="P885" s="124">
        <f>+'Invullen groen'!BD895</f>
        <v/>
      </c>
    </row>
    <row r="886">
      <c r="A886" s="113">
        <f>+'Invullen groen'!A896</f>
        <v/>
      </c>
      <c r="B886" s="154">
        <f>+'Invullen groen'!C896</f>
        <v/>
      </c>
      <c r="C886" s="124">
        <f>+'Invullen groen'!G896</f>
        <v/>
      </c>
      <c r="D886" s="113">
        <f>+'Invullen groen'!M896</f>
        <v/>
      </c>
      <c r="E886" s="114">
        <f>+'Invullen groen'!H896</f>
        <v/>
      </c>
      <c r="F886" s="114">
        <f>+'Invullen groen'!I896</f>
        <v/>
      </c>
      <c r="G886" s="114">
        <f>+'Invullen groen'!J896</f>
        <v/>
      </c>
      <c r="H886" s="114">
        <f>+'Invullen groen'!K896</f>
        <v/>
      </c>
      <c r="I886" s="124">
        <f>+'Invullen groen'!AW896</f>
        <v/>
      </c>
      <c r="J886" s="124">
        <f>+'Invullen groen'!AX896</f>
        <v/>
      </c>
      <c r="K886" s="124">
        <f>+'Invullen groen'!AY896</f>
        <v/>
      </c>
      <c r="L886" s="124">
        <f>+'Invullen groen'!AZ896</f>
        <v/>
      </c>
      <c r="M886" s="124">
        <f>+'Invullen groen'!BA896</f>
        <v/>
      </c>
      <c r="N886" s="124">
        <f>+'Invullen groen'!BB896</f>
        <v/>
      </c>
      <c r="O886" s="124">
        <f>+'Invullen groen'!BC896</f>
        <v/>
      </c>
      <c r="P886" s="124">
        <f>+'Invullen groen'!BD896</f>
        <v/>
      </c>
    </row>
    <row r="887">
      <c r="A887" s="113">
        <f>+'Invullen groen'!A897</f>
        <v/>
      </c>
      <c r="B887" s="154">
        <f>+'Invullen groen'!C897</f>
        <v/>
      </c>
      <c r="C887" s="124">
        <f>+'Invullen groen'!G897</f>
        <v/>
      </c>
      <c r="D887" s="113">
        <f>+'Invullen groen'!M897</f>
        <v/>
      </c>
      <c r="E887" s="114">
        <f>+'Invullen groen'!H897</f>
        <v/>
      </c>
      <c r="F887" s="114">
        <f>+'Invullen groen'!I897</f>
        <v/>
      </c>
      <c r="G887" s="114">
        <f>+'Invullen groen'!J897</f>
        <v/>
      </c>
      <c r="H887" s="114">
        <f>+'Invullen groen'!K897</f>
        <v/>
      </c>
      <c r="I887" s="124">
        <f>+'Invullen groen'!AW897</f>
        <v/>
      </c>
      <c r="J887" s="124">
        <f>+'Invullen groen'!AX897</f>
        <v/>
      </c>
      <c r="K887" s="124">
        <f>+'Invullen groen'!AY897</f>
        <v/>
      </c>
      <c r="L887" s="124">
        <f>+'Invullen groen'!AZ897</f>
        <v/>
      </c>
      <c r="M887" s="124">
        <f>+'Invullen groen'!BA897</f>
        <v/>
      </c>
      <c r="N887" s="124">
        <f>+'Invullen groen'!BB897</f>
        <v/>
      </c>
      <c r="O887" s="124">
        <f>+'Invullen groen'!BC897</f>
        <v/>
      </c>
      <c r="P887" s="124">
        <f>+'Invullen groen'!BD897</f>
        <v/>
      </c>
    </row>
    <row r="888">
      <c r="A888" s="113">
        <f>+'Invullen groen'!A898</f>
        <v/>
      </c>
      <c r="B888" s="154">
        <f>+'Invullen groen'!C898</f>
        <v/>
      </c>
      <c r="C888" s="124">
        <f>+'Invullen groen'!G898</f>
        <v/>
      </c>
      <c r="D888" s="113">
        <f>+'Invullen groen'!M898</f>
        <v/>
      </c>
      <c r="E888" s="114">
        <f>+'Invullen groen'!H898</f>
        <v/>
      </c>
      <c r="F888" s="114">
        <f>+'Invullen groen'!I898</f>
        <v/>
      </c>
      <c r="G888" s="114">
        <f>+'Invullen groen'!J898</f>
        <v/>
      </c>
      <c r="H888" s="114">
        <f>+'Invullen groen'!K898</f>
        <v/>
      </c>
      <c r="I888" s="124">
        <f>+'Invullen groen'!AW898</f>
        <v/>
      </c>
      <c r="J888" s="124">
        <f>+'Invullen groen'!AX898</f>
        <v/>
      </c>
      <c r="K888" s="124">
        <f>+'Invullen groen'!AY898</f>
        <v/>
      </c>
      <c r="L888" s="124">
        <f>+'Invullen groen'!AZ898</f>
        <v/>
      </c>
      <c r="M888" s="124">
        <f>+'Invullen groen'!BA898</f>
        <v/>
      </c>
      <c r="N888" s="124">
        <f>+'Invullen groen'!BB898</f>
        <v/>
      </c>
      <c r="O888" s="124">
        <f>+'Invullen groen'!BC898</f>
        <v/>
      </c>
      <c r="P888" s="124">
        <f>+'Invullen groen'!BD898</f>
        <v/>
      </c>
    </row>
    <row r="889">
      <c r="A889" s="113">
        <f>+'Invullen groen'!A899</f>
        <v/>
      </c>
      <c r="B889" s="154">
        <f>+'Invullen groen'!C899</f>
        <v/>
      </c>
      <c r="C889" s="124">
        <f>+'Invullen groen'!G899</f>
        <v/>
      </c>
      <c r="D889" s="113">
        <f>+'Invullen groen'!M899</f>
        <v/>
      </c>
      <c r="E889" s="114">
        <f>+'Invullen groen'!H899</f>
        <v/>
      </c>
      <c r="F889" s="114">
        <f>+'Invullen groen'!I899</f>
        <v/>
      </c>
      <c r="G889" s="114">
        <f>+'Invullen groen'!J899</f>
        <v/>
      </c>
      <c r="H889" s="114">
        <f>+'Invullen groen'!K899</f>
        <v/>
      </c>
      <c r="I889" s="124">
        <f>+'Invullen groen'!AW899</f>
        <v/>
      </c>
      <c r="J889" s="124">
        <f>+'Invullen groen'!AX899</f>
        <v/>
      </c>
      <c r="K889" s="124">
        <f>+'Invullen groen'!AY899</f>
        <v/>
      </c>
      <c r="L889" s="124">
        <f>+'Invullen groen'!AZ899</f>
        <v/>
      </c>
      <c r="M889" s="124">
        <f>+'Invullen groen'!BA899</f>
        <v/>
      </c>
      <c r="N889" s="124">
        <f>+'Invullen groen'!BB899</f>
        <v/>
      </c>
      <c r="O889" s="124">
        <f>+'Invullen groen'!BC899</f>
        <v/>
      </c>
      <c r="P889" s="124">
        <f>+'Invullen groen'!BD899</f>
        <v/>
      </c>
    </row>
    <row r="890">
      <c r="A890" s="113">
        <f>+'Invullen groen'!A900</f>
        <v/>
      </c>
      <c r="B890" s="154">
        <f>+'Invullen groen'!C900</f>
        <v/>
      </c>
      <c r="C890" s="124">
        <f>+'Invullen groen'!G900</f>
        <v/>
      </c>
      <c r="D890" s="113">
        <f>+'Invullen groen'!M900</f>
        <v/>
      </c>
      <c r="E890" s="114">
        <f>+'Invullen groen'!H900</f>
        <v/>
      </c>
      <c r="F890" s="114">
        <f>+'Invullen groen'!I900</f>
        <v/>
      </c>
      <c r="G890" s="114">
        <f>+'Invullen groen'!J900</f>
        <v/>
      </c>
      <c r="H890" s="114">
        <f>+'Invullen groen'!K900</f>
        <v/>
      </c>
      <c r="I890" s="124">
        <f>+'Invullen groen'!AW900</f>
        <v/>
      </c>
      <c r="J890" s="124">
        <f>+'Invullen groen'!AX900</f>
        <v/>
      </c>
      <c r="K890" s="124">
        <f>+'Invullen groen'!AY900</f>
        <v/>
      </c>
      <c r="L890" s="124">
        <f>+'Invullen groen'!AZ900</f>
        <v/>
      </c>
      <c r="M890" s="124">
        <f>+'Invullen groen'!BA900</f>
        <v/>
      </c>
      <c r="N890" s="124">
        <f>+'Invullen groen'!BB900</f>
        <v/>
      </c>
      <c r="O890" s="124">
        <f>+'Invullen groen'!BC900</f>
        <v/>
      </c>
      <c r="P890" s="124">
        <f>+'Invullen groen'!BD900</f>
        <v/>
      </c>
    </row>
    <row r="891">
      <c r="A891" s="113">
        <f>+'Invullen groen'!A901</f>
        <v/>
      </c>
      <c r="B891" s="154">
        <f>+'Invullen groen'!C901</f>
        <v/>
      </c>
      <c r="C891" s="124">
        <f>+'Invullen groen'!G901</f>
        <v/>
      </c>
      <c r="D891" s="113">
        <f>+'Invullen groen'!M901</f>
        <v/>
      </c>
      <c r="E891" s="114">
        <f>+'Invullen groen'!H901</f>
        <v/>
      </c>
      <c r="F891" s="114">
        <f>+'Invullen groen'!I901</f>
        <v/>
      </c>
      <c r="G891" s="114">
        <f>+'Invullen groen'!J901</f>
        <v/>
      </c>
      <c r="H891" s="114">
        <f>+'Invullen groen'!K901</f>
        <v/>
      </c>
      <c r="I891" s="124">
        <f>+'Invullen groen'!AW901</f>
        <v/>
      </c>
      <c r="J891" s="124">
        <f>+'Invullen groen'!AX901</f>
        <v/>
      </c>
      <c r="K891" s="124">
        <f>+'Invullen groen'!AY901</f>
        <v/>
      </c>
      <c r="L891" s="124">
        <f>+'Invullen groen'!AZ901</f>
        <v/>
      </c>
      <c r="M891" s="124">
        <f>+'Invullen groen'!BA901</f>
        <v/>
      </c>
      <c r="N891" s="124">
        <f>+'Invullen groen'!BB901</f>
        <v/>
      </c>
      <c r="O891" s="124">
        <f>+'Invullen groen'!BC901</f>
        <v/>
      </c>
      <c r="P891" s="124">
        <f>+'Invullen groen'!BD901</f>
        <v/>
      </c>
    </row>
    <row r="892">
      <c r="A892" s="113">
        <f>+'Invullen groen'!A902</f>
        <v/>
      </c>
      <c r="B892" s="154">
        <f>+'Invullen groen'!C902</f>
        <v/>
      </c>
      <c r="C892" s="124">
        <f>+'Invullen groen'!G902</f>
        <v/>
      </c>
      <c r="D892" s="113">
        <f>+'Invullen groen'!M902</f>
        <v/>
      </c>
      <c r="E892" s="114">
        <f>+'Invullen groen'!H902</f>
        <v/>
      </c>
      <c r="F892" s="114">
        <f>+'Invullen groen'!I902</f>
        <v/>
      </c>
      <c r="G892" s="114">
        <f>+'Invullen groen'!J902</f>
        <v/>
      </c>
      <c r="H892" s="114">
        <f>+'Invullen groen'!K902</f>
        <v/>
      </c>
      <c r="I892" s="124">
        <f>+'Invullen groen'!AW902</f>
        <v/>
      </c>
      <c r="J892" s="124">
        <f>+'Invullen groen'!AX902</f>
        <v/>
      </c>
      <c r="K892" s="124">
        <f>+'Invullen groen'!AY902</f>
        <v/>
      </c>
      <c r="L892" s="124">
        <f>+'Invullen groen'!AZ902</f>
        <v/>
      </c>
      <c r="M892" s="124">
        <f>+'Invullen groen'!BA902</f>
        <v/>
      </c>
      <c r="N892" s="124">
        <f>+'Invullen groen'!BB902</f>
        <v/>
      </c>
      <c r="O892" s="124">
        <f>+'Invullen groen'!BC902</f>
        <v/>
      </c>
      <c r="P892" s="124">
        <f>+'Invullen groen'!BD902</f>
        <v/>
      </c>
    </row>
    <row r="893">
      <c r="A893" s="113">
        <f>+'Invullen groen'!A903</f>
        <v/>
      </c>
      <c r="B893" s="154">
        <f>+'Invullen groen'!C903</f>
        <v/>
      </c>
      <c r="C893" s="124">
        <f>+'Invullen groen'!G903</f>
        <v/>
      </c>
      <c r="D893" s="113">
        <f>+'Invullen groen'!M903</f>
        <v/>
      </c>
      <c r="E893" s="114">
        <f>+'Invullen groen'!H903</f>
        <v/>
      </c>
      <c r="F893" s="114">
        <f>+'Invullen groen'!I903</f>
        <v/>
      </c>
      <c r="G893" s="114">
        <f>+'Invullen groen'!J903</f>
        <v/>
      </c>
      <c r="H893" s="114">
        <f>+'Invullen groen'!K903</f>
        <v/>
      </c>
      <c r="I893" s="124">
        <f>+'Invullen groen'!AW903</f>
        <v/>
      </c>
      <c r="J893" s="124">
        <f>+'Invullen groen'!AX903</f>
        <v/>
      </c>
      <c r="K893" s="124">
        <f>+'Invullen groen'!AY903</f>
        <v/>
      </c>
      <c r="L893" s="124">
        <f>+'Invullen groen'!AZ903</f>
        <v/>
      </c>
      <c r="M893" s="124">
        <f>+'Invullen groen'!BA903</f>
        <v/>
      </c>
      <c r="N893" s="124">
        <f>+'Invullen groen'!BB903</f>
        <v/>
      </c>
      <c r="O893" s="124">
        <f>+'Invullen groen'!BC903</f>
        <v/>
      </c>
      <c r="P893" s="124">
        <f>+'Invullen groen'!BD903</f>
        <v/>
      </c>
    </row>
    <row r="894">
      <c r="A894" s="113">
        <f>+'Invullen groen'!A904</f>
        <v/>
      </c>
      <c r="B894" s="154">
        <f>+'Invullen groen'!C904</f>
        <v/>
      </c>
      <c r="C894" s="124">
        <f>+'Invullen groen'!G904</f>
        <v/>
      </c>
      <c r="D894" s="113">
        <f>+'Invullen groen'!M904</f>
        <v/>
      </c>
      <c r="E894" s="114">
        <f>+'Invullen groen'!H904</f>
        <v/>
      </c>
      <c r="F894" s="114">
        <f>+'Invullen groen'!I904</f>
        <v/>
      </c>
      <c r="G894" s="114">
        <f>+'Invullen groen'!J904</f>
        <v/>
      </c>
      <c r="H894" s="114">
        <f>+'Invullen groen'!K904</f>
        <v/>
      </c>
      <c r="I894" s="124">
        <f>+'Invullen groen'!AW904</f>
        <v/>
      </c>
      <c r="J894" s="124">
        <f>+'Invullen groen'!AX904</f>
        <v/>
      </c>
      <c r="K894" s="124">
        <f>+'Invullen groen'!AY904</f>
        <v/>
      </c>
      <c r="L894" s="124">
        <f>+'Invullen groen'!AZ904</f>
        <v/>
      </c>
      <c r="M894" s="124">
        <f>+'Invullen groen'!BA904</f>
        <v/>
      </c>
      <c r="N894" s="124">
        <f>+'Invullen groen'!BB904</f>
        <v/>
      </c>
      <c r="O894" s="124">
        <f>+'Invullen groen'!BC904</f>
        <v/>
      </c>
      <c r="P894" s="124">
        <f>+'Invullen groen'!BD904</f>
        <v/>
      </c>
    </row>
    <row r="895">
      <c r="A895" s="113">
        <f>+'Invullen groen'!A905</f>
        <v/>
      </c>
      <c r="B895" s="154">
        <f>+'Invullen groen'!C905</f>
        <v/>
      </c>
      <c r="C895" s="124">
        <f>+'Invullen groen'!G905</f>
        <v/>
      </c>
      <c r="D895" s="113">
        <f>+'Invullen groen'!M905</f>
        <v/>
      </c>
      <c r="E895" s="114">
        <f>+'Invullen groen'!H905</f>
        <v/>
      </c>
      <c r="F895" s="114">
        <f>+'Invullen groen'!I905</f>
        <v/>
      </c>
      <c r="G895" s="114">
        <f>+'Invullen groen'!J905</f>
        <v/>
      </c>
      <c r="H895" s="114">
        <f>+'Invullen groen'!K905</f>
        <v/>
      </c>
      <c r="I895" s="124">
        <f>+'Invullen groen'!AW905</f>
        <v/>
      </c>
      <c r="J895" s="124">
        <f>+'Invullen groen'!AX905</f>
        <v/>
      </c>
      <c r="K895" s="124">
        <f>+'Invullen groen'!AY905</f>
        <v/>
      </c>
      <c r="L895" s="124">
        <f>+'Invullen groen'!AZ905</f>
        <v/>
      </c>
      <c r="M895" s="124">
        <f>+'Invullen groen'!BA905</f>
        <v/>
      </c>
      <c r="N895" s="124">
        <f>+'Invullen groen'!BB905</f>
        <v/>
      </c>
      <c r="O895" s="124">
        <f>+'Invullen groen'!BC905</f>
        <v/>
      </c>
      <c r="P895" s="124">
        <f>+'Invullen groen'!BD905</f>
        <v/>
      </c>
    </row>
    <row r="896">
      <c r="A896" s="113">
        <f>+'Invullen groen'!A906</f>
        <v/>
      </c>
      <c r="B896" s="154">
        <f>+'Invullen groen'!C906</f>
        <v/>
      </c>
      <c r="C896" s="124">
        <f>+'Invullen groen'!G906</f>
        <v/>
      </c>
      <c r="D896" s="113">
        <f>+'Invullen groen'!M906</f>
        <v/>
      </c>
      <c r="E896" s="114">
        <f>+'Invullen groen'!H906</f>
        <v/>
      </c>
      <c r="F896" s="114">
        <f>+'Invullen groen'!I906</f>
        <v/>
      </c>
      <c r="G896" s="114">
        <f>+'Invullen groen'!J906</f>
        <v/>
      </c>
      <c r="H896" s="114">
        <f>+'Invullen groen'!K906</f>
        <v/>
      </c>
      <c r="I896" s="124">
        <f>+'Invullen groen'!AW906</f>
        <v/>
      </c>
      <c r="J896" s="124">
        <f>+'Invullen groen'!AX906</f>
        <v/>
      </c>
      <c r="K896" s="124">
        <f>+'Invullen groen'!AY906</f>
        <v/>
      </c>
      <c r="L896" s="124">
        <f>+'Invullen groen'!AZ906</f>
        <v/>
      </c>
      <c r="M896" s="124">
        <f>+'Invullen groen'!BA906</f>
        <v/>
      </c>
      <c r="N896" s="124">
        <f>+'Invullen groen'!BB906</f>
        <v/>
      </c>
      <c r="O896" s="124">
        <f>+'Invullen groen'!BC906</f>
        <v/>
      </c>
      <c r="P896" s="124">
        <f>+'Invullen groen'!BD906</f>
        <v/>
      </c>
    </row>
    <row r="897">
      <c r="A897" s="113">
        <f>+'Invullen groen'!A907</f>
        <v/>
      </c>
      <c r="B897" s="154">
        <f>+'Invullen groen'!C907</f>
        <v/>
      </c>
      <c r="C897" s="124">
        <f>+'Invullen groen'!G907</f>
        <v/>
      </c>
      <c r="D897" s="113">
        <f>+'Invullen groen'!M907</f>
        <v/>
      </c>
      <c r="E897" s="114">
        <f>+'Invullen groen'!H907</f>
        <v/>
      </c>
      <c r="F897" s="114">
        <f>+'Invullen groen'!I907</f>
        <v/>
      </c>
      <c r="G897" s="114">
        <f>+'Invullen groen'!J907</f>
        <v/>
      </c>
      <c r="H897" s="114">
        <f>+'Invullen groen'!K907</f>
        <v/>
      </c>
      <c r="I897" s="124">
        <f>+'Invullen groen'!AW907</f>
        <v/>
      </c>
      <c r="J897" s="124">
        <f>+'Invullen groen'!AX907</f>
        <v/>
      </c>
      <c r="K897" s="124">
        <f>+'Invullen groen'!AY907</f>
        <v/>
      </c>
      <c r="L897" s="124">
        <f>+'Invullen groen'!AZ907</f>
        <v/>
      </c>
      <c r="M897" s="124">
        <f>+'Invullen groen'!BA907</f>
        <v/>
      </c>
      <c r="N897" s="124">
        <f>+'Invullen groen'!BB907</f>
        <v/>
      </c>
      <c r="O897" s="124">
        <f>+'Invullen groen'!BC907</f>
        <v/>
      </c>
      <c r="P897" s="124">
        <f>+'Invullen groen'!BD907</f>
        <v/>
      </c>
    </row>
    <row r="898">
      <c r="A898" s="113">
        <f>+'Invullen groen'!A908</f>
        <v/>
      </c>
      <c r="B898" s="154">
        <f>+'Invullen groen'!C908</f>
        <v/>
      </c>
      <c r="C898" s="124">
        <f>+'Invullen groen'!G908</f>
        <v/>
      </c>
      <c r="D898" s="113">
        <f>+'Invullen groen'!M908</f>
        <v/>
      </c>
      <c r="E898" s="114">
        <f>+'Invullen groen'!H908</f>
        <v/>
      </c>
      <c r="F898" s="114">
        <f>+'Invullen groen'!I908</f>
        <v/>
      </c>
      <c r="G898" s="114">
        <f>+'Invullen groen'!J908</f>
        <v/>
      </c>
      <c r="H898" s="114">
        <f>+'Invullen groen'!K908</f>
        <v/>
      </c>
      <c r="I898" s="124">
        <f>+'Invullen groen'!AW908</f>
        <v/>
      </c>
      <c r="J898" s="124">
        <f>+'Invullen groen'!AX908</f>
        <v/>
      </c>
      <c r="K898" s="124">
        <f>+'Invullen groen'!AY908</f>
        <v/>
      </c>
      <c r="L898" s="124">
        <f>+'Invullen groen'!AZ908</f>
        <v/>
      </c>
      <c r="M898" s="124">
        <f>+'Invullen groen'!BA908</f>
        <v/>
      </c>
      <c r="N898" s="124">
        <f>+'Invullen groen'!BB908</f>
        <v/>
      </c>
      <c r="O898" s="124">
        <f>+'Invullen groen'!BC908</f>
        <v/>
      </c>
      <c r="P898" s="124">
        <f>+'Invullen groen'!BD908</f>
        <v/>
      </c>
    </row>
    <row r="899">
      <c r="A899" s="113">
        <f>+'Invullen groen'!A909</f>
        <v/>
      </c>
      <c r="B899" s="154">
        <f>+'Invullen groen'!C909</f>
        <v/>
      </c>
      <c r="C899" s="124">
        <f>+'Invullen groen'!G909</f>
        <v/>
      </c>
      <c r="D899" s="113">
        <f>+'Invullen groen'!M909</f>
        <v/>
      </c>
      <c r="E899" s="114">
        <f>+'Invullen groen'!H909</f>
        <v/>
      </c>
      <c r="F899" s="114">
        <f>+'Invullen groen'!I909</f>
        <v/>
      </c>
      <c r="G899" s="114">
        <f>+'Invullen groen'!J909</f>
        <v/>
      </c>
      <c r="H899" s="114">
        <f>+'Invullen groen'!K909</f>
        <v/>
      </c>
      <c r="I899" s="124">
        <f>+'Invullen groen'!AW909</f>
        <v/>
      </c>
      <c r="J899" s="124">
        <f>+'Invullen groen'!AX909</f>
        <v/>
      </c>
      <c r="K899" s="124">
        <f>+'Invullen groen'!AY909</f>
        <v/>
      </c>
      <c r="L899" s="124">
        <f>+'Invullen groen'!AZ909</f>
        <v/>
      </c>
      <c r="M899" s="124">
        <f>+'Invullen groen'!BA909</f>
        <v/>
      </c>
      <c r="N899" s="124">
        <f>+'Invullen groen'!BB909</f>
        <v/>
      </c>
      <c r="O899" s="124">
        <f>+'Invullen groen'!BC909</f>
        <v/>
      </c>
      <c r="P899" s="124">
        <f>+'Invullen groen'!BD909</f>
        <v/>
      </c>
    </row>
    <row r="900">
      <c r="A900" s="113">
        <f>+'Invullen groen'!A910</f>
        <v/>
      </c>
      <c r="B900" s="154">
        <f>+'Invullen groen'!C910</f>
        <v/>
      </c>
      <c r="C900" s="124">
        <f>+'Invullen groen'!G910</f>
        <v/>
      </c>
      <c r="D900" s="113">
        <f>+'Invullen groen'!M910</f>
        <v/>
      </c>
      <c r="E900" s="114">
        <f>+'Invullen groen'!H910</f>
        <v/>
      </c>
      <c r="F900" s="114">
        <f>+'Invullen groen'!I910</f>
        <v/>
      </c>
      <c r="G900" s="114">
        <f>+'Invullen groen'!J910</f>
        <v/>
      </c>
      <c r="H900" s="114">
        <f>+'Invullen groen'!K910</f>
        <v/>
      </c>
      <c r="I900" s="124">
        <f>+'Invullen groen'!AW910</f>
        <v/>
      </c>
      <c r="J900" s="124">
        <f>+'Invullen groen'!AX910</f>
        <v/>
      </c>
      <c r="K900" s="124">
        <f>+'Invullen groen'!AY910</f>
        <v/>
      </c>
      <c r="L900" s="124">
        <f>+'Invullen groen'!AZ910</f>
        <v/>
      </c>
      <c r="M900" s="124">
        <f>+'Invullen groen'!BA910</f>
        <v/>
      </c>
      <c r="N900" s="124">
        <f>+'Invullen groen'!BB910</f>
        <v/>
      </c>
      <c r="O900" s="124">
        <f>+'Invullen groen'!BC910</f>
        <v/>
      </c>
      <c r="P900" s="124">
        <f>+'Invullen groen'!BD910</f>
        <v/>
      </c>
    </row>
    <row r="901">
      <c r="A901" s="113">
        <f>+'Invullen groen'!A911</f>
        <v/>
      </c>
      <c r="B901" s="154">
        <f>+'Invullen groen'!C911</f>
        <v/>
      </c>
      <c r="C901" s="124">
        <f>+'Invullen groen'!G911</f>
        <v/>
      </c>
      <c r="D901" s="113">
        <f>+'Invullen groen'!M911</f>
        <v/>
      </c>
      <c r="E901" s="114">
        <f>+'Invullen groen'!H911</f>
        <v/>
      </c>
      <c r="F901" s="114">
        <f>+'Invullen groen'!I911</f>
        <v/>
      </c>
      <c r="G901" s="114">
        <f>+'Invullen groen'!J911</f>
        <v/>
      </c>
      <c r="H901" s="114">
        <f>+'Invullen groen'!K911</f>
        <v/>
      </c>
      <c r="I901" s="124">
        <f>+'Invullen groen'!AW911</f>
        <v/>
      </c>
      <c r="J901" s="124">
        <f>+'Invullen groen'!AX911</f>
        <v/>
      </c>
      <c r="K901" s="124">
        <f>+'Invullen groen'!AY911</f>
        <v/>
      </c>
      <c r="L901" s="124">
        <f>+'Invullen groen'!AZ911</f>
        <v/>
      </c>
      <c r="M901" s="124">
        <f>+'Invullen groen'!BA911</f>
        <v/>
      </c>
      <c r="N901" s="124">
        <f>+'Invullen groen'!BB911</f>
        <v/>
      </c>
      <c r="O901" s="124">
        <f>+'Invullen groen'!BC911</f>
        <v/>
      </c>
      <c r="P901" s="124">
        <f>+'Invullen groen'!BD911</f>
        <v/>
      </c>
    </row>
    <row r="902">
      <c r="A902" s="113">
        <f>+'Invullen groen'!A912</f>
        <v/>
      </c>
      <c r="B902" s="154">
        <f>+'Invullen groen'!C912</f>
        <v/>
      </c>
      <c r="C902" s="124">
        <f>+'Invullen groen'!G912</f>
        <v/>
      </c>
      <c r="D902" s="113">
        <f>+'Invullen groen'!M912</f>
        <v/>
      </c>
      <c r="E902" s="114">
        <f>+'Invullen groen'!H912</f>
        <v/>
      </c>
      <c r="F902" s="114">
        <f>+'Invullen groen'!I912</f>
        <v/>
      </c>
      <c r="G902" s="114">
        <f>+'Invullen groen'!J912</f>
        <v/>
      </c>
      <c r="H902" s="114">
        <f>+'Invullen groen'!K912</f>
        <v/>
      </c>
      <c r="I902" s="124">
        <f>+'Invullen groen'!AW912</f>
        <v/>
      </c>
      <c r="J902" s="124">
        <f>+'Invullen groen'!AX912</f>
        <v/>
      </c>
      <c r="K902" s="124">
        <f>+'Invullen groen'!AY912</f>
        <v/>
      </c>
      <c r="L902" s="124">
        <f>+'Invullen groen'!AZ912</f>
        <v/>
      </c>
      <c r="M902" s="124">
        <f>+'Invullen groen'!BA912</f>
        <v/>
      </c>
      <c r="N902" s="124">
        <f>+'Invullen groen'!BB912</f>
        <v/>
      </c>
      <c r="O902" s="124">
        <f>+'Invullen groen'!BC912</f>
        <v/>
      </c>
      <c r="P902" s="124">
        <f>+'Invullen groen'!BD912</f>
        <v/>
      </c>
    </row>
    <row r="903">
      <c r="A903" s="113">
        <f>+'Invullen groen'!A913</f>
        <v/>
      </c>
      <c r="B903" s="154">
        <f>+'Invullen groen'!C913</f>
        <v/>
      </c>
      <c r="C903" s="124">
        <f>+'Invullen groen'!G913</f>
        <v/>
      </c>
      <c r="D903" s="113">
        <f>+'Invullen groen'!M913</f>
        <v/>
      </c>
      <c r="E903" s="114">
        <f>+'Invullen groen'!H913</f>
        <v/>
      </c>
      <c r="F903" s="114">
        <f>+'Invullen groen'!I913</f>
        <v/>
      </c>
      <c r="G903" s="114">
        <f>+'Invullen groen'!J913</f>
        <v/>
      </c>
      <c r="H903" s="114">
        <f>+'Invullen groen'!K913</f>
        <v/>
      </c>
      <c r="I903" s="124">
        <f>+'Invullen groen'!AW913</f>
        <v/>
      </c>
      <c r="J903" s="124">
        <f>+'Invullen groen'!AX913</f>
        <v/>
      </c>
      <c r="K903" s="124">
        <f>+'Invullen groen'!AY913</f>
        <v/>
      </c>
      <c r="L903" s="124">
        <f>+'Invullen groen'!AZ913</f>
        <v/>
      </c>
      <c r="M903" s="124">
        <f>+'Invullen groen'!BA913</f>
        <v/>
      </c>
      <c r="N903" s="124">
        <f>+'Invullen groen'!BB913</f>
        <v/>
      </c>
      <c r="O903" s="124">
        <f>+'Invullen groen'!BC913</f>
        <v/>
      </c>
      <c r="P903" s="124">
        <f>+'Invullen groen'!BD913</f>
        <v/>
      </c>
    </row>
    <row r="904">
      <c r="A904" s="113">
        <f>+'Invullen groen'!A914</f>
        <v/>
      </c>
      <c r="B904" s="154">
        <f>+'Invullen groen'!C914</f>
        <v/>
      </c>
      <c r="C904" s="124">
        <f>+'Invullen groen'!G914</f>
        <v/>
      </c>
      <c r="D904" s="113">
        <f>+'Invullen groen'!M914</f>
        <v/>
      </c>
      <c r="E904" s="114">
        <f>+'Invullen groen'!H914</f>
        <v/>
      </c>
      <c r="F904" s="114">
        <f>+'Invullen groen'!I914</f>
        <v/>
      </c>
      <c r="G904" s="114">
        <f>+'Invullen groen'!J914</f>
        <v/>
      </c>
      <c r="H904" s="114">
        <f>+'Invullen groen'!K914</f>
        <v/>
      </c>
      <c r="I904" s="124">
        <f>+'Invullen groen'!AW914</f>
        <v/>
      </c>
      <c r="J904" s="124">
        <f>+'Invullen groen'!AX914</f>
        <v/>
      </c>
      <c r="K904" s="124">
        <f>+'Invullen groen'!AY914</f>
        <v/>
      </c>
      <c r="L904" s="124">
        <f>+'Invullen groen'!AZ914</f>
        <v/>
      </c>
      <c r="M904" s="124">
        <f>+'Invullen groen'!BA914</f>
        <v/>
      </c>
      <c r="N904" s="124">
        <f>+'Invullen groen'!BB914</f>
        <v/>
      </c>
      <c r="O904" s="124">
        <f>+'Invullen groen'!BC914</f>
        <v/>
      </c>
      <c r="P904" s="124">
        <f>+'Invullen groen'!BD914</f>
        <v/>
      </c>
    </row>
    <row r="905">
      <c r="A905" s="113">
        <f>+'Invullen groen'!A915</f>
        <v/>
      </c>
      <c r="B905" s="154">
        <f>+'Invullen groen'!C915</f>
        <v/>
      </c>
      <c r="C905" s="124">
        <f>+'Invullen groen'!G915</f>
        <v/>
      </c>
      <c r="D905" s="113">
        <f>+'Invullen groen'!M915</f>
        <v/>
      </c>
      <c r="E905" s="114">
        <f>+'Invullen groen'!H915</f>
        <v/>
      </c>
      <c r="F905" s="114">
        <f>+'Invullen groen'!I915</f>
        <v/>
      </c>
      <c r="G905" s="114">
        <f>+'Invullen groen'!J915</f>
        <v/>
      </c>
      <c r="H905" s="114">
        <f>+'Invullen groen'!K915</f>
        <v/>
      </c>
      <c r="I905" s="124">
        <f>+'Invullen groen'!AW915</f>
        <v/>
      </c>
      <c r="J905" s="124">
        <f>+'Invullen groen'!AX915</f>
        <v/>
      </c>
      <c r="K905" s="124">
        <f>+'Invullen groen'!AY915</f>
        <v/>
      </c>
      <c r="L905" s="124">
        <f>+'Invullen groen'!AZ915</f>
        <v/>
      </c>
      <c r="M905" s="124">
        <f>+'Invullen groen'!BA915</f>
        <v/>
      </c>
      <c r="N905" s="124">
        <f>+'Invullen groen'!BB915</f>
        <v/>
      </c>
      <c r="O905" s="124">
        <f>+'Invullen groen'!BC915</f>
        <v/>
      </c>
      <c r="P905" s="124">
        <f>+'Invullen groen'!BD915</f>
        <v/>
      </c>
    </row>
    <row r="906">
      <c r="A906" s="113">
        <f>+'Invullen groen'!A916</f>
        <v/>
      </c>
      <c r="B906" s="154">
        <f>+'Invullen groen'!C916</f>
        <v/>
      </c>
      <c r="C906" s="124">
        <f>+'Invullen groen'!G916</f>
        <v/>
      </c>
      <c r="D906" s="113">
        <f>+'Invullen groen'!M916</f>
        <v/>
      </c>
      <c r="E906" s="114">
        <f>+'Invullen groen'!H916</f>
        <v/>
      </c>
      <c r="F906" s="114">
        <f>+'Invullen groen'!I916</f>
        <v/>
      </c>
      <c r="G906" s="114">
        <f>+'Invullen groen'!J916</f>
        <v/>
      </c>
      <c r="H906" s="114">
        <f>+'Invullen groen'!K916</f>
        <v/>
      </c>
      <c r="I906" s="124">
        <f>+'Invullen groen'!AW916</f>
        <v/>
      </c>
      <c r="J906" s="124">
        <f>+'Invullen groen'!AX916</f>
        <v/>
      </c>
      <c r="K906" s="124">
        <f>+'Invullen groen'!AY916</f>
        <v/>
      </c>
      <c r="L906" s="124">
        <f>+'Invullen groen'!AZ916</f>
        <v/>
      </c>
      <c r="M906" s="124">
        <f>+'Invullen groen'!BA916</f>
        <v/>
      </c>
      <c r="N906" s="124">
        <f>+'Invullen groen'!BB916</f>
        <v/>
      </c>
      <c r="O906" s="124">
        <f>+'Invullen groen'!BC916</f>
        <v/>
      </c>
      <c r="P906" s="124">
        <f>+'Invullen groen'!BD916</f>
        <v/>
      </c>
    </row>
    <row r="907">
      <c r="A907" s="113">
        <f>+'Invullen groen'!A917</f>
        <v/>
      </c>
      <c r="B907" s="154">
        <f>+'Invullen groen'!C917</f>
        <v/>
      </c>
      <c r="C907" s="124">
        <f>+'Invullen groen'!G917</f>
        <v/>
      </c>
      <c r="D907" s="113">
        <f>+'Invullen groen'!M917</f>
        <v/>
      </c>
      <c r="E907" s="114">
        <f>+'Invullen groen'!H917</f>
        <v/>
      </c>
      <c r="F907" s="114">
        <f>+'Invullen groen'!I917</f>
        <v/>
      </c>
      <c r="G907" s="114">
        <f>+'Invullen groen'!J917</f>
        <v/>
      </c>
      <c r="H907" s="114">
        <f>+'Invullen groen'!K917</f>
        <v/>
      </c>
      <c r="I907" s="124">
        <f>+'Invullen groen'!AW917</f>
        <v/>
      </c>
      <c r="J907" s="124">
        <f>+'Invullen groen'!AX917</f>
        <v/>
      </c>
      <c r="K907" s="124">
        <f>+'Invullen groen'!AY917</f>
        <v/>
      </c>
      <c r="L907" s="124">
        <f>+'Invullen groen'!AZ917</f>
        <v/>
      </c>
      <c r="M907" s="124">
        <f>+'Invullen groen'!BA917</f>
        <v/>
      </c>
      <c r="N907" s="124">
        <f>+'Invullen groen'!BB917</f>
        <v/>
      </c>
      <c r="O907" s="124">
        <f>+'Invullen groen'!BC917</f>
        <v/>
      </c>
      <c r="P907" s="124">
        <f>+'Invullen groen'!BD917</f>
        <v/>
      </c>
    </row>
    <row r="908">
      <c r="A908" s="113">
        <f>+'Invullen groen'!A918</f>
        <v/>
      </c>
      <c r="B908" s="154">
        <f>+'Invullen groen'!C918</f>
        <v/>
      </c>
      <c r="C908" s="124">
        <f>+'Invullen groen'!G918</f>
        <v/>
      </c>
      <c r="D908" s="113">
        <f>+'Invullen groen'!M918</f>
        <v/>
      </c>
      <c r="E908" s="114">
        <f>+'Invullen groen'!H918</f>
        <v/>
      </c>
      <c r="F908" s="114">
        <f>+'Invullen groen'!I918</f>
        <v/>
      </c>
      <c r="G908" s="114">
        <f>+'Invullen groen'!J918</f>
        <v/>
      </c>
      <c r="H908" s="114">
        <f>+'Invullen groen'!K918</f>
        <v/>
      </c>
      <c r="I908" s="124">
        <f>+'Invullen groen'!AW918</f>
        <v/>
      </c>
      <c r="J908" s="124">
        <f>+'Invullen groen'!AX918</f>
        <v/>
      </c>
      <c r="K908" s="124">
        <f>+'Invullen groen'!AY918</f>
        <v/>
      </c>
      <c r="L908" s="124">
        <f>+'Invullen groen'!AZ918</f>
        <v/>
      </c>
      <c r="M908" s="124">
        <f>+'Invullen groen'!BA918</f>
        <v/>
      </c>
      <c r="N908" s="124">
        <f>+'Invullen groen'!BB918</f>
        <v/>
      </c>
      <c r="O908" s="124">
        <f>+'Invullen groen'!BC918</f>
        <v/>
      </c>
      <c r="P908" s="124">
        <f>+'Invullen groen'!BD918</f>
        <v/>
      </c>
    </row>
    <row r="909">
      <c r="A909" s="113">
        <f>+'Invullen groen'!A919</f>
        <v/>
      </c>
      <c r="B909" s="154">
        <f>+'Invullen groen'!C919</f>
        <v/>
      </c>
      <c r="C909" s="124">
        <f>+'Invullen groen'!G919</f>
        <v/>
      </c>
      <c r="D909" s="113">
        <f>+'Invullen groen'!M919</f>
        <v/>
      </c>
      <c r="E909" s="114">
        <f>+'Invullen groen'!H919</f>
        <v/>
      </c>
      <c r="F909" s="114">
        <f>+'Invullen groen'!I919</f>
        <v/>
      </c>
      <c r="G909" s="114">
        <f>+'Invullen groen'!J919</f>
        <v/>
      </c>
      <c r="H909" s="114">
        <f>+'Invullen groen'!K919</f>
        <v/>
      </c>
      <c r="I909" s="124">
        <f>+'Invullen groen'!AW919</f>
        <v/>
      </c>
      <c r="J909" s="124">
        <f>+'Invullen groen'!AX919</f>
        <v/>
      </c>
      <c r="K909" s="124">
        <f>+'Invullen groen'!AY919</f>
        <v/>
      </c>
      <c r="L909" s="124">
        <f>+'Invullen groen'!AZ919</f>
        <v/>
      </c>
      <c r="M909" s="124">
        <f>+'Invullen groen'!BA919</f>
        <v/>
      </c>
      <c r="N909" s="124">
        <f>+'Invullen groen'!BB919</f>
        <v/>
      </c>
      <c r="O909" s="124">
        <f>+'Invullen groen'!BC919</f>
        <v/>
      </c>
      <c r="P909" s="124">
        <f>+'Invullen groen'!BD919</f>
        <v/>
      </c>
    </row>
    <row r="910">
      <c r="A910" s="113">
        <f>+'Invullen groen'!A920</f>
        <v/>
      </c>
      <c r="B910" s="154">
        <f>+'Invullen groen'!C920</f>
        <v/>
      </c>
      <c r="C910" s="124">
        <f>+'Invullen groen'!G920</f>
        <v/>
      </c>
      <c r="D910" s="113">
        <f>+'Invullen groen'!M920</f>
        <v/>
      </c>
      <c r="E910" s="114">
        <f>+'Invullen groen'!H920</f>
        <v/>
      </c>
      <c r="F910" s="114">
        <f>+'Invullen groen'!I920</f>
        <v/>
      </c>
      <c r="G910" s="114">
        <f>+'Invullen groen'!J920</f>
        <v/>
      </c>
      <c r="H910" s="114">
        <f>+'Invullen groen'!K920</f>
        <v/>
      </c>
      <c r="I910" s="124">
        <f>+'Invullen groen'!AW920</f>
        <v/>
      </c>
      <c r="J910" s="124">
        <f>+'Invullen groen'!AX920</f>
        <v/>
      </c>
      <c r="K910" s="124">
        <f>+'Invullen groen'!AY920</f>
        <v/>
      </c>
      <c r="L910" s="124">
        <f>+'Invullen groen'!AZ920</f>
        <v/>
      </c>
      <c r="M910" s="124">
        <f>+'Invullen groen'!BA920</f>
        <v/>
      </c>
      <c r="N910" s="124">
        <f>+'Invullen groen'!BB920</f>
        <v/>
      </c>
      <c r="O910" s="124">
        <f>+'Invullen groen'!BC920</f>
        <v/>
      </c>
      <c r="P910" s="124">
        <f>+'Invullen groen'!BD920</f>
        <v/>
      </c>
    </row>
    <row r="911">
      <c r="A911" s="113">
        <f>+'Invullen groen'!A921</f>
        <v/>
      </c>
      <c r="B911" s="154">
        <f>+'Invullen groen'!C921</f>
        <v/>
      </c>
      <c r="C911" s="124">
        <f>+'Invullen groen'!G921</f>
        <v/>
      </c>
      <c r="D911" s="113">
        <f>+'Invullen groen'!M921</f>
        <v/>
      </c>
      <c r="E911" s="114">
        <f>+'Invullen groen'!H921</f>
        <v/>
      </c>
      <c r="F911" s="114">
        <f>+'Invullen groen'!I921</f>
        <v/>
      </c>
      <c r="G911" s="114">
        <f>+'Invullen groen'!J921</f>
        <v/>
      </c>
      <c r="H911" s="114">
        <f>+'Invullen groen'!K921</f>
        <v/>
      </c>
      <c r="I911" s="124">
        <f>+'Invullen groen'!AW921</f>
        <v/>
      </c>
      <c r="J911" s="124">
        <f>+'Invullen groen'!AX921</f>
        <v/>
      </c>
      <c r="K911" s="124">
        <f>+'Invullen groen'!AY921</f>
        <v/>
      </c>
      <c r="L911" s="124">
        <f>+'Invullen groen'!AZ921</f>
        <v/>
      </c>
      <c r="M911" s="124">
        <f>+'Invullen groen'!BA921</f>
        <v/>
      </c>
      <c r="N911" s="124">
        <f>+'Invullen groen'!BB921</f>
        <v/>
      </c>
      <c r="O911" s="124">
        <f>+'Invullen groen'!BC921</f>
        <v/>
      </c>
      <c r="P911" s="124">
        <f>+'Invullen groen'!BD921</f>
        <v/>
      </c>
    </row>
    <row r="912">
      <c r="A912" s="113">
        <f>+'Invullen groen'!A922</f>
        <v/>
      </c>
      <c r="B912" s="154">
        <f>+'Invullen groen'!C922</f>
        <v/>
      </c>
      <c r="C912" s="124">
        <f>+'Invullen groen'!G922</f>
        <v/>
      </c>
      <c r="D912" s="113">
        <f>+'Invullen groen'!M922</f>
        <v/>
      </c>
      <c r="E912" s="114">
        <f>+'Invullen groen'!H922</f>
        <v/>
      </c>
      <c r="F912" s="114">
        <f>+'Invullen groen'!I922</f>
        <v/>
      </c>
      <c r="G912" s="114">
        <f>+'Invullen groen'!J922</f>
        <v/>
      </c>
      <c r="H912" s="114">
        <f>+'Invullen groen'!K922</f>
        <v/>
      </c>
      <c r="I912" s="124">
        <f>+'Invullen groen'!AW922</f>
        <v/>
      </c>
      <c r="J912" s="124">
        <f>+'Invullen groen'!AX922</f>
        <v/>
      </c>
      <c r="K912" s="124">
        <f>+'Invullen groen'!AY922</f>
        <v/>
      </c>
      <c r="L912" s="124">
        <f>+'Invullen groen'!AZ922</f>
        <v/>
      </c>
      <c r="M912" s="124">
        <f>+'Invullen groen'!BA922</f>
        <v/>
      </c>
      <c r="N912" s="124">
        <f>+'Invullen groen'!BB922</f>
        <v/>
      </c>
      <c r="O912" s="124">
        <f>+'Invullen groen'!BC922</f>
        <v/>
      </c>
      <c r="P912" s="124">
        <f>+'Invullen groen'!BD922</f>
        <v/>
      </c>
    </row>
    <row r="913">
      <c r="A913" s="113">
        <f>+'Invullen groen'!A923</f>
        <v/>
      </c>
      <c r="B913" s="154">
        <f>+'Invullen groen'!C923</f>
        <v/>
      </c>
      <c r="C913" s="124">
        <f>+'Invullen groen'!G923</f>
        <v/>
      </c>
      <c r="D913" s="113">
        <f>+'Invullen groen'!M923</f>
        <v/>
      </c>
      <c r="E913" s="114">
        <f>+'Invullen groen'!H923</f>
        <v/>
      </c>
      <c r="F913" s="114">
        <f>+'Invullen groen'!I923</f>
        <v/>
      </c>
      <c r="G913" s="114">
        <f>+'Invullen groen'!J923</f>
        <v/>
      </c>
      <c r="H913" s="114">
        <f>+'Invullen groen'!K923</f>
        <v/>
      </c>
      <c r="I913" s="124">
        <f>+'Invullen groen'!AW923</f>
        <v/>
      </c>
      <c r="J913" s="124">
        <f>+'Invullen groen'!AX923</f>
        <v/>
      </c>
      <c r="K913" s="124">
        <f>+'Invullen groen'!AY923</f>
        <v/>
      </c>
      <c r="L913" s="124">
        <f>+'Invullen groen'!AZ923</f>
        <v/>
      </c>
      <c r="M913" s="124">
        <f>+'Invullen groen'!BA923</f>
        <v/>
      </c>
      <c r="N913" s="124">
        <f>+'Invullen groen'!BB923</f>
        <v/>
      </c>
      <c r="O913" s="124">
        <f>+'Invullen groen'!BC923</f>
        <v/>
      </c>
      <c r="P913" s="124">
        <f>+'Invullen groen'!BD923</f>
        <v/>
      </c>
    </row>
    <row r="914">
      <c r="A914" s="113">
        <f>+'Invullen groen'!A924</f>
        <v/>
      </c>
      <c r="B914" s="154">
        <f>+'Invullen groen'!C924</f>
        <v/>
      </c>
      <c r="C914" s="124">
        <f>+'Invullen groen'!G924</f>
        <v/>
      </c>
      <c r="D914" s="113">
        <f>+'Invullen groen'!M924</f>
        <v/>
      </c>
      <c r="E914" s="114">
        <f>+'Invullen groen'!H924</f>
        <v/>
      </c>
      <c r="F914" s="114">
        <f>+'Invullen groen'!I924</f>
        <v/>
      </c>
      <c r="G914" s="114">
        <f>+'Invullen groen'!J924</f>
        <v/>
      </c>
      <c r="H914" s="114">
        <f>+'Invullen groen'!K924</f>
        <v/>
      </c>
      <c r="I914" s="124">
        <f>+'Invullen groen'!AW924</f>
        <v/>
      </c>
      <c r="J914" s="124">
        <f>+'Invullen groen'!AX924</f>
        <v/>
      </c>
      <c r="K914" s="124">
        <f>+'Invullen groen'!AY924</f>
        <v/>
      </c>
      <c r="L914" s="124">
        <f>+'Invullen groen'!AZ924</f>
        <v/>
      </c>
      <c r="M914" s="124">
        <f>+'Invullen groen'!BA924</f>
        <v/>
      </c>
      <c r="N914" s="124">
        <f>+'Invullen groen'!BB924</f>
        <v/>
      </c>
      <c r="O914" s="124">
        <f>+'Invullen groen'!BC924</f>
        <v/>
      </c>
      <c r="P914" s="124">
        <f>+'Invullen groen'!BD924</f>
        <v/>
      </c>
    </row>
    <row r="915">
      <c r="A915" s="113">
        <f>+'Invullen groen'!A925</f>
        <v/>
      </c>
      <c r="B915" s="154">
        <f>+'Invullen groen'!C925</f>
        <v/>
      </c>
      <c r="C915" s="124">
        <f>+'Invullen groen'!G925</f>
        <v/>
      </c>
      <c r="D915" s="113">
        <f>+'Invullen groen'!M925</f>
        <v/>
      </c>
      <c r="E915" s="114">
        <f>+'Invullen groen'!H925</f>
        <v/>
      </c>
      <c r="F915" s="114">
        <f>+'Invullen groen'!I925</f>
        <v/>
      </c>
      <c r="G915" s="114">
        <f>+'Invullen groen'!J925</f>
        <v/>
      </c>
      <c r="H915" s="114">
        <f>+'Invullen groen'!K925</f>
        <v/>
      </c>
      <c r="I915" s="124">
        <f>+'Invullen groen'!AW925</f>
        <v/>
      </c>
      <c r="J915" s="124">
        <f>+'Invullen groen'!AX925</f>
        <v/>
      </c>
      <c r="K915" s="124">
        <f>+'Invullen groen'!AY925</f>
        <v/>
      </c>
      <c r="L915" s="124">
        <f>+'Invullen groen'!AZ925</f>
        <v/>
      </c>
      <c r="M915" s="124">
        <f>+'Invullen groen'!BA925</f>
        <v/>
      </c>
      <c r="N915" s="124">
        <f>+'Invullen groen'!BB925</f>
        <v/>
      </c>
      <c r="O915" s="124">
        <f>+'Invullen groen'!BC925</f>
        <v/>
      </c>
      <c r="P915" s="124">
        <f>+'Invullen groen'!BD925</f>
        <v/>
      </c>
    </row>
    <row r="916">
      <c r="A916" s="113">
        <f>+'Invullen groen'!A926</f>
        <v/>
      </c>
      <c r="B916" s="154">
        <f>+'Invullen groen'!C926</f>
        <v/>
      </c>
      <c r="C916" s="124">
        <f>+'Invullen groen'!G926</f>
        <v/>
      </c>
      <c r="D916" s="113">
        <f>+'Invullen groen'!M926</f>
        <v/>
      </c>
      <c r="E916" s="114">
        <f>+'Invullen groen'!H926</f>
        <v/>
      </c>
      <c r="F916" s="114">
        <f>+'Invullen groen'!I926</f>
        <v/>
      </c>
      <c r="G916" s="114">
        <f>+'Invullen groen'!J926</f>
        <v/>
      </c>
      <c r="H916" s="114">
        <f>+'Invullen groen'!K926</f>
        <v/>
      </c>
      <c r="I916" s="124">
        <f>+'Invullen groen'!AW926</f>
        <v/>
      </c>
      <c r="J916" s="124">
        <f>+'Invullen groen'!AX926</f>
        <v/>
      </c>
      <c r="K916" s="124">
        <f>+'Invullen groen'!AY926</f>
        <v/>
      </c>
      <c r="L916" s="124">
        <f>+'Invullen groen'!AZ926</f>
        <v/>
      </c>
      <c r="M916" s="124">
        <f>+'Invullen groen'!BA926</f>
        <v/>
      </c>
      <c r="N916" s="124">
        <f>+'Invullen groen'!BB926</f>
        <v/>
      </c>
      <c r="O916" s="124">
        <f>+'Invullen groen'!BC926</f>
        <v/>
      </c>
      <c r="P916" s="124">
        <f>+'Invullen groen'!BD926</f>
        <v/>
      </c>
    </row>
    <row r="917">
      <c r="A917" s="113">
        <f>+'Invullen groen'!A927</f>
        <v/>
      </c>
      <c r="B917" s="154">
        <f>+'Invullen groen'!C927</f>
        <v/>
      </c>
      <c r="C917" s="124">
        <f>+'Invullen groen'!G927</f>
        <v/>
      </c>
      <c r="D917" s="113">
        <f>+'Invullen groen'!M927</f>
        <v/>
      </c>
      <c r="E917" s="114">
        <f>+'Invullen groen'!H927</f>
        <v/>
      </c>
      <c r="F917" s="114">
        <f>+'Invullen groen'!I927</f>
        <v/>
      </c>
      <c r="G917" s="114">
        <f>+'Invullen groen'!J927</f>
        <v/>
      </c>
      <c r="H917" s="114">
        <f>+'Invullen groen'!K927</f>
        <v/>
      </c>
      <c r="I917" s="124">
        <f>+'Invullen groen'!AW927</f>
        <v/>
      </c>
      <c r="J917" s="124">
        <f>+'Invullen groen'!AX927</f>
        <v/>
      </c>
      <c r="K917" s="124">
        <f>+'Invullen groen'!AY927</f>
        <v/>
      </c>
      <c r="L917" s="124">
        <f>+'Invullen groen'!AZ927</f>
        <v/>
      </c>
      <c r="M917" s="124">
        <f>+'Invullen groen'!BA927</f>
        <v/>
      </c>
      <c r="N917" s="124">
        <f>+'Invullen groen'!BB927</f>
        <v/>
      </c>
      <c r="O917" s="124">
        <f>+'Invullen groen'!BC927</f>
        <v/>
      </c>
      <c r="P917" s="124">
        <f>+'Invullen groen'!BD927</f>
        <v/>
      </c>
    </row>
    <row r="918">
      <c r="A918" s="113">
        <f>+'Invullen groen'!A928</f>
        <v/>
      </c>
      <c r="B918" s="154">
        <f>+'Invullen groen'!C928</f>
        <v/>
      </c>
      <c r="C918" s="124">
        <f>+'Invullen groen'!G928</f>
        <v/>
      </c>
      <c r="D918" s="113">
        <f>+'Invullen groen'!M928</f>
        <v/>
      </c>
      <c r="E918" s="114">
        <f>+'Invullen groen'!H928</f>
        <v/>
      </c>
      <c r="F918" s="114">
        <f>+'Invullen groen'!I928</f>
        <v/>
      </c>
      <c r="G918" s="114">
        <f>+'Invullen groen'!J928</f>
        <v/>
      </c>
      <c r="H918" s="114">
        <f>+'Invullen groen'!K928</f>
        <v/>
      </c>
      <c r="I918" s="124">
        <f>+'Invullen groen'!AW928</f>
        <v/>
      </c>
      <c r="J918" s="124">
        <f>+'Invullen groen'!AX928</f>
        <v/>
      </c>
      <c r="K918" s="124">
        <f>+'Invullen groen'!AY928</f>
        <v/>
      </c>
      <c r="L918" s="124">
        <f>+'Invullen groen'!AZ928</f>
        <v/>
      </c>
      <c r="M918" s="124">
        <f>+'Invullen groen'!BA928</f>
        <v/>
      </c>
      <c r="N918" s="124">
        <f>+'Invullen groen'!BB928</f>
        <v/>
      </c>
      <c r="O918" s="124">
        <f>+'Invullen groen'!BC928</f>
        <v/>
      </c>
      <c r="P918" s="124">
        <f>+'Invullen groen'!BD928</f>
        <v/>
      </c>
    </row>
    <row r="919">
      <c r="A919" s="113">
        <f>+'Invullen groen'!A929</f>
        <v/>
      </c>
      <c r="B919" s="154">
        <f>+'Invullen groen'!C929</f>
        <v/>
      </c>
      <c r="C919" s="124">
        <f>+'Invullen groen'!G929</f>
        <v/>
      </c>
      <c r="D919" s="113">
        <f>+'Invullen groen'!M929</f>
        <v/>
      </c>
      <c r="E919" s="114">
        <f>+'Invullen groen'!H929</f>
        <v/>
      </c>
      <c r="F919" s="114">
        <f>+'Invullen groen'!I929</f>
        <v/>
      </c>
      <c r="G919" s="114">
        <f>+'Invullen groen'!J929</f>
        <v/>
      </c>
      <c r="H919" s="114">
        <f>+'Invullen groen'!K929</f>
        <v/>
      </c>
      <c r="I919" s="124">
        <f>+'Invullen groen'!AW929</f>
        <v/>
      </c>
      <c r="J919" s="124">
        <f>+'Invullen groen'!AX929</f>
        <v/>
      </c>
      <c r="K919" s="124">
        <f>+'Invullen groen'!AY929</f>
        <v/>
      </c>
      <c r="L919" s="124">
        <f>+'Invullen groen'!AZ929</f>
        <v/>
      </c>
      <c r="M919" s="124">
        <f>+'Invullen groen'!BA929</f>
        <v/>
      </c>
      <c r="N919" s="124">
        <f>+'Invullen groen'!BB929</f>
        <v/>
      </c>
      <c r="O919" s="124">
        <f>+'Invullen groen'!BC929</f>
        <v/>
      </c>
      <c r="P919" s="124">
        <f>+'Invullen groen'!BD929</f>
        <v/>
      </c>
    </row>
    <row r="920">
      <c r="A920" s="113">
        <f>+'Invullen groen'!A930</f>
        <v/>
      </c>
      <c r="B920" s="154">
        <f>+'Invullen groen'!C930</f>
        <v/>
      </c>
      <c r="C920" s="124">
        <f>+'Invullen groen'!G930</f>
        <v/>
      </c>
      <c r="D920" s="113">
        <f>+'Invullen groen'!M930</f>
        <v/>
      </c>
      <c r="E920" s="114">
        <f>+'Invullen groen'!H930</f>
        <v/>
      </c>
      <c r="F920" s="114">
        <f>+'Invullen groen'!I930</f>
        <v/>
      </c>
      <c r="G920" s="114">
        <f>+'Invullen groen'!J930</f>
        <v/>
      </c>
      <c r="H920" s="114">
        <f>+'Invullen groen'!K930</f>
        <v/>
      </c>
      <c r="I920" s="124">
        <f>+'Invullen groen'!AW930</f>
        <v/>
      </c>
      <c r="J920" s="124">
        <f>+'Invullen groen'!AX930</f>
        <v/>
      </c>
      <c r="K920" s="124">
        <f>+'Invullen groen'!AY930</f>
        <v/>
      </c>
      <c r="L920" s="124">
        <f>+'Invullen groen'!AZ930</f>
        <v/>
      </c>
      <c r="M920" s="124">
        <f>+'Invullen groen'!BA930</f>
        <v/>
      </c>
      <c r="N920" s="124">
        <f>+'Invullen groen'!BB930</f>
        <v/>
      </c>
      <c r="O920" s="124">
        <f>+'Invullen groen'!BC930</f>
        <v/>
      </c>
      <c r="P920" s="124">
        <f>+'Invullen groen'!BD930</f>
        <v/>
      </c>
    </row>
    <row r="921">
      <c r="A921" s="113">
        <f>+'Invullen groen'!A931</f>
        <v/>
      </c>
      <c r="B921" s="154">
        <f>+'Invullen groen'!C931</f>
        <v/>
      </c>
      <c r="C921" s="124">
        <f>+'Invullen groen'!G931</f>
        <v/>
      </c>
      <c r="D921" s="113">
        <f>+'Invullen groen'!M931</f>
        <v/>
      </c>
      <c r="E921" s="114">
        <f>+'Invullen groen'!H931</f>
        <v/>
      </c>
      <c r="F921" s="114">
        <f>+'Invullen groen'!I931</f>
        <v/>
      </c>
      <c r="G921" s="114">
        <f>+'Invullen groen'!J931</f>
        <v/>
      </c>
      <c r="H921" s="114">
        <f>+'Invullen groen'!K931</f>
        <v/>
      </c>
      <c r="I921" s="124">
        <f>+'Invullen groen'!AW931</f>
        <v/>
      </c>
      <c r="J921" s="124">
        <f>+'Invullen groen'!AX931</f>
        <v/>
      </c>
      <c r="K921" s="124">
        <f>+'Invullen groen'!AY931</f>
        <v/>
      </c>
      <c r="L921" s="124">
        <f>+'Invullen groen'!AZ931</f>
        <v/>
      </c>
      <c r="M921" s="124">
        <f>+'Invullen groen'!BA931</f>
        <v/>
      </c>
      <c r="N921" s="124">
        <f>+'Invullen groen'!BB931</f>
        <v/>
      </c>
      <c r="O921" s="124">
        <f>+'Invullen groen'!BC931</f>
        <v/>
      </c>
      <c r="P921" s="124">
        <f>+'Invullen groen'!BD931</f>
        <v/>
      </c>
    </row>
    <row r="922">
      <c r="A922" s="113">
        <f>+'Invullen groen'!A932</f>
        <v/>
      </c>
      <c r="B922" s="154">
        <f>+'Invullen groen'!C932</f>
        <v/>
      </c>
      <c r="C922" s="124">
        <f>+'Invullen groen'!G932</f>
        <v/>
      </c>
      <c r="D922" s="113">
        <f>+'Invullen groen'!M932</f>
        <v/>
      </c>
      <c r="E922" s="114">
        <f>+'Invullen groen'!H932</f>
        <v/>
      </c>
      <c r="F922" s="114">
        <f>+'Invullen groen'!I932</f>
        <v/>
      </c>
      <c r="G922" s="114">
        <f>+'Invullen groen'!J932</f>
        <v/>
      </c>
      <c r="H922" s="114">
        <f>+'Invullen groen'!K932</f>
        <v/>
      </c>
      <c r="I922" s="124">
        <f>+'Invullen groen'!AW932</f>
        <v/>
      </c>
      <c r="J922" s="124">
        <f>+'Invullen groen'!AX932</f>
        <v/>
      </c>
      <c r="K922" s="124">
        <f>+'Invullen groen'!AY932</f>
        <v/>
      </c>
      <c r="L922" s="124">
        <f>+'Invullen groen'!AZ932</f>
        <v/>
      </c>
      <c r="M922" s="124">
        <f>+'Invullen groen'!BA932</f>
        <v/>
      </c>
      <c r="N922" s="124">
        <f>+'Invullen groen'!BB932</f>
        <v/>
      </c>
      <c r="O922" s="124">
        <f>+'Invullen groen'!BC932</f>
        <v/>
      </c>
      <c r="P922" s="124">
        <f>+'Invullen groen'!BD932</f>
        <v/>
      </c>
    </row>
    <row r="923">
      <c r="A923" s="113">
        <f>+'Invullen groen'!A933</f>
        <v/>
      </c>
      <c r="B923" s="154">
        <f>+'Invullen groen'!C933</f>
        <v/>
      </c>
      <c r="C923" s="124">
        <f>+'Invullen groen'!G933</f>
        <v/>
      </c>
      <c r="D923" s="113">
        <f>+'Invullen groen'!M933</f>
        <v/>
      </c>
      <c r="E923" s="114">
        <f>+'Invullen groen'!H933</f>
        <v/>
      </c>
      <c r="F923" s="114">
        <f>+'Invullen groen'!I933</f>
        <v/>
      </c>
      <c r="G923" s="114">
        <f>+'Invullen groen'!J933</f>
        <v/>
      </c>
      <c r="H923" s="114">
        <f>+'Invullen groen'!K933</f>
        <v/>
      </c>
      <c r="I923" s="124">
        <f>+'Invullen groen'!AW933</f>
        <v/>
      </c>
      <c r="J923" s="124">
        <f>+'Invullen groen'!AX933</f>
        <v/>
      </c>
      <c r="K923" s="124">
        <f>+'Invullen groen'!AY933</f>
        <v/>
      </c>
      <c r="L923" s="124">
        <f>+'Invullen groen'!AZ933</f>
        <v/>
      </c>
      <c r="M923" s="124">
        <f>+'Invullen groen'!BA933</f>
        <v/>
      </c>
      <c r="N923" s="124">
        <f>+'Invullen groen'!BB933</f>
        <v/>
      </c>
      <c r="O923" s="124">
        <f>+'Invullen groen'!BC933</f>
        <v/>
      </c>
      <c r="P923" s="124">
        <f>+'Invullen groen'!BD933</f>
        <v/>
      </c>
    </row>
    <row r="924">
      <c r="A924" s="113">
        <f>+'Invullen groen'!A934</f>
        <v/>
      </c>
      <c r="B924" s="154">
        <f>+'Invullen groen'!C934</f>
        <v/>
      </c>
      <c r="C924" s="124">
        <f>+'Invullen groen'!G934</f>
        <v/>
      </c>
      <c r="D924" s="113">
        <f>+'Invullen groen'!M934</f>
        <v/>
      </c>
      <c r="E924" s="114">
        <f>+'Invullen groen'!H934</f>
        <v/>
      </c>
      <c r="F924" s="114">
        <f>+'Invullen groen'!I934</f>
        <v/>
      </c>
      <c r="G924" s="114">
        <f>+'Invullen groen'!J934</f>
        <v/>
      </c>
      <c r="H924" s="114">
        <f>+'Invullen groen'!K934</f>
        <v/>
      </c>
      <c r="I924" s="124">
        <f>+'Invullen groen'!AW934</f>
        <v/>
      </c>
      <c r="J924" s="124">
        <f>+'Invullen groen'!AX934</f>
        <v/>
      </c>
      <c r="K924" s="124">
        <f>+'Invullen groen'!AY934</f>
        <v/>
      </c>
      <c r="L924" s="124">
        <f>+'Invullen groen'!AZ934</f>
        <v/>
      </c>
      <c r="M924" s="124">
        <f>+'Invullen groen'!BA934</f>
        <v/>
      </c>
      <c r="N924" s="124">
        <f>+'Invullen groen'!BB934</f>
        <v/>
      </c>
      <c r="O924" s="124">
        <f>+'Invullen groen'!BC934</f>
        <v/>
      </c>
      <c r="P924" s="124">
        <f>+'Invullen groen'!BD934</f>
        <v/>
      </c>
    </row>
    <row r="925">
      <c r="A925" s="113">
        <f>+'Invullen groen'!A935</f>
        <v/>
      </c>
      <c r="B925" s="154">
        <f>+'Invullen groen'!C935</f>
        <v/>
      </c>
      <c r="C925" s="124">
        <f>+'Invullen groen'!G935</f>
        <v/>
      </c>
      <c r="D925" s="113">
        <f>+'Invullen groen'!M935</f>
        <v/>
      </c>
      <c r="E925" s="114">
        <f>+'Invullen groen'!H935</f>
        <v/>
      </c>
      <c r="F925" s="114">
        <f>+'Invullen groen'!I935</f>
        <v/>
      </c>
      <c r="G925" s="114">
        <f>+'Invullen groen'!J935</f>
        <v/>
      </c>
      <c r="H925" s="114">
        <f>+'Invullen groen'!K935</f>
        <v/>
      </c>
      <c r="I925" s="124">
        <f>+'Invullen groen'!AW935</f>
        <v/>
      </c>
      <c r="J925" s="124">
        <f>+'Invullen groen'!AX935</f>
        <v/>
      </c>
      <c r="K925" s="124">
        <f>+'Invullen groen'!AY935</f>
        <v/>
      </c>
      <c r="L925" s="124">
        <f>+'Invullen groen'!AZ935</f>
        <v/>
      </c>
      <c r="M925" s="124">
        <f>+'Invullen groen'!BA935</f>
        <v/>
      </c>
      <c r="N925" s="124">
        <f>+'Invullen groen'!BB935</f>
        <v/>
      </c>
      <c r="O925" s="124">
        <f>+'Invullen groen'!BC935</f>
        <v/>
      </c>
      <c r="P925" s="124">
        <f>+'Invullen groen'!BD935</f>
        <v/>
      </c>
    </row>
    <row r="926">
      <c r="A926" s="113">
        <f>+'Invullen groen'!A936</f>
        <v/>
      </c>
      <c r="B926" s="154">
        <f>+'Invullen groen'!C936</f>
        <v/>
      </c>
      <c r="C926" s="124">
        <f>+'Invullen groen'!G936</f>
        <v/>
      </c>
      <c r="D926" s="113">
        <f>+'Invullen groen'!M936</f>
        <v/>
      </c>
      <c r="E926" s="114">
        <f>+'Invullen groen'!H936</f>
        <v/>
      </c>
      <c r="F926" s="114">
        <f>+'Invullen groen'!I936</f>
        <v/>
      </c>
      <c r="G926" s="114">
        <f>+'Invullen groen'!J936</f>
        <v/>
      </c>
      <c r="H926" s="114">
        <f>+'Invullen groen'!K936</f>
        <v/>
      </c>
      <c r="I926" s="124">
        <f>+'Invullen groen'!AW936</f>
        <v/>
      </c>
      <c r="J926" s="124">
        <f>+'Invullen groen'!AX936</f>
        <v/>
      </c>
      <c r="K926" s="124">
        <f>+'Invullen groen'!AY936</f>
        <v/>
      </c>
      <c r="L926" s="124">
        <f>+'Invullen groen'!AZ936</f>
        <v/>
      </c>
      <c r="M926" s="124">
        <f>+'Invullen groen'!BA936</f>
        <v/>
      </c>
      <c r="N926" s="124">
        <f>+'Invullen groen'!BB936</f>
        <v/>
      </c>
      <c r="O926" s="124">
        <f>+'Invullen groen'!BC936</f>
        <v/>
      </c>
      <c r="P926" s="124">
        <f>+'Invullen groen'!BD936</f>
        <v/>
      </c>
    </row>
    <row r="927">
      <c r="A927" s="113">
        <f>+'Invullen groen'!A937</f>
        <v/>
      </c>
      <c r="B927" s="154">
        <f>+'Invullen groen'!C937</f>
        <v/>
      </c>
      <c r="C927" s="124">
        <f>+'Invullen groen'!G937</f>
        <v/>
      </c>
      <c r="D927" s="113">
        <f>+'Invullen groen'!M937</f>
        <v/>
      </c>
      <c r="E927" s="114">
        <f>+'Invullen groen'!H937</f>
        <v/>
      </c>
      <c r="F927" s="114">
        <f>+'Invullen groen'!I937</f>
        <v/>
      </c>
      <c r="G927" s="114">
        <f>+'Invullen groen'!J937</f>
        <v/>
      </c>
      <c r="H927" s="114">
        <f>+'Invullen groen'!K937</f>
        <v/>
      </c>
      <c r="I927" s="124">
        <f>+'Invullen groen'!AW937</f>
        <v/>
      </c>
      <c r="J927" s="124">
        <f>+'Invullen groen'!AX937</f>
        <v/>
      </c>
      <c r="K927" s="124">
        <f>+'Invullen groen'!AY937</f>
        <v/>
      </c>
      <c r="L927" s="124">
        <f>+'Invullen groen'!AZ937</f>
        <v/>
      </c>
      <c r="M927" s="124">
        <f>+'Invullen groen'!BA937</f>
        <v/>
      </c>
      <c r="N927" s="124">
        <f>+'Invullen groen'!BB937</f>
        <v/>
      </c>
      <c r="O927" s="124">
        <f>+'Invullen groen'!BC937</f>
        <v/>
      </c>
      <c r="P927" s="124">
        <f>+'Invullen groen'!BD937</f>
        <v/>
      </c>
    </row>
    <row r="928">
      <c r="A928" s="113">
        <f>+'Invullen groen'!A938</f>
        <v/>
      </c>
      <c r="B928" s="154">
        <f>+'Invullen groen'!C938</f>
        <v/>
      </c>
      <c r="C928" s="124">
        <f>+'Invullen groen'!G938</f>
        <v/>
      </c>
      <c r="D928" s="113">
        <f>+'Invullen groen'!M938</f>
        <v/>
      </c>
      <c r="E928" s="114">
        <f>+'Invullen groen'!H938</f>
        <v/>
      </c>
      <c r="F928" s="114">
        <f>+'Invullen groen'!I938</f>
        <v/>
      </c>
      <c r="G928" s="114">
        <f>+'Invullen groen'!J938</f>
        <v/>
      </c>
      <c r="H928" s="114">
        <f>+'Invullen groen'!K938</f>
        <v/>
      </c>
      <c r="I928" s="124">
        <f>+'Invullen groen'!AW938</f>
        <v/>
      </c>
      <c r="J928" s="124">
        <f>+'Invullen groen'!AX938</f>
        <v/>
      </c>
      <c r="K928" s="124">
        <f>+'Invullen groen'!AY938</f>
        <v/>
      </c>
      <c r="L928" s="124">
        <f>+'Invullen groen'!AZ938</f>
        <v/>
      </c>
      <c r="M928" s="124">
        <f>+'Invullen groen'!BA938</f>
        <v/>
      </c>
      <c r="N928" s="124">
        <f>+'Invullen groen'!BB938</f>
        <v/>
      </c>
      <c r="O928" s="124">
        <f>+'Invullen groen'!BC938</f>
        <v/>
      </c>
      <c r="P928" s="124">
        <f>+'Invullen groen'!BD938</f>
        <v/>
      </c>
    </row>
    <row r="929">
      <c r="A929" s="113">
        <f>+'Invullen groen'!A939</f>
        <v/>
      </c>
      <c r="B929" s="154">
        <f>+'Invullen groen'!C939</f>
        <v/>
      </c>
      <c r="C929" s="124">
        <f>+'Invullen groen'!G939</f>
        <v/>
      </c>
      <c r="D929" s="113">
        <f>+'Invullen groen'!M939</f>
        <v/>
      </c>
      <c r="E929" s="114">
        <f>+'Invullen groen'!H939</f>
        <v/>
      </c>
      <c r="F929" s="114">
        <f>+'Invullen groen'!I939</f>
        <v/>
      </c>
      <c r="G929" s="114">
        <f>+'Invullen groen'!J939</f>
        <v/>
      </c>
      <c r="H929" s="114">
        <f>+'Invullen groen'!K939</f>
        <v/>
      </c>
      <c r="I929" s="124">
        <f>+'Invullen groen'!AW939</f>
        <v/>
      </c>
      <c r="J929" s="124">
        <f>+'Invullen groen'!AX939</f>
        <v/>
      </c>
      <c r="K929" s="124">
        <f>+'Invullen groen'!AY939</f>
        <v/>
      </c>
      <c r="L929" s="124">
        <f>+'Invullen groen'!AZ939</f>
        <v/>
      </c>
      <c r="M929" s="124">
        <f>+'Invullen groen'!BA939</f>
        <v/>
      </c>
      <c r="N929" s="124">
        <f>+'Invullen groen'!BB939</f>
        <v/>
      </c>
      <c r="O929" s="124">
        <f>+'Invullen groen'!BC939</f>
        <v/>
      </c>
      <c r="P929" s="124">
        <f>+'Invullen groen'!BD939</f>
        <v/>
      </c>
    </row>
    <row r="930">
      <c r="A930" s="113">
        <f>+'Invullen groen'!A940</f>
        <v/>
      </c>
      <c r="B930" s="154">
        <f>+'Invullen groen'!C940</f>
        <v/>
      </c>
      <c r="C930" s="124">
        <f>+'Invullen groen'!G940</f>
        <v/>
      </c>
      <c r="D930" s="113">
        <f>+'Invullen groen'!M940</f>
        <v/>
      </c>
      <c r="E930" s="114">
        <f>+'Invullen groen'!H940</f>
        <v/>
      </c>
      <c r="F930" s="114">
        <f>+'Invullen groen'!I940</f>
        <v/>
      </c>
      <c r="G930" s="114">
        <f>+'Invullen groen'!J940</f>
        <v/>
      </c>
      <c r="H930" s="114">
        <f>+'Invullen groen'!K940</f>
        <v/>
      </c>
      <c r="I930" s="124">
        <f>+'Invullen groen'!AW940</f>
        <v/>
      </c>
      <c r="J930" s="124">
        <f>+'Invullen groen'!AX940</f>
        <v/>
      </c>
      <c r="K930" s="124">
        <f>+'Invullen groen'!AY940</f>
        <v/>
      </c>
      <c r="L930" s="124">
        <f>+'Invullen groen'!AZ940</f>
        <v/>
      </c>
      <c r="M930" s="124">
        <f>+'Invullen groen'!BA940</f>
        <v/>
      </c>
      <c r="N930" s="124">
        <f>+'Invullen groen'!BB940</f>
        <v/>
      </c>
      <c r="O930" s="124">
        <f>+'Invullen groen'!BC940</f>
        <v/>
      </c>
      <c r="P930" s="124">
        <f>+'Invullen groen'!BD940</f>
        <v/>
      </c>
    </row>
    <row r="931">
      <c r="A931" s="113">
        <f>+'Invullen groen'!A941</f>
        <v/>
      </c>
      <c r="B931" s="154">
        <f>+'Invullen groen'!C941</f>
        <v/>
      </c>
      <c r="C931" s="124">
        <f>+'Invullen groen'!G941</f>
        <v/>
      </c>
      <c r="D931" s="113">
        <f>+'Invullen groen'!M941</f>
        <v/>
      </c>
      <c r="E931" s="114">
        <f>+'Invullen groen'!H941</f>
        <v/>
      </c>
      <c r="F931" s="114">
        <f>+'Invullen groen'!I941</f>
        <v/>
      </c>
      <c r="G931" s="114">
        <f>+'Invullen groen'!J941</f>
        <v/>
      </c>
      <c r="H931" s="114">
        <f>+'Invullen groen'!K941</f>
        <v/>
      </c>
      <c r="I931" s="124">
        <f>+'Invullen groen'!AW941</f>
        <v/>
      </c>
      <c r="J931" s="124">
        <f>+'Invullen groen'!AX941</f>
        <v/>
      </c>
      <c r="K931" s="124">
        <f>+'Invullen groen'!AY941</f>
        <v/>
      </c>
      <c r="L931" s="124">
        <f>+'Invullen groen'!AZ941</f>
        <v/>
      </c>
      <c r="M931" s="124">
        <f>+'Invullen groen'!BA941</f>
        <v/>
      </c>
      <c r="N931" s="124">
        <f>+'Invullen groen'!BB941</f>
        <v/>
      </c>
      <c r="O931" s="124">
        <f>+'Invullen groen'!BC941</f>
        <v/>
      </c>
      <c r="P931" s="124">
        <f>+'Invullen groen'!BD941</f>
        <v/>
      </c>
    </row>
    <row r="932">
      <c r="A932" s="113">
        <f>+'Invullen groen'!A942</f>
        <v/>
      </c>
      <c r="B932" s="154">
        <f>+'Invullen groen'!C942</f>
        <v/>
      </c>
      <c r="C932" s="124">
        <f>+'Invullen groen'!G942</f>
        <v/>
      </c>
      <c r="D932" s="113">
        <f>+'Invullen groen'!M942</f>
        <v/>
      </c>
      <c r="E932" s="114">
        <f>+'Invullen groen'!H942</f>
        <v/>
      </c>
      <c r="F932" s="114">
        <f>+'Invullen groen'!I942</f>
        <v/>
      </c>
      <c r="G932" s="114">
        <f>+'Invullen groen'!J942</f>
        <v/>
      </c>
      <c r="H932" s="114">
        <f>+'Invullen groen'!K942</f>
        <v/>
      </c>
      <c r="I932" s="124">
        <f>+'Invullen groen'!AW942</f>
        <v/>
      </c>
      <c r="J932" s="124">
        <f>+'Invullen groen'!AX942</f>
        <v/>
      </c>
      <c r="K932" s="124">
        <f>+'Invullen groen'!AY942</f>
        <v/>
      </c>
      <c r="L932" s="124">
        <f>+'Invullen groen'!AZ942</f>
        <v/>
      </c>
      <c r="M932" s="124">
        <f>+'Invullen groen'!BA942</f>
        <v/>
      </c>
      <c r="N932" s="124">
        <f>+'Invullen groen'!BB942</f>
        <v/>
      </c>
      <c r="O932" s="124">
        <f>+'Invullen groen'!BC942</f>
        <v/>
      </c>
      <c r="P932" s="124">
        <f>+'Invullen groen'!BD942</f>
        <v/>
      </c>
    </row>
    <row r="933">
      <c r="A933" s="113">
        <f>+'Invullen groen'!A943</f>
        <v/>
      </c>
      <c r="B933" s="154">
        <f>+'Invullen groen'!C943</f>
        <v/>
      </c>
      <c r="C933" s="124">
        <f>+'Invullen groen'!G943</f>
        <v/>
      </c>
      <c r="D933" s="113">
        <f>+'Invullen groen'!M943</f>
        <v/>
      </c>
      <c r="E933" s="114">
        <f>+'Invullen groen'!H943</f>
        <v/>
      </c>
      <c r="F933" s="114">
        <f>+'Invullen groen'!I943</f>
        <v/>
      </c>
      <c r="G933" s="114">
        <f>+'Invullen groen'!J943</f>
        <v/>
      </c>
      <c r="H933" s="114">
        <f>+'Invullen groen'!K943</f>
        <v/>
      </c>
      <c r="I933" s="124">
        <f>+'Invullen groen'!AW943</f>
        <v/>
      </c>
      <c r="J933" s="124">
        <f>+'Invullen groen'!AX943</f>
        <v/>
      </c>
      <c r="K933" s="124">
        <f>+'Invullen groen'!AY943</f>
        <v/>
      </c>
      <c r="L933" s="124">
        <f>+'Invullen groen'!AZ943</f>
        <v/>
      </c>
      <c r="M933" s="124">
        <f>+'Invullen groen'!BA943</f>
        <v/>
      </c>
      <c r="N933" s="124">
        <f>+'Invullen groen'!BB943</f>
        <v/>
      </c>
      <c r="O933" s="124">
        <f>+'Invullen groen'!BC943</f>
        <v/>
      </c>
      <c r="P933" s="124">
        <f>+'Invullen groen'!BD943</f>
        <v/>
      </c>
    </row>
    <row r="934">
      <c r="A934" s="113">
        <f>+'Invullen groen'!A944</f>
        <v/>
      </c>
      <c r="B934" s="154">
        <f>+'Invullen groen'!C944</f>
        <v/>
      </c>
      <c r="C934" s="124">
        <f>+'Invullen groen'!G944</f>
        <v/>
      </c>
      <c r="D934" s="113">
        <f>+'Invullen groen'!M944</f>
        <v/>
      </c>
      <c r="E934" s="114">
        <f>+'Invullen groen'!H944</f>
        <v/>
      </c>
      <c r="F934" s="114">
        <f>+'Invullen groen'!I944</f>
        <v/>
      </c>
      <c r="G934" s="114">
        <f>+'Invullen groen'!J944</f>
        <v/>
      </c>
      <c r="H934" s="114">
        <f>+'Invullen groen'!K944</f>
        <v/>
      </c>
      <c r="I934" s="124">
        <f>+'Invullen groen'!AW944</f>
        <v/>
      </c>
      <c r="J934" s="124">
        <f>+'Invullen groen'!AX944</f>
        <v/>
      </c>
      <c r="K934" s="124">
        <f>+'Invullen groen'!AY944</f>
        <v/>
      </c>
      <c r="L934" s="124">
        <f>+'Invullen groen'!AZ944</f>
        <v/>
      </c>
      <c r="M934" s="124">
        <f>+'Invullen groen'!BA944</f>
        <v/>
      </c>
      <c r="N934" s="124">
        <f>+'Invullen groen'!BB944</f>
        <v/>
      </c>
      <c r="O934" s="124">
        <f>+'Invullen groen'!BC944</f>
        <v/>
      </c>
      <c r="P934" s="124">
        <f>+'Invullen groen'!BD944</f>
        <v/>
      </c>
    </row>
    <row r="935">
      <c r="A935" s="113">
        <f>+'Invullen groen'!A945</f>
        <v/>
      </c>
      <c r="B935" s="154">
        <f>+'Invullen groen'!C945</f>
        <v/>
      </c>
      <c r="C935" s="124">
        <f>+'Invullen groen'!G945</f>
        <v/>
      </c>
      <c r="D935" s="113">
        <f>+'Invullen groen'!M945</f>
        <v/>
      </c>
      <c r="E935" s="114">
        <f>+'Invullen groen'!H945</f>
        <v/>
      </c>
      <c r="F935" s="114">
        <f>+'Invullen groen'!I945</f>
        <v/>
      </c>
      <c r="G935" s="114">
        <f>+'Invullen groen'!J945</f>
        <v/>
      </c>
      <c r="H935" s="114">
        <f>+'Invullen groen'!K945</f>
        <v/>
      </c>
      <c r="I935" s="124">
        <f>+'Invullen groen'!AW945</f>
        <v/>
      </c>
      <c r="J935" s="124">
        <f>+'Invullen groen'!AX945</f>
        <v/>
      </c>
      <c r="K935" s="124">
        <f>+'Invullen groen'!AY945</f>
        <v/>
      </c>
      <c r="L935" s="124">
        <f>+'Invullen groen'!AZ945</f>
        <v/>
      </c>
      <c r="M935" s="124">
        <f>+'Invullen groen'!BA945</f>
        <v/>
      </c>
      <c r="N935" s="124">
        <f>+'Invullen groen'!BB945</f>
        <v/>
      </c>
      <c r="O935" s="124">
        <f>+'Invullen groen'!BC945</f>
        <v/>
      </c>
      <c r="P935" s="124">
        <f>+'Invullen groen'!BD945</f>
        <v/>
      </c>
    </row>
    <row r="936">
      <c r="A936" s="113">
        <f>+'Invullen groen'!A946</f>
        <v/>
      </c>
      <c r="B936" s="154">
        <f>+'Invullen groen'!C946</f>
        <v/>
      </c>
      <c r="C936" s="124">
        <f>+'Invullen groen'!G946</f>
        <v/>
      </c>
      <c r="D936" s="113">
        <f>+'Invullen groen'!M946</f>
        <v/>
      </c>
      <c r="E936" s="114">
        <f>+'Invullen groen'!H946</f>
        <v/>
      </c>
      <c r="F936" s="114">
        <f>+'Invullen groen'!I946</f>
        <v/>
      </c>
      <c r="G936" s="114">
        <f>+'Invullen groen'!J946</f>
        <v/>
      </c>
      <c r="H936" s="114">
        <f>+'Invullen groen'!K946</f>
        <v/>
      </c>
      <c r="I936" s="124">
        <f>+'Invullen groen'!AW946</f>
        <v/>
      </c>
      <c r="J936" s="124">
        <f>+'Invullen groen'!AX946</f>
        <v/>
      </c>
      <c r="K936" s="124">
        <f>+'Invullen groen'!AY946</f>
        <v/>
      </c>
      <c r="L936" s="124">
        <f>+'Invullen groen'!AZ946</f>
        <v/>
      </c>
      <c r="M936" s="124">
        <f>+'Invullen groen'!BA946</f>
        <v/>
      </c>
      <c r="N936" s="124">
        <f>+'Invullen groen'!BB946</f>
        <v/>
      </c>
      <c r="O936" s="124">
        <f>+'Invullen groen'!BC946</f>
        <v/>
      </c>
      <c r="P936" s="124">
        <f>+'Invullen groen'!BD946</f>
        <v/>
      </c>
    </row>
    <row r="937">
      <c r="A937" s="113">
        <f>+'Invullen groen'!A947</f>
        <v/>
      </c>
      <c r="B937" s="154">
        <f>+'Invullen groen'!C947</f>
        <v/>
      </c>
      <c r="C937" s="124">
        <f>+'Invullen groen'!G947</f>
        <v/>
      </c>
      <c r="D937" s="113">
        <f>+'Invullen groen'!M947</f>
        <v/>
      </c>
      <c r="E937" s="114">
        <f>+'Invullen groen'!H947</f>
        <v/>
      </c>
      <c r="F937" s="114">
        <f>+'Invullen groen'!I947</f>
        <v/>
      </c>
      <c r="G937" s="114">
        <f>+'Invullen groen'!J947</f>
        <v/>
      </c>
      <c r="H937" s="114">
        <f>+'Invullen groen'!K947</f>
        <v/>
      </c>
      <c r="I937" s="124">
        <f>+'Invullen groen'!AW947</f>
        <v/>
      </c>
      <c r="J937" s="124">
        <f>+'Invullen groen'!AX947</f>
        <v/>
      </c>
      <c r="K937" s="124">
        <f>+'Invullen groen'!AY947</f>
        <v/>
      </c>
      <c r="L937" s="124">
        <f>+'Invullen groen'!AZ947</f>
        <v/>
      </c>
      <c r="M937" s="124">
        <f>+'Invullen groen'!BA947</f>
        <v/>
      </c>
      <c r="N937" s="124">
        <f>+'Invullen groen'!BB947</f>
        <v/>
      </c>
      <c r="O937" s="124">
        <f>+'Invullen groen'!BC947</f>
        <v/>
      </c>
      <c r="P937" s="124">
        <f>+'Invullen groen'!BD947</f>
        <v/>
      </c>
    </row>
    <row r="938">
      <c r="A938" s="113">
        <f>+'Invullen groen'!A948</f>
        <v/>
      </c>
      <c r="B938" s="154">
        <f>+'Invullen groen'!C948</f>
        <v/>
      </c>
      <c r="C938" s="124">
        <f>+'Invullen groen'!G948</f>
        <v/>
      </c>
      <c r="D938" s="113">
        <f>+'Invullen groen'!M948</f>
        <v/>
      </c>
      <c r="E938" s="114">
        <f>+'Invullen groen'!H948</f>
        <v/>
      </c>
      <c r="F938" s="114">
        <f>+'Invullen groen'!I948</f>
        <v/>
      </c>
      <c r="G938" s="114">
        <f>+'Invullen groen'!J948</f>
        <v/>
      </c>
      <c r="H938" s="114">
        <f>+'Invullen groen'!K948</f>
        <v/>
      </c>
      <c r="I938" s="124">
        <f>+'Invullen groen'!AW948</f>
        <v/>
      </c>
      <c r="J938" s="124">
        <f>+'Invullen groen'!AX948</f>
        <v/>
      </c>
      <c r="K938" s="124">
        <f>+'Invullen groen'!AY948</f>
        <v/>
      </c>
      <c r="L938" s="124">
        <f>+'Invullen groen'!AZ948</f>
        <v/>
      </c>
      <c r="M938" s="124">
        <f>+'Invullen groen'!BA948</f>
        <v/>
      </c>
      <c r="N938" s="124">
        <f>+'Invullen groen'!BB948</f>
        <v/>
      </c>
      <c r="O938" s="124">
        <f>+'Invullen groen'!BC948</f>
        <v/>
      </c>
      <c r="P938" s="124">
        <f>+'Invullen groen'!BD948</f>
        <v/>
      </c>
    </row>
    <row r="939">
      <c r="A939" s="113">
        <f>+'Invullen groen'!A949</f>
        <v/>
      </c>
      <c r="B939" s="154">
        <f>+'Invullen groen'!C949</f>
        <v/>
      </c>
      <c r="C939" s="124">
        <f>+'Invullen groen'!G949</f>
        <v/>
      </c>
      <c r="D939" s="113">
        <f>+'Invullen groen'!M949</f>
        <v/>
      </c>
      <c r="E939" s="114">
        <f>+'Invullen groen'!H949</f>
        <v/>
      </c>
      <c r="F939" s="114">
        <f>+'Invullen groen'!I949</f>
        <v/>
      </c>
      <c r="G939" s="114">
        <f>+'Invullen groen'!J949</f>
        <v/>
      </c>
      <c r="H939" s="114">
        <f>+'Invullen groen'!K949</f>
        <v/>
      </c>
      <c r="I939" s="124">
        <f>+'Invullen groen'!AW949</f>
        <v/>
      </c>
      <c r="J939" s="124">
        <f>+'Invullen groen'!AX949</f>
        <v/>
      </c>
      <c r="K939" s="124">
        <f>+'Invullen groen'!AY949</f>
        <v/>
      </c>
      <c r="L939" s="124">
        <f>+'Invullen groen'!AZ949</f>
        <v/>
      </c>
      <c r="M939" s="124">
        <f>+'Invullen groen'!BA949</f>
        <v/>
      </c>
      <c r="N939" s="124">
        <f>+'Invullen groen'!BB949</f>
        <v/>
      </c>
      <c r="O939" s="124">
        <f>+'Invullen groen'!BC949</f>
        <v/>
      </c>
      <c r="P939" s="124">
        <f>+'Invullen groen'!BD949</f>
        <v/>
      </c>
    </row>
    <row r="940">
      <c r="A940" s="113">
        <f>+'Invullen groen'!A950</f>
        <v/>
      </c>
      <c r="B940" s="154">
        <f>+'Invullen groen'!C950</f>
        <v/>
      </c>
      <c r="C940" s="124">
        <f>+'Invullen groen'!G950</f>
        <v/>
      </c>
      <c r="D940" s="113">
        <f>+'Invullen groen'!M950</f>
        <v/>
      </c>
      <c r="E940" s="114">
        <f>+'Invullen groen'!H950</f>
        <v/>
      </c>
      <c r="F940" s="114">
        <f>+'Invullen groen'!I950</f>
        <v/>
      </c>
      <c r="G940" s="114">
        <f>+'Invullen groen'!J950</f>
        <v/>
      </c>
      <c r="H940" s="114">
        <f>+'Invullen groen'!K950</f>
        <v/>
      </c>
      <c r="I940" s="124">
        <f>+'Invullen groen'!AW950</f>
        <v/>
      </c>
      <c r="J940" s="124">
        <f>+'Invullen groen'!AX950</f>
        <v/>
      </c>
      <c r="K940" s="124">
        <f>+'Invullen groen'!AY950</f>
        <v/>
      </c>
      <c r="L940" s="124">
        <f>+'Invullen groen'!AZ950</f>
        <v/>
      </c>
      <c r="M940" s="124">
        <f>+'Invullen groen'!BA950</f>
        <v/>
      </c>
      <c r="N940" s="124">
        <f>+'Invullen groen'!BB950</f>
        <v/>
      </c>
      <c r="O940" s="124">
        <f>+'Invullen groen'!BC950</f>
        <v/>
      </c>
      <c r="P940" s="124">
        <f>+'Invullen groen'!BD950</f>
        <v/>
      </c>
    </row>
    <row r="941">
      <c r="A941" s="113">
        <f>+'Invullen groen'!A951</f>
        <v/>
      </c>
      <c r="B941" s="154">
        <f>+'Invullen groen'!C951</f>
        <v/>
      </c>
      <c r="C941" s="124">
        <f>+'Invullen groen'!G951</f>
        <v/>
      </c>
      <c r="D941" s="113">
        <f>+'Invullen groen'!M951</f>
        <v/>
      </c>
      <c r="E941" s="114">
        <f>+'Invullen groen'!H951</f>
        <v/>
      </c>
      <c r="F941" s="114">
        <f>+'Invullen groen'!I951</f>
        <v/>
      </c>
      <c r="G941" s="114">
        <f>+'Invullen groen'!J951</f>
        <v/>
      </c>
      <c r="H941" s="114">
        <f>+'Invullen groen'!K951</f>
        <v/>
      </c>
      <c r="I941" s="124">
        <f>+'Invullen groen'!AW951</f>
        <v/>
      </c>
      <c r="J941" s="124">
        <f>+'Invullen groen'!AX951</f>
        <v/>
      </c>
      <c r="K941" s="124">
        <f>+'Invullen groen'!AY951</f>
        <v/>
      </c>
      <c r="L941" s="124">
        <f>+'Invullen groen'!AZ951</f>
        <v/>
      </c>
      <c r="M941" s="124">
        <f>+'Invullen groen'!BA951</f>
        <v/>
      </c>
      <c r="N941" s="124">
        <f>+'Invullen groen'!BB951</f>
        <v/>
      </c>
      <c r="O941" s="124">
        <f>+'Invullen groen'!BC951</f>
        <v/>
      </c>
      <c r="P941" s="124">
        <f>+'Invullen groen'!BD951</f>
        <v/>
      </c>
    </row>
    <row r="942">
      <c r="A942" s="113">
        <f>+'Invullen groen'!A952</f>
        <v/>
      </c>
      <c r="B942" s="154">
        <f>+'Invullen groen'!C952</f>
        <v/>
      </c>
      <c r="C942" s="124">
        <f>+'Invullen groen'!G952</f>
        <v/>
      </c>
      <c r="D942" s="113">
        <f>+'Invullen groen'!M952</f>
        <v/>
      </c>
      <c r="E942" s="114">
        <f>+'Invullen groen'!H952</f>
        <v/>
      </c>
      <c r="F942" s="114">
        <f>+'Invullen groen'!I952</f>
        <v/>
      </c>
      <c r="G942" s="114">
        <f>+'Invullen groen'!J952</f>
        <v/>
      </c>
      <c r="H942" s="114">
        <f>+'Invullen groen'!K952</f>
        <v/>
      </c>
      <c r="I942" s="124">
        <f>+'Invullen groen'!AW952</f>
        <v/>
      </c>
      <c r="J942" s="124">
        <f>+'Invullen groen'!AX952</f>
        <v/>
      </c>
      <c r="K942" s="124">
        <f>+'Invullen groen'!AY952</f>
        <v/>
      </c>
      <c r="L942" s="124">
        <f>+'Invullen groen'!AZ952</f>
        <v/>
      </c>
      <c r="M942" s="124">
        <f>+'Invullen groen'!BA952</f>
        <v/>
      </c>
      <c r="N942" s="124">
        <f>+'Invullen groen'!BB952</f>
        <v/>
      </c>
      <c r="O942" s="124">
        <f>+'Invullen groen'!BC952</f>
        <v/>
      </c>
      <c r="P942" s="124">
        <f>+'Invullen groen'!BD952</f>
        <v/>
      </c>
    </row>
    <row r="943">
      <c r="A943" s="113">
        <f>+'Invullen groen'!A953</f>
        <v/>
      </c>
      <c r="B943" s="154">
        <f>+'Invullen groen'!C953</f>
        <v/>
      </c>
      <c r="C943" s="124">
        <f>+'Invullen groen'!G953</f>
        <v/>
      </c>
      <c r="D943" s="113">
        <f>+'Invullen groen'!M953</f>
        <v/>
      </c>
      <c r="E943" s="114">
        <f>+'Invullen groen'!H953</f>
        <v/>
      </c>
      <c r="F943" s="114">
        <f>+'Invullen groen'!I953</f>
        <v/>
      </c>
      <c r="G943" s="114">
        <f>+'Invullen groen'!J953</f>
        <v/>
      </c>
      <c r="H943" s="114">
        <f>+'Invullen groen'!K953</f>
        <v/>
      </c>
      <c r="I943" s="124">
        <f>+'Invullen groen'!AW953</f>
        <v/>
      </c>
      <c r="J943" s="124">
        <f>+'Invullen groen'!AX953</f>
        <v/>
      </c>
      <c r="K943" s="124">
        <f>+'Invullen groen'!AY953</f>
        <v/>
      </c>
      <c r="L943" s="124">
        <f>+'Invullen groen'!AZ953</f>
        <v/>
      </c>
      <c r="M943" s="124">
        <f>+'Invullen groen'!BA953</f>
        <v/>
      </c>
      <c r="N943" s="124">
        <f>+'Invullen groen'!BB953</f>
        <v/>
      </c>
      <c r="O943" s="124">
        <f>+'Invullen groen'!BC953</f>
        <v/>
      </c>
      <c r="P943" s="124">
        <f>+'Invullen groen'!BD953</f>
        <v/>
      </c>
    </row>
    <row r="944">
      <c r="A944" s="113">
        <f>+'Invullen groen'!A954</f>
        <v/>
      </c>
      <c r="B944" s="154">
        <f>+'Invullen groen'!C954</f>
        <v/>
      </c>
      <c r="C944" s="124">
        <f>+'Invullen groen'!G954</f>
        <v/>
      </c>
      <c r="D944" s="113">
        <f>+'Invullen groen'!M954</f>
        <v/>
      </c>
      <c r="E944" s="114">
        <f>+'Invullen groen'!H954</f>
        <v/>
      </c>
      <c r="F944" s="114">
        <f>+'Invullen groen'!I954</f>
        <v/>
      </c>
      <c r="G944" s="114">
        <f>+'Invullen groen'!J954</f>
        <v/>
      </c>
      <c r="H944" s="114">
        <f>+'Invullen groen'!K954</f>
        <v/>
      </c>
      <c r="I944" s="124">
        <f>+'Invullen groen'!AW954</f>
        <v/>
      </c>
      <c r="J944" s="124">
        <f>+'Invullen groen'!AX954</f>
        <v/>
      </c>
      <c r="K944" s="124">
        <f>+'Invullen groen'!AY954</f>
        <v/>
      </c>
      <c r="L944" s="124">
        <f>+'Invullen groen'!AZ954</f>
        <v/>
      </c>
      <c r="M944" s="124">
        <f>+'Invullen groen'!BA954</f>
        <v/>
      </c>
      <c r="N944" s="124">
        <f>+'Invullen groen'!BB954</f>
        <v/>
      </c>
      <c r="O944" s="124">
        <f>+'Invullen groen'!BC954</f>
        <v/>
      </c>
      <c r="P944" s="124">
        <f>+'Invullen groen'!BD954</f>
        <v/>
      </c>
    </row>
    <row r="945">
      <c r="A945" s="113">
        <f>+'Invullen groen'!A955</f>
        <v/>
      </c>
      <c r="B945" s="154">
        <f>+'Invullen groen'!C955</f>
        <v/>
      </c>
      <c r="C945" s="124">
        <f>+'Invullen groen'!G955</f>
        <v/>
      </c>
      <c r="D945" s="113">
        <f>+'Invullen groen'!M955</f>
        <v/>
      </c>
      <c r="E945" s="114">
        <f>+'Invullen groen'!H955</f>
        <v/>
      </c>
      <c r="F945" s="114">
        <f>+'Invullen groen'!I955</f>
        <v/>
      </c>
      <c r="G945" s="114">
        <f>+'Invullen groen'!J955</f>
        <v/>
      </c>
      <c r="H945" s="114">
        <f>+'Invullen groen'!K955</f>
        <v/>
      </c>
      <c r="I945" s="124">
        <f>+'Invullen groen'!AW955</f>
        <v/>
      </c>
      <c r="J945" s="124">
        <f>+'Invullen groen'!AX955</f>
        <v/>
      </c>
      <c r="K945" s="124">
        <f>+'Invullen groen'!AY955</f>
        <v/>
      </c>
      <c r="L945" s="124">
        <f>+'Invullen groen'!AZ955</f>
        <v/>
      </c>
      <c r="M945" s="124">
        <f>+'Invullen groen'!BA955</f>
        <v/>
      </c>
      <c r="N945" s="124">
        <f>+'Invullen groen'!BB955</f>
        <v/>
      </c>
      <c r="O945" s="124">
        <f>+'Invullen groen'!BC955</f>
        <v/>
      </c>
      <c r="P945" s="124">
        <f>+'Invullen groen'!BD955</f>
        <v/>
      </c>
    </row>
    <row r="946">
      <c r="A946" s="113">
        <f>+'Invullen groen'!A956</f>
        <v/>
      </c>
      <c r="B946" s="154">
        <f>+'Invullen groen'!C956</f>
        <v/>
      </c>
      <c r="C946" s="124">
        <f>+'Invullen groen'!G956</f>
        <v/>
      </c>
      <c r="D946" s="113">
        <f>+'Invullen groen'!M956</f>
        <v/>
      </c>
      <c r="E946" s="114">
        <f>+'Invullen groen'!H956</f>
        <v/>
      </c>
      <c r="F946" s="114">
        <f>+'Invullen groen'!I956</f>
        <v/>
      </c>
      <c r="G946" s="114">
        <f>+'Invullen groen'!J956</f>
        <v/>
      </c>
      <c r="H946" s="114">
        <f>+'Invullen groen'!K956</f>
        <v/>
      </c>
      <c r="I946" s="124">
        <f>+'Invullen groen'!AW956</f>
        <v/>
      </c>
      <c r="J946" s="124">
        <f>+'Invullen groen'!AX956</f>
        <v/>
      </c>
      <c r="K946" s="124">
        <f>+'Invullen groen'!AY956</f>
        <v/>
      </c>
      <c r="L946" s="124">
        <f>+'Invullen groen'!AZ956</f>
        <v/>
      </c>
      <c r="M946" s="124">
        <f>+'Invullen groen'!BA956</f>
        <v/>
      </c>
      <c r="N946" s="124">
        <f>+'Invullen groen'!BB956</f>
        <v/>
      </c>
      <c r="O946" s="124">
        <f>+'Invullen groen'!BC956</f>
        <v/>
      </c>
      <c r="P946" s="124">
        <f>+'Invullen groen'!BD956</f>
        <v/>
      </c>
    </row>
    <row r="947">
      <c r="A947" s="113">
        <f>+'Invullen groen'!A957</f>
        <v/>
      </c>
      <c r="B947" s="154">
        <f>+'Invullen groen'!C957</f>
        <v/>
      </c>
      <c r="C947" s="124">
        <f>+'Invullen groen'!G957</f>
        <v/>
      </c>
      <c r="D947" s="113">
        <f>+'Invullen groen'!M957</f>
        <v/>
      </c>
      <c r="E947" s="114">
        <f>+'Invullen groen'!H957</f>
        <v/>
      </c>
      <c r="F947" s="114">
        <f>+'Invullen groen'!I957</f>
        <v/>
      </c>
      <c r="G947" s="114">
        <f>+'Invullen groen'!J957</f>
        <v/>
      </c>
      <c r="H947" s="114">
        <f>+'Invullen groen'!K957</f>
        <v/>
      </c>
      <c r="I947" s="124">
        <f>+'Invullen groen'!AW957</f>
        <v/>
      </c>
      <c r="J947" s="124">
        <f>+'Invullen groen'!AX957</f>
        <v/>
      </c>
      <c r="K947" s="124">
        <f>+'Invullen groen'!AY957</f>
        <v/>
      </c>
      <c r="L947" s="124">
        <f>+'Invullen groen'!AZ957</f>
        <v/>
      </c>
      <c r="M947" s="124">
        <f>+'Invullen groen'!BA957</f>
        <v/>
      </c>
      <c r="N947" s="124">
        <f>+'Invullen groen'!BB957</f>
        <v/>
      </c>
      <c r="O947" s="124">
        <f>+'Invullen groen'!BC957</f>
        <v/>
      </c>
      <c r="P947" s="124">
        <f>+'Invullen groen'!BD957</f>
        <v/>
      </c>
    </row>
    <row r="948">
      <c r="A948" s="113">
        <f>+'Invullen groen'!A958</f>
        <v/>
      </c>
      <c r="B948" s="154">
        <f>+'Invullen groen'!C958</f>
        <v/>
      </c>
      <c r="C948" s="124">
        <f>+'Invullen groen'!G958</f>
        <v/>
      </c>
      <c r="D948" s="113">
        <f>+'Invullen groen'!M958</f>
        <v/>
      </c>
      <c r="E948" s="114">
        <f>+'Invullen groen'!H958</f>
        <v/>
      </c>
      <c r="F948" s="114">
        <f>+'Invullen groen'!I958</f>
        <v/>
      </c>
      <c r="G948" s="114">
        <f>+'Invullen groen'!J958</f>
        <v/>
      </c>
      <c r="H948" s="114">
        <f>+'Invullen groen'!K958</f>
        <v/>
      </c>
      <c r="I948" s="124">
        <f>+'Invullen groen'!AW958</f>
        <v/>
      </c>
      <c r="J948" s="124">
        <f>+'Invullen groen'!AX958</f>
        <v/>
      </c>
      <c r="K948" s="124">
        <f>+'Invullen groen'!AY958</f>
        <v/>
      </c>
      <c r="L948" s="124">
        <f>+'Invullen groen'!AZ958</f>
        <v/>
      </c>
      <c r="M948" s="124">
        <f>+'Invullen groen'!BA958</f>
        <v/>
      </c>
      <c r="N948" s="124">
        <f>+'Invullen groen'!BB958</f>
        <v/>
      </c>
      <c r="O948" s="124">
        <f>+'Invullen groen'!BC958</f>
        <v/>
      </c>
      <c r="P948" s="124">
        <f>+'Invullen groen'!BD958</f>
        <v/>
      </c>
    </row>
    <row r="949">
      <c r="A949" s="113">
        <f>+'Invullen groen'!A959</f>
        <v/>
      </c>
      <c r="B949" s="154">
        <f>+'Invullen groen'!C959</f>
        <v/>
      </c>
      <c r="C949" s="124">
        <f>+'Invullen groen'!G959</f>
        <v/>
      </c>
      <c r="D949" s="113">
        <f>+'Invullen groen'!M959</f>
        <v/>
      </c>
      <c r="E949" s="114">
        <f>+'Invullen groen'!H959</f>
        <v/>
      </c>
      <c r="F949" s="114">
        <f>+'Invullen groen'!I959</f>
        <v/>
      </c>
      <c r="G949" s="114">
        <f>+'Invullen groen'!J959</f>
        <v/>
      </c>
      <c r="H949" s="114">
        <f>+'Invullen groen'!K959</f>
        <v/>
      </c>
      <c r="I949" s="124">
        <f>+'Invullen groen'!AW959</f>
        <v/>
      </c>
      <c r="J949" s="124">
        <f>+'Invullen groen'!AX959</f>
        <v/>
      </c>
      <c r="K949" s="124">
        <f>+'Invullen groen'!AY959</f>
        <v/>
      </c>
      <c r="L949" s="124">
        <f>+'Invullen groen'!AZ959</f>
        <v/>
      </c>
      <c r="M949" s="124">
        <f>+'Invullen groen'!BA959</f>
        <v/>
      </c>
      <c r="N949" s="124">
        <f>+'Invullen groen'!BB959</f>
        <v/>
      </c>
      <c r="O949" s="124">
        <f>+'Invullen groen'!BC959</f>
        <v/>
      </c>
      <c r="P949" s="124">
        <f>+'Invullen groen'!BD959</f>
        <v/>
      </c>
    </row>
    <row r="950">
      <c r="A950" s="113">
        <f>+'Invullen groen'!A960</f>
        <v/>
      </c>
      <c r="B950" s="154">
        <f>+'Invullen groen'!C960</f>
        <v/>
      </c>
      <c r="C950" s="124">
        <f>+'Invullen groen'!G960</f>
        <v/>
      </c>
      <c r="D950" s="113">
        <f>+'Invullen groen'!M960</f>
        <v/>
      </c>
      <c r="E950" s="114">
        <f>+'Invullen groen'!H960</f>
        <v/>
      </c>
      <c r="F950" s="114">
        <f>+'Invullen groen'!I960</f>
        <v/>
      </c>
      <c r="G950" s="114">
        <f>+'Invullen groen'!J960</f>
        <v/>
      </c>
      <c r="H950" s="114">
        <f>+'Invullen groen'!K960</f>
        <v/>
      </c>
      <c r="I950" s="124">
        <f>+'Invullen groen'!AW960</f>
        <v/>
      </c>
      <c r="J950" s="124">
        <f>+'Invullen groen'!AX960</f>
        <v/>
      </c>
      <c r="K950" s="124">
        <f>+'Invullen groen'!AY960</f>
        <v/>
      </c>
      <c r="L950" s="124">
        <f>+'Invullen groen'!AZ960</f>
        <v/>
      </c>
      <c r="M950" s="124">
        <f>+'Invullen groen'!BA960</f>
        <v/>
      </c>
      <c r="N950" s="124">
        <f>+'Invullen groen'!BB960</f>
        <v/>
      </c>
      <c r="O950" s="124">
        <f>+'Invullen groen'!BC960</f>
        <v/>
      </c>
      <c r="P950" s="124">
        <f>+'Invullen groen'!BD960</f>
        <v/>
      </c>
    </row>
    <row r="951">
      <c r="A951" s="113">
        <f>+'Invullen groen'!A961</f>
        <v/>
      </c>
      <c r="B951" s="154">
        <f>+'Invullen groen'!C961</f>
        <v/>
      </c>
      <c r="C951" s="124">
        <f>+'Invullen groen'!G961</f>
        <v/>
      </c>
      <c r="D951" s="113">
        <f>+'Invullen groen'!M961</f>
        <v/>
      </c>
      <c r="E951" s="114">
        <f>+'Invullen groen'!H961</f>
        <v/>
      </c>
      <c r="F951" s="114">
        <f>+'Invullen groen'!I961</f>
        <v/>
      </c>
      <c r="G951" s="114">
        <f>+'Invullen groen'!J961</f>
        <v/>
      </c>
      <c r="H951" s="114">
        <f>+'Invullen groen'!K961</f>
        <v/>
      </c>
      <c r="I951" s="124">
        <f>+'Invullen groen'!AW961</f>
        <v/>
      </c>
      <c r="J951" s="124">
        <f>+'Invullen groen'!AX961</f>
        <v/>
      </c>
      <c r="K951" s="124">
        <f>+'Invullen groen'!AY961</f>
        <v/>
      </c>
      <c r="L951" s="124">
        <f>+'Invullen groen'!AZ961</f>
        <v/>
      </c>
      <c r="M951" s="124">
        <f>+'Invullen groen'!BA961</f>
        <v/>
      </c>
      <c r="N951" s="124">
        <f>+'Invullen groen'!BB961</f>
        <v/>
      </c>
      <c r="O951" s="124">
        <f>+'Invullen groen'!BC961</f>
        <v/>
      </c>
      <c r="P951" s="124">
        <f>+'Invullen groen'!BD961</f>
        <v/>
      </c>
    </row>
    <row r="952">
      <c r="A952" s="113">
        <f>+'Invullen groen'!A962</f>
        <v/>
      </c>
      <c r="B952" s="154">
        <f>+'Invullen groen'!C962</f>
        <v/>
      </c>
      <c r="C952" s="124">
        <f>+'Invullen groen'!G962</f>
        <v/>
      </c>
      <c r="D952" s="113">
        <f>+'Invullen groen'!M962</f>
        <v/>
      </c>
      <c r="E952" s="114">
        <f>+'Invullen groen'!H962</f>
        <v/>
      </c>
      <c r="F952" s="114">
        <f>+'Invullen groen'!I962</f>
        <v/>
      </c>
      <c r="G952" s="114">
        <f>+'Invullen groen'!J962</f>
        <v/>
      </c>
      <c r="H952" s="114">
        <f>+'Invullen groen'!K962</f>
        <v/>
      </c>
      <c r="I952" s="124">
        <f>+'Invullen groen'!AW962</f>
        <v/>
      </c>
      <c r="J952" s="124">
        <f>+'Invullen groen'!AX962</f>
        <v/>
      </c>
      <c r="K952" s="124">
        <f>+'Invullen groen'!AY962</f>
        <v/>
      </c>
      <c r="L952" s="124">
        <f>+'Invullen groen'!AZ962</f>
        <v/>
      </c>
      <c r="M952" s="124">
        <f>+'Invullen groen'!BA962</f>
        <v/>
      </c>
      <c r="N952" s="124">
        <f>+'Invullen groen'!BB962</f>
        <v/>
      </c>
      <c r="O952" s="124">
        <f>+'Invullen groen'!BC962</f>
        <v/>
      </c>
      <c r="P952" s="124">
        <f>+'Invullen groen'!BD962</f>
        <v/>
      </c>
    </row>
    <row r="953">
      <c r="A953" s="113">
        <f>+'Invullen groen'!A963</f>
        <v/>
      </c>
      <c r="B953" s="154">
        <f>+'Invullen groen'!C963</f>
        <v/>
      </c>
      <c r="C953" s="124">
        <f>+'Invullen groen'!G963</f>
        <v/>
      </c>
      <c r="D953" s="113">
        <f>+'Invullen groen'!M963</f>
        <v/>
      </c>
      <c r="E953" s="114">
        <f>+'Invullen groen'!H963</f>
        <v/>
      </c>
      <c r="F953" s="114">
        <f>+'Invullen groen'!I963</f>
        <v/>
      </c>
      <c r="G953" s="114">
        <f>+'Invullen groen'!J963</f>
        <v/>
      </c>
      <c r="H953" s="114">
        <f>+'Invullen groen'!K963</f>
        <v/>
      </c>
      <c r="I953" s="124">
        <f>+'Invullen groen'!AW963</f>
        <v/>
      </c>
      <c r="J953" s="124">
        <f>+'Invullen groen'!AX963</f>
        <v/>
      </c>
      <c r="K953" s="124">
        <f>+'Invullen groen'!AY963</f>
        <v/>
      </c>
      <c r="L953" s="124">
        <f>+'Invullen groen'!AZ963</f>
        <v/>
      </c>
      <c r="M953" s="124">
        <f>+'Invullen groen'!BA963</f>
        <v/>
      </c>
      <c r="N953" s="124">
        <f>+'Invullen groen'!BB963</f>
        <v/>
      </c>
      <c r="O953" s="124">
        <f>+'Invullen groen'!BC963</f>
        <v/>
      </c>
      <c r="P953" s="124">
        <f>+'Invullen groen'!BD963</f>
        <v/>
      </c>
    </row>
    <row r="954">
      <c r="A954" s="113">
        <f>+'Invullen groen'!A964</f>
        <v/>
      </c>
      <c r="B954" s="154">
        <f>+'Invullen groen'!C964</f>
        <v/>
      </c>
      <c r="C954" s="124">
        <f>+'Invullen groen'!G964</f>
        <v/>
      </c>
      <c r="D954" s="113">
        <f>+'Invullen groen'!M964</f>
        <v/>
      </c>
      <c r="E954" s="114">
        <f>+'Invullen groen'!H964</f>
        <v/>
      </c>
      <c r="F954" s="114">
        <f>+'Invullen groen'!I964</f>
        <v/>
      </c>
      <c r="G954" s="114">
        <f>+'Invullen groen'!J964</f>
        <v/>
      </c>
      <c r="H954" s="114">
        <f>+'Invullen groen'!K964</f>
        <v/>
      </c>
      <c r="I954" s="124">
        <f>+'Invullen groen'!AW964</f>
        <v/>
      </c>
      <c r="J954" s="124">
        <f>+'Invullen groen'!AX964</f>
        <v/>
      </c>
      <c r="K954" s="124">
        <f>+'Invullen groen'!AY964</f>
        <v/>
      </c>
      <c r="L954" s="124">
        <f>+'Invullen groen'!AZ964</f>
        <v/>
      </c>
      <c r="M954" s="124">
        <f>+'Invullen groen'!BA964</f>
        <v/>
      </c>
      <c r="N954" s="124">
        <f>+'Invullen groen'!BB964</f>
        <v/>
      </c>
      <c r="O954" s="124">
        <f>+'Invullen groen'!BC964</f>
        <v/>
      </c>
      <c r="P954" s="124">
        <f>+'Invullen groen'!BD964</f>
        <v/>
      </c>
    </row>
    <row r="955">
      <c r="A955" s="113">
        <f>+'Invullen groen'!A965</f>
        <v/>
      </c>
      <c r="B955" s="154">
        <f>+'Invullen groen'!C965</f>
        <v/>
      </c>
      <c r="C955" s="124">
        <f>+'Invullen groen'!G965</f>
        <v/>
      </c>
      <c r="D955" s="113">
        <f>+'Invullen groen'!M965</f>
        <v/>
      </c>
      <c r="E955" s="114">
        <f>+'Invullen groen'!H965</f>
        <v/>
      </c>
      <c r="F955" s="114">
        <f>+'Invullen groen'!I965</f>
        <v/>
      </c>
      <c r="G955" s="114">
        <f>+'Invullen groen'!J965</f>
        <v/>
      </c>
      <c r="H955" s="114">
        <f>+'Invullen groen'!K965</f>
        <v/>
      </c>
      <c r="I955" s="124">
        <f>+'Invullen groen'!AW965</f>
        <v/>
      </c>
      <c r="J955" s="124">
        <f>+'Invullen groen'!AX965</f>
        <v/>
      </c>
      <c r="K955" s="124">
        <f>+'Invullen groen'!AY965</f>
        <v/>
      </c>
      <c r="L955" s="124">
        <f>+'Invullen groen'!AZ965</f>
        <v/>
      </c>
      <c r="M955" s="124">
        <f>+'Invullen groen'!BA965</f>
        <v/>
      </c>
      <c r="N955" s="124">
        <f>+'Invullen groen'!BB965</f>
        <v/>
      </c>
      <c r="O955" s="124">
        <f>+'Invullen groen'!BC965</f>
        <v/>
      </c>
      <c r="P955" s="124">
        <f>+'Invullen groen'!BD965</f>
        <v/>
      </c>
    </row>
    <row r="956">
      <c r="A956" s="113">
        <f>+'Invullen groen'!A966</f>
        <v/>
      </c>
      <c r="B956" s="154">
        <f>+'Invullen groen'!C966</f>
        <v/>
      </c>
      <c r="C956" s="124">
        <f>+'Invullen groen'!G966</f>
        <v/>
      </c>
      <c r="D956" s="113">
        <f>+'Invullen groen'!M966</f>
        <v/>
      </c>
      <c r="E956" s="114">
        <f>+'Invullen groen'!H966</f>
        <v/>
      </c>
      <c r="F956" s="114">
        <f>+'Invullen groen'!I966</f>
        <v/>
      </c>
      <c r="G956" s="114">
        <f>+'Invullen groen'!J966</f>
        <v/>
      </c>
      <c r="H956" s="114">
        <f>+'Invullen groen'!K966</f>
        <v/>
      </c>
      <c r="I956" s="124">
        <f>+'Invullen groen'!AW966</f>
        <v/>
      </c>
      <c r="J956" s="124">
        <f>+'Invullen groen'!AX966</f>
        <v/>
      </c>
      <c r="K956" s="124">
        <f>+'Invullen groen'!AY966</f>
        <v/>
      </c>
      <c r="L956" s="124">
        <f>+'Invullen groen'!AZ966</f>
        <v/>
      </c>
      <c r="M956" s="124">
        <f>+'Invullen groen'!BA966</f>
        <v/>
      </c>
      <c r="N956" s="124">
        <f>+'Invullen groen'!BB966</f>
        <v/>
      </c>
      <c r="O956" s="124">
        <f>+'Invullen groen'!BC966</f>
        <v/>
      </c>
      <c r="P956" s="124">
        <f>+'Invullen groen'!BD966</f>
        <v/>
      </c>
    </row>
    <row r="957">
      <c r="A957" s="113">
        <f>+'Invullen groen'!A967</f>
        <v/>
      </c>
      <c r="B957" s="154">
        <f>+'Invullen groen'!C967</f>
        <v/>
      </c>
      <c r="C957" s="124">
        <f>+'Invullen groen'!G967</f>
        <v/>
      </c>
      <c r="D957" s="113">
        <f>+'Invullen groen'!M967</f>
        <v/>
      </c>
      <c r="E957" s="114">
        <f>+'Invullen groen'!H967</f>
        <v/>
      </c>
      <c r="F957" s="114">
        <f>+'Invullen groen'!I967</f>
        <v/>
      </c>
      <c r="G957" s="114">
        <f>+'Invullen groen'!J967</f>
        <v/>
      </c>
      <c r="H957" s="114">
        <f>+'Invullen groen'!K967</f>
        <v/>
      </c>
      <c r="I957" s="124">
        <f>+'Invullen groen'!AW967</f>
        <v/>
      </c>
      <c r="J957" s="124">
        <f>+'Invullen groen'!AX967</f>
        <v/>
      </c>
      <c r="K957" s="124">
        <f>+'Invullen groen'!AY967</f>
        <v/>
      </c>
      <c r="L957" s="124">
        <f>+'Invullen groen'!AZ967</f>
        <v/>
      </c>
      <c r="M957" s="124">
        <f>+'Invullen groen'!BA967</f>
        <v/>
      </c>
      <c r="N957" s="124">
        <f>+'Invullen groen'!BB967</f>
        <v/>
      </c>
      <c r="O957" s="124">
        <f>+'Invullen groen'!BC967</f>
        <v/>
      </c>
      <c r="P957" s="124">
        <f>+'Invullen groen'!BD967</f>
        <v/>
      </c>
    </row>
    <row r="958">
      <c r="A958" s="113">
        <f>+'Invullen groen'!A968</f>
        <v/>
      </c>
      <c r="B958" s="154">
        <f>+'Invullen groen'!C968</f>
        <v/>
      </c>
      <c r="C958" s="124">
        <f>+'Invullen groen'!G968</f>
        <v/>
      </c>
      <c r="D958" s="113">
        <f>+'Invullen groen'!M968</f>
        <v/>
      </c>
      <c r="E958" s="114">
        <f>+'Invullen groen'!H968</f>
        <v/>
      </c>
      <c r="F958" s="114">
        <f>+'Invullen groen'!I968</f>
        <v/>
      </c>
      <c r="G958" s="114">
        <f>+'Invullen groen'!J968</f>
        <v/>
      </c>
      <c r="H958" s="114">
        <f>+'Invullen groen'!K968</f>
        <v/>
      </c>
      <c r="I958" s="124">
        <f>+'Invullen groen'!AW968</f>
        <v/>
      </c>
      <c r="J958" s="124">
        <f>+'Invullen groen'!AX968</f>
        <v/>
      </c>
      <c r="K958" s="124">
        <f>+'Invullen groen'!AY968</f>
        <v/>
      </c>
      <c r="L958" s="124">
        <f>+'Invullen groen'!AZ968</f>
        <v/>
      </c>
      <c r="M958" s="124">
        <f>+'Invullen groen'!BA968</f>
        <v/>
      </c>
      <c r="N958" s="124">
        <f>+'Invullen groen'!BB968</f>
        <v/>
      </c>
      <c r="O958" s="124">
        <f>+'Invullen groen'!BC968</f>
        <v/>
      </c>
      <c r="P958" s="124">
        <f>+'Invullen groen'!BD968</f>
        <v/>
      </c>
    </row>
    <row r="959">
      <c r="A959" s="113">
        <f>+'Invullen groen'!A969</f>
        <v/>
      </c>
      <c r="B959" s="154">
        <f>+'Invullen groen'!C969</f>
        <v/>
      </c>
      <c r="C959" s="124">
        <f>+'Invullen groen'!G969</f>
        <v/>
      </c>
      <c r="D959" s="113">
        <f>+'Invullen groen'!M969</f>
        <v/>
      </c>
      <c r="E959" s="114">
        <f>+'Invullen groen'!H969</f>
        <v/>
      </c>
      <c r="F959" s="114">
        <f>+'Invullen groen'!I969</f>
        <v/>
      </c>
      <c r="G959" s="114">
        <f>+'Invullen groen'!J969</f>
        <v/>
      </c>
      <c r="H959" s="114">
        <f>+'Invullen groen'!K969</f>
        <v/>
      </c>
      <c r="I959" s="124">
        <f>+'Invullen groen'!AW969</f>
        <v/>
      </c>
      <c r="J959" s="124">
        <f>+'Invullen groen'!AX969</f>
        <v/>
      </c>
      <c r="K959" s="124">
        <f>+'Invullen groen'!AY969</f>
        <v/>
      </c>
      <c r="L959" s="124">
        <f>+'Invullen groen'!AZ969</f>
        <v/>
      </c>
      <c r="M959" s="124">
        <f>+'Invullen groen'!BA969</f>
        <v/>
      </c>
      <c r="N959" s="124">
        <f>+'Invullen groen'!BB969</f>
        <v/>
      </c>
      <c r="O959" s="124">
        <f>+'Invullen groen'!BC969</f>
        <v/>
      </c>
      <c r="P959" s="124">
        <f>+'Invullen groen'!BD969</f>
        <v/>
      </c>
    </row>
    <row r="960">
      <c r="A960" s="113">
        <f>+'Invullen groen'!A970</f>
        <v/>
      </c>
      <c r="B960" s="154">
        <f>+'Invullen groen'!C970</f>
        <v/>
      </c>
      <c r="C960" s="124">
        <f>+'Invullen groen'!G970</f>
        <v/>
      </c>
      <c r="D960" s="113">
        <f>+'Invullen groen'!M970</f>
        <v/>
      </c>
      <c r="E960" s="114">
        <f>+'Invullen groen'!H970</f>
        <v/>
      </c>
      <c r="F960" s="114">
        <f>+'Invullen groen'!I970</f>
        <v/>
      </c>
      <c r="G960" s="114">
        <f>+'Invullen groen'!J970</f>
        <v/>
      </c>
      <c r="H960" s="114">
        <f>+'Invullen groen'!K970</f>
        <v/>
      </c>
      <c r="I960" s="124">
        <f>+'Invullen groen'!AW970</f>
        <v/>
      </c>
      <c r="J960" s="124">
        <f>+'Invullen groen'!AX970</f>
        <v/>
      </c>
      <c r="K960" s="124">
        <f>+'Invullen groen'!AY970</f>
        <v/>
      </c>
      <c r="L960" s="124">
        <f>+'Invullen groen'!AZ970</f>
        <v/>
      </c>
      <c r="M960" s="124">
        <f>+'Invullen groen'!BA970</f>
        <v/>
      </c>
      <c r="N960" s="124">
        <f>+'Invullen groen'!BB970</f>
        <v/>
      </c>
      <c r="O960" s="124">
        <f>+'Invullen groen'!BC970</f>
        <v/>
      </c>
      <c r="P960" s="124">
        <f>+'Invullen groen'!BD970</f>
        <v/>
      </c>
    </row>
    <row r="961">
      <c r="A961" s="113">
        <f>+'Invullen groen'!A971</f>
        <v/>
      </c>
      <c r="B961" s="154">
        <f>+'Invullen groen'!C971</f>
        <v/>
      </c>
      <c r="C961" s="124">
        <f>+'Invullen groen'!G971</f>
        <v/>
      </c>
      <c r="D961" s="113">
        <f>+'Invullen groen'!M971</f>
        <v/>
      </c>
      <c r="E961" s="114">
        <f>+'Invullen groen'!H971</f>
        <v/>
      </c>
      <c r="F961" s="114">
        <f>+'Invullen groen'!I971</f>
        <v/>
      </c>
      <c r="G961" s="114">
        <f>+'Invullen groen'!J971</f>
        <v/>
      </c>
      <c r="H961" s="114">
        <f>+'Invullen groen'!K971</f>
        <v/>
      </c>
      <c r="I961" s="124">
        <f>+'Invullen groen'!AW971</f>
        <v/>
      </c>
      <c r="J961" s="124">
        <f>+'Invullen groen'!AX971</f>
        <v/>
      </c>
      <c r="K961" s="124">
        <f>+'Invullen groen'!AY971</f>
        <v/>
      </c>
      <c r="L961" s="124">
        <f>+'Invullen groen'!AZ971</f>
        <v/>
      </c>
      <c r="M961" s="124">
        <f>+'Invullen groen'!BA971</f>
        <v/>
      </c>
      <c r="N961" s="124">
        <f>+'Invullen groen'!BB971</f>
        <v/>
      </c>
      <c r="O961" s="124">
        <f>+'Invullen groen'!BC971</f>
        <v/>
      </c>
      <c r="P961" s="124">
        <f>+'Invullen groen'!BD971</f>
        <v/>
      </c>
    </row>
    <row r="962">
      <c r="A962" s="113">
        <f>+'Invullen groen'!A972</f>
        <v/>
      </c>
      <c r="B962" s="154">
        <f>+'Invullen groen'!C972</f>
        <v/>
      </c>
      <c r="C962" s="124">
        <f>+'Invullen groen'!G972</f>
        <v/>
      </c>
      <c r="D962" s="113">
        <f>+'Invullen groen'!M972</f>
        <v/>
      </c>
      <c r="E962" s="114">
        <f>+'Invullen groen'!H972</f>
        <v/>
      </c>
      <c r="F962" s="114">
        <f>+'Invullen groen'!I972</f>
        <v/>
      </c>
      <c r="G962" s="114">
        <f>+'Invullen groen'!J972</f>
        <v/>
      </c>
      <c r="H962" s="114">
        <f>+'Invullen groen'!K972</f>
        <v/>
      </c>
      <c r="I962" s="124">
        <f>+'Invullen groen'!AW972</f>
        <v/>
      </c>
      <c r="J962" s="124">
        <f>+'Invullen groen'!AX972</f>
        <v/>
      </c>
      <c r="K962" s="124">
        <f>+'Invullen groen'!AY972</f>
        <v/>
      </c>
      <c r="L962" s="124">
        <f>+'Invullen groen'!AZ972</f>
        <v/>
      </c>
      <c r="M962" s="124">
        <f>+'Invullen groen'!BA972</f>
        <v/>
      </c>
      <c r="N962" s="124">
        <f>+'Invullen groen'!BB972</f>
        <v/>
      </c>
      <c r="O962" s="124">
        <f>+'Invullen groen'!BC972</f>
        <v/>
      </c>
      <c r="P962" s="124">
        <f>+'Invullen groen'!BD972</f>
        <v/>
      </c>
    </row>
    <row r="963">
      <c r="A963" s="113">
        <f>+'Invullen groen'!A973</f>
        <v/>
      </c>
      <c r="B963" s="154">
        <f>+'Invullen groen'!C973</f>
        <v/>
      </c>
      <c r="C963" s="124">
        <f>+'Invullen groen'!G973</f>
        <v/>
      </c>
      <c r="D963" s="113">
        <f>+'Invullen groen'!M973</f>
        <v/>
      </c>
      <c r="E963" s="114">
        <f>+'Invullen groen'!H973</f>
        <v/>
      </c>
      <c r="F963" s="114">
        <f>+'Invullen groen'!I973</f>
        <v/>
      </c>
      <c r="G963" s="114">
        <f>+'Invullen groen'!J973</f>
        <v/>
      </c>
      <c r="H963" s="114">
        <f>+'Invullen groen'!K973</f>
        <v/>
      </c>
      <c r="I963" s="124">
        <f>+'Invullen groen'!AW973</f>
        <v/>
      </c>
      <c r="J963" s="124">
        <f>+'Invullen groen'!AX973</f>
        <v/>
      </c>
      <c r="K963" s="124">
        <f>+'Invullen groen'!AY973</f>
        <v/>
      </c>
      <c r="L963" s="124">
        <f>+'Invullen groen'!AZ973</f>
        <v/>
      </c>
      <c r="M963" s="124">
        <f>+'Invullen groen'!BA973</f>
        <v/>
      </c>
      <c r="N963" s="124">
        <f>+'Invullen groen'!BB973</f>
        <v/>
      </c>
      <c r="O963" s="124">
        <f>+'Invullen groen'!BC973</f>
        <v/>
      </c>
      <c r="P963" s="124">
        <f>+'Invullen groen'!BD973</f>
        <v/>
      </c>
    </row>
    <row r="964">
      <c r="A964" s="113">
        <f>+'Invullen groen'!A974</f>
        <v/>
      </c>
      <c r="B964" s="154">
        <f>+'Invullen groen'!C974</f>
        <v/>
      </c>
      <c r="C964" s="124">
        <f>+'Invullen groen'!G974</f>
        <v/>
      </c>
      <c r="D964" s="113">
        <f>+'Invullen groen'!M974</f>
        <v/>
      </c>
      <c r="E964" s="114">
        <f>+'Invullen groen'!H974</f>
        <v/>
      </c>
      <c r="F964" s="114">
        <f>+'Invullen groen'!I974</f>
        <v/>
      </c>
      <c r="G964" s="114">
        <f>+'Invullen groen'!J974</f>
        <v/>
      </c>
      <c r="H964" s="114">
        <f>+'Invullen groen'!K974</f>
        <v/>
      </c>
      <c r="I964" s="124">
        <f>+'Invullen groen'!AW974</f>
        <v/>
      </c>
      <c r="J964" s="124">
        <f>+'Invullen groen'!AX974</f>
        <v/>
      </c>
      <c r="K964" s="124">
        <f>+'Invullen groen'!AY974</f>
        <v/>
      </c>
      <c r="L964" s="124">
        <f>+'Invullen groen'!AZ974</f>
        <v/>
      </c>
      <c r="M964" s="124">
        <f>+'Invullen groen'!BA974</f>
        <v/>
      </c>
      <c r="N964" s="124">
        <f>+'Invullen groen'!BB974</f>
        <v/>
      </c>
      <c r="O964" s="124">
        <f>+'Invullen groen'!BC974</f>
        <v/>
      </c>
      <c r="P964" s="124">
        <f>+'Invullen groen'!BD974</f>
        <v/>
      </c>
    </row>
    <row r="965">
      <c r="A965" s="113">
        <f>+'Invullen groen'!A975</f>
        <v/>
      </c>
      <c r="B965" s="154">
        <f>+'Invullen groen'!C975</f>
        <v/>
      </c>
      <c r="C965" s="124">
        <f>+'Invullen groen'!G975</f>
        <v/>
      </c>
      <c r="D965" s="113">
        <f>+'Invullen groen'!M975</f>
        <v/>
      </c>
      <c r="E965" s="114">
        <f>+'Invullen groen'!H975</f>
        <v/>
      </c>
      <c r="F965" s="114">
        <f>+'Invullen groen'!I975</f>
        <v/>
      </c>
      <c r="G965" s="114">
        <f>+'Invullen groen'!J975</f>
        <v/>
      </c>
      <c r="H965" s="114">
        <f>+'Invullen groen'!K975</f>
        <v/>
      </c>
      <c r="I965" s="124">
        <f>+'Invullen groen'!AW975</f>
        <v/>
      </c>
      <c r="J965" s="124">
        <f>+'Invullen groen'!AX975</f>
        <v/>
      </c>
      <c r="K965" s="124">
        <f>+'Invullen groen'!AY975</f>
        <v/>
      </c>
      <c r="L965" s="124">
        <f>+'Invullen groen'!AZ975</f>
        <v/>
      </c>
      <c r="M965" s="124">
        <f>+'Invullen groen'!BA975</f>
        <v/>
      </c>
      <c r="N965" s="124">
        <f>+'Invullen groen'!BB975</f>
        <v/>
      </c>
      <c r="O965" s="124">
        <f>+'Invullen groen'!BC975</f>
        <v/>
      </c>
      <c r="P965" s="124">
        <f>+'Invullen groen'!BD975</f>
        <v/>
      </c>
    </row>
    <row r="966">
      <c r="A966" s="113">
        <f>+'Invullen groen'!A976</f>
        <v/>
      </c>
      <c r="B966" s="154">
        <f>+'Invullen groen'!C976</f>
        <v/>
      </c>
      <c r="C966" s="124">
        <f>+'Invullen groen'!G976</f>
        <v/>
      </c>
      <c r="D966" s="113">
        <f>+'Invullen groen'!M976</f>
        <v/>
      </c>
      <c r="E966" s="114">
        <f>+'Invullen groen'!H976</f>
        <v/>
      </c>
      <c r="F966" s="114">
        <f>+'Invullen groen'!I976</f>
        <v/>
      </c>
      <c r="G966" s="114">
        <f>+'Invullen groen'!J976</f>
        <v/>
      </c>
      <c r="H966" s="114">
        <f>+'Invullen groen'!K976</f>
        <v/>
      </c>
      <c r="I966" s="124">
        <f>+'Invullen groen'!AW976</f>
        <v/>
      </c>
      <c r="J966" s="124">
        <f>+'Invullen groen'!AX976</f>
        <v/>
      </c>
      <c r="K966" s="124">
        <f>+'Invullen groen'!AY976</f>
        <v/>
      </c>
      <c r="L966" s="124">
        <f>+'Invullen groen'!AZ976</f>
        <v/>
      </c>
      <c r="M966" s="124">
        <f>+'Invullen groen'!BA976</f>
        <v/>
      </c>
      <c r="N966" s="124">
        <f>+'Invullen groen'!BB976</f>
        <v/>
      </c>
      <c r="O966" s="124">
        <f>+'Invullen groen'!BC976</f>
        <v/>
      </c>
      <c r="P966" s="124">
        <f>+'Invullen groen'!BD976</f>
        <v/>
      </c>
    </row>
    <row r="967">
      <c r="A967" s="113">
        <f>+'Invullen groen'!A977</f>
        <v/>
      </c>
      <c r="B967" s="154">
        <f>+'Invullen groen'!C977</f>
        <v/>
      </c>
      <c r="C967" s="124">
        <f>+'Invullen groen'!G977</f>
        <v/>
      </c>
      <c r="D967" s="113">
        <f>+'Invullen groen'!M977</f>
        <v/>
      </c>
      <c r="E967" s="114">
        <f>+'Invullen groen'!H977</f>
        <v/>
      </c>
      <c r="F967" s="114">
        <f>+'Invullen groen'!I977</f>
        <v/>
      </c>
      <c r="G967" s="114">
        <f>+'Invullen groen'!J977</f>
        <v/>
      </c>
      <c r="H967" s="114">
        <f>+'Invullen groen'!K977</f>
        <v/>
      </c>
      <c r="I967" s="124">
        <f>+'Invullen groen'!AW977</f>
        <v/>
      </c>
      <c r="J967" s="124">
        <f>+'Invullen groen'!AX977</f>
        <v/>
      </c>
      <c r="K967" s="124">
        <f>+'Invullen groen'!AY977</f>
        <v/>
      </c>
      <c r="L967" s="124">
        <f>+'Invullen groen'!AZ977</f>
        <v/>
      </c>
      <c r="M967" s="124">
        <f>+'Invullen groen'!BA977</f>
        <v/>
      </c>
      <c r="N967" s="124">
        <f>+'Invullen groen'!BB977</f>
        <v/>
      </c>
      <c r="O967" s="124">
        <f>+'Invullen groen'!BC977</f>
        <v/>
      </c>
      <c r="P967" s="124">
        <f>+'Invullen groen'!BD977</f>
        <v/>
      </c>
    </row>
    <row r="968">
      <c r="A968" s="113">
        <f>+'Invullen groen'!A978</f>
        <v/>
      </c>
      <c r="B968" s="154">
        <f>+'Invullen groen'!C978</f>
        <v/>
      </c>
      <c r="C968" s="124">
        <f>+'Invullen groen'!G978</f>
        <v/>
      </c>
      <c r="D968" s="113">
        <f>+'Invullen groen'!M978</f>
        <v/>
      </c>
      <c r="E968" s="114">
        <f>+'Invullen groen'!H978</f>
        <v/>
      </c>
      <c r="F968" s="114">
        <f>+'Invullen groen'!I978</f>
        <v/>
      </c>
      <c r="G968" s="114">
        <f>+'Invullen groen'!J978</f>
        <v/>
      </c>
      <c r="H968" s="114">
        <f>+'Invullen groen'!K978</f>
        <v/>
      </c>
      <c r="I968" s="124">
        <f>+'Invullen groen'!AW978</f>
        <v/>
      </c>
      <c r="J968" s="124">
        <f>+'Invullen groen'!AX978</f>
        <v/>
      </c>
      <c r="K968" s="124">
        <f>+'Invullen groen'!AY978</f>
        <v/>
      </c>
      <c r="L968" s="124">
        <f>+'Invullen groen'!AZ978</f>
        <v/>
      </c>
      <c r="M968" s="124">
        <f>+'Invullen groen'!BA978</f>
        <v/>
      </c>
      <c r="N968" s="124">
        <f>+'Invullen groen'!BB978</f>
        <v/>
      </c>
      <c r="O968" s="124">
        <f>+'Invullen groen'!BC978</f>
        <v/>
      </c>
      <c r="P968" s="124">
        <f>+'Invullen groen'!BD978</f>
        <v/>
      </c>
    </row>
    <row r="969">
      <c r="A969" s="113">
        <f>+'Invullen groen'!A979</f>
        <v/>
      </c>
      <c r="B969" s="154">
        <f>+'Invullen groen'!C979</f>
        <v/>
      </c>
      <c r="C969" s="124">
        <f>+'Invullen groen'!G979</f>
        <v/>
      </c>
      <c r="D969" s="113">
        <f>+'Invullen groen'!M979</f>
        <v/>
      </c>
      <c r="E969" s="114">
        <f>+'Invullen groen'!H979</f>
        <v/>
      </c>
      <c r="F969" s="114">
        <f>+'Invullen groen'!I979</f>
        <v/>
      </c>
      <c r="G969" s="114">
        <f>+'Invullen groen'!J979</f>
        <v/>
      </c>
      <c r="H969" s="114">
        <f>+'Invullen groen'!K979</f>
        <v/>
      </c>
      <c r="I969" s="124">
        <f>+'Invullen groen'!AW979</f>
        <v/>
      </c>
      <c r="J969" s="124">
        <f>+'Invullen groen'!AX979</f>
        <v/>
      </c>
      <c r="K969" s="124">
        <f>+'Invullen groen'!AY979</f>
        <v/>
      </c>
      <c r="L969" s="124">
        <f>+'Invullen groen'!AZ979</f>
        <v/>
      </c>
      <c r="M969" s="124">
        <f>+'Invullen groen'!BA979</f>
        <v/>
      </c>
      <c r="N969" s="124">
        <f>+'Invullen groen'!BB979</f>
        <v/>
      </c>
      <c r="O969" s="124">
        <f>+'Invullen groen'!BC979</f>
        <v/>
      </c>
      <c r="P969" s="124">
        <f>+'Invullen groen'!BD979</f>
        <v/>
      </c>
    </row>
    <row r="970">
      <c r="A970" s="113">
        <f>+'Invullen groen'!A980</f>
        <v/>
      </c>
      <c r="B970" s="154">
        <f>+'Invullen groen'!C980</f>
        <v/>
      </c>
      <c r="C970" s="124">
        <f>+'Invullen groen'!G980</f>
        <v/>
      </c>
      <c r="D970" s="113">
        <f>+'Invullen groen'!M980</f>
        <v/>
      </c>
      <c r="E970" s="114">
        <f>+'Invullen groen'!H980</f>
        <v/>
      </c>
      <c r="F970" s="114">
        <f>+'Invullen groen'!I980</f>
        <v/>
      </c>
      <c r="G970" s="114">
        <f>+'Invullen groen'!J980</f>
        <v/>
      </c>
      <c r="H970" s="114">
        <f>+'Invullen groen'!K980</f>
        <v/>
      </c>
      <c r="I970" s="124">
        <f>+'Invullen groen'!AW980</f>
        <v/>
      </c>
      <c r="J970" s="124">
        <f>+'Invullen groen'!AX980</f>
        <v/>
      </c>
      <c r="K970" s="124">
        <f>+'Invullen groen'!AY980</f>
        <v/>
      </c>
      <c r="L970" s="124">
        <f>+'Invullen groen'!AZ980</f>
        <v/>
      </c>
      <c r="M970" s="124">
        <f>+'Invullen groen'!BA980</f>
        <v/>
      </c>
      <c r="N970" s="124">
        <f>+'Invullen groen'!BB980</f>
        <v/>
      </c>
      <c r="O970" s="124">
        <f>+'Invullen groen'!BC980</f>
        <v/>
      </c>
      <c r="P970" s="124">
        <f>+'Invullen groen'!BD980</f>
        <v/>
      </c>
    </row>
    <row r="971">
      <c r="A971" s="113">
        <f>+'Invullen groen'!A981</f>
        <v/>
      </c>
      <c r="B971" s="154">
        <f>+'Invullen groen'!C981</f>
        <v/>
      </c>
      <c r="C971" s="124">
        <f>+'Invullen groen'!G981</f>
        <v/>
      </c>
      <c r="D971" s="113">
        <f>+'Invullen groen'!M981</f>
        <v/>
      </c>
      <c r="E971" s="114">
        <f>+'Invullen groen'!H981</f>
        <v/>
      </c>
      <c r="F971" s="114">
        <f>+'Invullen groen'!I981</f>
        <v/>
      </c>
      <c r="G971" s="114">
        <f>+'Invullen groen'!J981</f>
        <v/>
      </c>
      <c r="H971" s="114">
        <f>+'Invullen groen'!K981</f>
        <v/>
      </c>
      <c r="I971" s="124">
        <f>+'Invullen groen'!AW981</f>
        <v/>
      </c>
      <c r="J971" s="124">
        <f>+'Invullen groen'!AX981</f>
        <v/>
      </c>
      <c r="K971" s="124">
        <f>+'Invullen groen'!AY981</f>
        <v/>
      </c>
      <c r="L971" s="124">
        <f>+'Invullen groen'!AZ981</f>
        <v/>
      </c>
      <c r="M971" s="124">
        <f>+'Invullen groen'!BA981</f>
        <v/>
      </c>
      <c r="N971" s="124">
        <f>+'Invullen groen'!BB981</f>
        <v/>
      </c>
      <c r="O971" s="124">
        <f>+'Invullen groen'!BC981</f>
        <v/>
      </c>
      <c r="P971" s="124">
        <f>+'Invullen groen'!BD981</f>
        <v/>
      </c>
    </row>
    <row r="972">
      <c r="A972" s="113">
        <f>+'Invullen groen'!A982</f>
        <v/>
      </c>
      <c r="B972" s="154">
        <f>+'Invullen groen'!C982</f>
        <v/>
      </c>
      <c r="C972" s="124">
        <f>+'Invullen groen'!G982</f>
        <v/>
      </c>
      <c r="D972" s="113">
        <f>+'Invullen groen'!M982</f>
        <v/>
      </c>
      <c r="E972" s="114">
        <f>+'Invullen groen'!H982</f>
        <v/>
      </c>
      <c r="F972" s="114">
        <f>+'Invullen groen'!I982</f>
        <v/>
      </c>
      <c r="G972" s="114">
        <f>+'Invullen groen'!J982</f>
        <v/>
      </c>
      <c r="H972" s="114">
        <f>+'Invullen groen'!K982</f>
        <v/>
      </c>
      <c r="I972" s="124">
        <f>+'Invullen groen'!AW982</f>
        <v/>
      </c>
      <c r="J972" s="124">
        <f>+'Invullen groen'!AX982</f>
        <v/>
      </c>
      <c r="K972" s="124">
        <f>+'Invullen groen'!AY982</f>
        <v/>
      </c>
      <c r="L972" s="124">
        <f>+'Invullen groen'!AZ982</f>
        <v/>
      </c>
      <c r="M972" s="124">
        <f>+'Invullen groen'!BA982</f>
        <v/>
      </c>
      <c r="N972" s="124">
        <f>+'Invullen groen'!BB982</f>
        <v/>
      </c>
      <c r="O972" s="124">
        <f>+'Invullen groen'!BC982</f>
        <v/>
      </c>
      <c r="P972" s="124">
        <f>+'Invullen groen'!BD982</f>
        <v/>
      </c>
    </row>
    <row r="973">
      <c r="A973" s="113">
        <f>+'Invullen groen'!A983</f>
        <v/>
      </c>
      <c r="B973" s="154">
        <f>+'Invullen groen'!C983</f>
        <v/>
      </c>
      <c r="C973" s="124">
        <f>+'Invullen groen'!G983</f>
        <v/>
      </c>
      <c r="D973" s="113">
        <f>+'Invullen groen'!M983</f>
        <v/>
      </c>
      <c r="E973" s="114">
        <f>+'Invullen groen'!H983</f>
        <v/>
      </c>
      <c r="F973" s="114">
        <f>+'Invullen groen'!I983</f>
        <v/>
      </c>
      <c r="G973" s="114">
        <f>+'Invullen groen'!J983</f>
        <v/>
      </c>
      <c r="H973" s="114">
        <f>+'Invullen groen'!K983</f>
        <v/>
      </c>
      <c r="I973" s="124">
        <f>+'Invullen groen'!AW983</f>
        <v/>
      </c>
      <c r="J973" s="124">
        <f>+'Invullen groen'!AX983</f>
        <v/>
      </c>
      <c r="K973" s="124">
        <f>+'Invullen groen'!AY983</f>
        <v/>
      </c>
      <c r="L973" s="124">
        <f>+'Invullen groen'!AZ983</f>
        <v/>
      </c>
      <c r="M973" s="124">
        <f>+'Invullen groen'!BA983</f>
        <v/>
      </c>
      <c r="N973" s="124">
        <f>+'Invullen groen'!BB983</f>
        <v/>
      </c>
      <c r="O973" s="124">
        <f>+'Invullen groen'!BC983</f>
        <v/>
      </c>
      <c r="P973" s="124">
        <f>+'Invullen groen'!BD983</f>
        <v/>
      </c>
    </row>
    <row r="974">
      <c r="A974" s="113">
        <f>+'Invullen groen'!A984</f>
        <v/>
      </c>
      <c r="B974" s="154">
        <f>+'Invullen groen'!C984</f>
        <v/>
      </c>
      <c r="C974" s="124">
        <f>+'Invullen groen'!G984</f>
        <v/>
      </c>
      <c r="D974" s="113">
        <f>+'Invullen groen'!M984</f>
        <v/>
      </c>
      <c r="E974" s="114">
        <f>+'Invullen groen'!H984</f>
        <v/>
      </c>
      <c r="F974" s="114">
        <f>+'Invullen groen'!I984</f>
        <v/>
      </c>
      <c r="G974" s="114">
        <f>+'Invullen groen'!J984</f>
        <v/>
      </c>
      <c r="H974" s="114">
        <f>+'Invullen groen'!K984</f>
        <v/>
      </c>
      <c r="I974" s="124">
        <f>+'Invullen groen'!AW984</f>
        <v/>
      </c>
      <c r="J974" s="124">
        <f>+'Invullen groen'!AX984</f>
        <v/>
      </c>
      <c r="K974" s="124">
        <f>+'Invullen groen'!AY984</f>
        <v/>
      </c>
      <c r="L974" s="124">
        <f>+'Invullen groen'!AZ984</f>
        <v/>
      </c>
      <c r="M974" s="124">
        <f>+'Invullen groen'!BA984</f>
        <v/>
      </c>
      <c r="N974" s="124">
        <f>+'Invullen groen'!BB984</f>
        <v/>
      </c>
      <c r="O974" s="124">
        <f>+'Invullen groen'!BC984</f>
        <v/>
      </c>
      <c r="P974" s="124">
        <f>+'Invullen groen'!BD984</f>
        <v/>
      </c>
    </row>
    <row r="975">
      <c r="A975" s="113">
        <f>+'Invullen groen'!A985</f>
        <v/>
      </c>
      <c r="B975" s="154">
        <f>+'Invullen groen'!C985</f>
        <v/>
      </c>
      <c r="C975" s="124">
        <f>+'Invullen groen'!G985</f>
        <v/>
      </c>
      <c r="D975" s="113">
        <f>+'Invullen groen'!M985</f>
        <v/>
      </c>
      <c r="E975" s="114">
        <f>+'Invullen groen'!H985</f>
        <v/>
      </c>
      <c r="F975" s="114">
        <f>+'Invullen groen'!I985</f>
        <v/>
      </c>
      <c r="G975" s="114">
        <f>+'Invullen groen'!J985</f>
        <v/>
      </c>
      <c r="H975" s="114">
        <f>+'Invullen groen'!K985</f>
        <v/>
      </c>
      <c r="I975" s="124">
        <f>+'Invullen groen'!AW985</f>
        <v/>
      </c>
      <c r="J975" s="124">
        <f>+'Invullen groen'!AX985</f>
        <v/>
      </c>
      <c r="K975" s="124">
        <f>+'Invullen groen'!AY985</f>
        <v/>
      </c>
      <c r="L975" s="124">
        <f>+'Invullen groen'!AZ985</f>
        <v/>
      </c>
      <c r="M975" s="124">
        <f>+'Invullen groen'!BA985</f>
        <v/>
      </c>
      <c r="N975" s="124">
        <f>+'Invullen groen'!BB985</f>
        <v/>
      </c>
      <c r="O975" s="124">
        <f>+'Invullen groen'!BC985</f>
        <v/>
      </c>
      <c r="P975" s="124">
        <f>+'Invullen groen'!BD985</f>
        <v/>
      </c>
    </row>
    <row r="976">
      <c r="A976" s="113">
        <f>+'Invullen groen'!A986</f>
        <v/>
      </c>
      <c r="B976" s="154">
        <f>+'Invullen groen'!C986</f>
        <v/>
      </c>
      <c r="C976" s="124">
        <f>+'Invullen groen'!G986</f>
        <v/>
      </c>
      <c r="D976" s="113">
        <f>+'Invullen groen'!M986</f>
        <v/>
      </c>
      <c r="E976" s="114">
        <f>+'Invullen groen'!H986</f>
        <v/>
      </c>
      <c r="F976" s="114">
        <f>+'Invullen groen'!I986</f>
        <v/>
      </c>
      <c r="G976" s="114">
        <f>+'Invullen groen'!J986</f>
        <v/>
      </c>
      <c r="H976" s="114">
        <f>+'Invullen groen'!K986</f>
        <v/>
      </c>
      <c r="I976" s="124">
        <f>+'Invullen groen'!AW986</f>
        <v/>
      </c>
      <c r="J976" s="124">
        <f>+'Invullen groen'!AX986</f>
        <v/>
      </c>
      <c r="K976" s="124">
        <f>+'Invullen groen'!AY986</f>
        <v/>
      </c>
      <c r="L976" s="124">
        <f>+'Invullen groen'!AZ986</f>
        <v/>
      </c>
      <c r="M976" s="124">
        <f>+'Invullen groen'!BA986</f>
        <v/>
      </c>
      <c r="N976" s="124">
        <f>+'Invullen groen'!BB986</f>
        <v/>
      </c>
      <c r="O976" s="124">
        <f>+'Invullen groen'!BC986</f>
        <v/>
      </c>
      <c r="P976" s="124">
        <f>+'Invullen groen'!BD986</f>
        <v/>
      </c>
    </row>
    <row r="977">
      <c r="A977" s="113">
        <f>+'Invullen groen'!A987</f>
        <v/>
      </c>
      <c r="B977" s="154">
        <f>+'Invullen groen'!C987</f>
        <v/>
      </c>
      <c r="C977" s="124">
        <f>+'Invullen groen'!G987</f>
        <v/>
      </c>
      <c r="D977" s="113">
        <f>+'Invullen groen'!M987</f>
        <v/>
      </c>
      <c r="E977" s="114">
        <f>+'Invullen groen'!H987</f>
        <v/>
      </c>
      <c r="F977" s="114">
        <f>+'Invullen groen'!I987</f>
        <v/>
      </c>
      <c r="G977" s="114">
        <f>+'Invullen groen'!J987</f>
        <v/>
      </c>
      <c r="H977" s="114">
        <f>+'Invullen groen'!K987</f>
        <v/>
      </c>
      <c r="I977" s="124">
        <f>+'Invullen groen'!AW987</f>
        <v/>
      </c>
      <c r="J977" s="124">
        <f>+'Invullen groen'!AX987</f>
        <v/>
      </c>
      <c r="K977" s="124">
        <f>+'Invullen groen'!AY987</f>
        <v/>
      </c>
      <c r="L977" s="124">
        <f>+'Invullen groen'!AZ987</f>
        <v/>
      </c>
      <c r="M977" s="124">
        <f>+'Invullen groen'!BA987</f>
        <v/>
      </c>
      <c r="N977" s="124">
        <f>+'Invullen groen'!BB987</f>
        <v/>
      </c>
      <c r="O977" s="124">
        <f>+'Invullen groen'!BC987</f>
        <v/>
      </c>
      <c r="P977" s="124">
        <f>+'Invullen groen'!BD987</f>
        <v/>
      </c>
    </row>
    <row r="978">
      <c r="A978" s="113">
        <f>+'Invullen groen'!A988</f>
        <v/>
      </c>
      <c r="B978" s="154">
        <f>+'Invullen groen'!C988</f>
        <v/>
      </c>
      <c r="C978" s="124">
        <f>+'Invullen groen'!G988</f>
        <v/>
      </c>
      <c r="D978" s="113">
        <f>+'Invullen groen'!M988</f>
        <v/>
      </c>
      <c r="E978" s="114">
        <f>+'Invullen groen'!H988</f>
        <v/>
      </c>
      <c r="F978" s="114">
        <f>+'Invullen groen'!I988</f>
        <v/>
      </c>
      <c r="G978" s="114">
        <f>+'Invullen groen'!J988</f>
        <v/>
      </c>
      <c r="H978" s="114">
        <f>+'Invullen groen'!K988</f>
        <v/>
      </c>
      <c r="I978" s="124">
        <f>+'Invullen groen'!AW988</f>
        <v/>
      </c>
      <c r="J978" s="124">
        <f>+'Invullen groen'!AX988</f>
        <v/>
      </c>
      <c r="K978" s="124">
        <f>+'Invullen groen'!AY988</f>
        <v/>
      </c>
      <c r="L978" s="124">
        <f>+'Invullen groen'!AZ988</f>
        <v/>
      </c>
      <c r="M978" s="124">
        <f>+'Invullen groen'!BA988</f>
        <v/>
      </c>
      <c r="N978" s="124">
        <f>+'Invullen groen'!BB988</f>
        <v/>
      </c>
      <c r="O978" s="124">
        <f>+'Invullen groen'!BC988</f>
        <v/>
      </c>
      <c r="P978" s="124">
        <f>+'Invullen groen'!BD988</f>
        <v/>
      </c>
    </row>
    <row r="979">
      <c r="A979" s="113">
        <f>+'Invullen groen'!A989</f>
        <v/>
      </c>
      <c r="B979" s="154">
        <f>+'Invullen groen'!C989</f>
        <v/>
      </c>
      <c r="C979" s="124">
        <f>+'Invullen groen'!G989</f>
        <v/>
      </c>
      <c r="D979" s="113">
        <f>+'Invullen groen'!M989</f>
        <v/>
      </c>
      <c r="E979" s="114">
        <f>+'Invullen groen'!H989</f>
        <v/>
      </c>
      <c r="F979" s="114">
        <f>+'Invullen groen'!I989</f>
        <v/>
      </c>
      <c r="G979" s="114">
        <f>+'Invullen groen'!J989</f>
        <v/>
      </c>
      <c r="H979" s="114">
        <f>+'Invullen groen'!K989</f>
        <v/>
      </c>
      <c r="I979" s="124">
        <f>+'Invullen groen'!AW989</f>
        <v/>
      </c>
      <c r="J979" s="124">
        <f>+'Invullen groen'!AX989</f>
        <v/>
      </c>
      <c r="K979" s="124">
        <f>+'Invullen groen'!AY989</f>
        <v/>
      </c>
      <c r="L979" s="124">
        <f>+'Invullen groen'!AZ989</f>
        <v/>
      </c>
      <c r="M979" s="124">
        <f>+'Invullen groen'!BA989</f>
        <v/>
      </c>
      <c r="N979" s="124">
        <f>+'Invullen groen'!BB989</f>
        <v/>
      </c>
      <c r="O979" s="124">
        <f>+'Invullen groen'!BC989</f>
        <v/>
      </c>
      <c r="P979" s="124">
        <f>+'Invullen groen'!BD989</f>
        <v/>
      </c>
    </row>
    <row r="980">
      <c r="A980" s="113">
        <f>+'Invullen groen'!A990</f>
        <v/>
      </c>
      <c r="B980" s="154">
        <f>+'Invullen groen'!C990</f>
        <v/>
      </c>
      <c r="C980" s="124">
        <f>+'Invullen groen'!G990</f>
        <v/>
      </c>
      <c r="D980" s="113">
        <f>+'Invullen groen'!M990</f>
        <v/>
      </c>
      <c r="E980" s="114">
        <f>+'Invullen groen'!H990</f>
        <v/>
      </c>
      <c r="F980" s="114">
        <f>+'Invullen groen'!I990</f>
        <v/>
      </c>
      <c r="G980" s="114">
        <f>+'Invullen groen'!J990</f>
        <v/>
      </c>
      <c r="H980" s="114">
        <f>+'Invullen groen'!K990</f>
        <v/>
      </c>
      <c r="I980" s="124">
        <f>+'Invullen groen'!AW990</f>
        <v/>
      </c>
      <c r="J980" s="124">
        <f>+'Invullen groen'!AX990</f>
        <v/>
      </c>
      <c r="K980" s="124">
        <f>+'Invullen groen'!AY990</f>
        <v/>
      </c>
      <c r="L980" s="124">
        <f>+'Invullen groen'!AZ990</f>
        <v/>
      </c>
      <c r="M980" s="124">
        <f>+'Invullen groen'!BA990</f>
        <v/>
      </c>
      <c r="N980" s="124">
        <f>+'Invullen groen'!BB990</f>
        <v/>
      </c>
      <c r="O980" s="124">
        <f>+'Invullen groen'!BC990</f>
        <v/>
      </c>
      <c r="P980" s="124">
        <f>+'Invullen groen'!BD990</f>
        <v/>
      </c>
    </row>
    <row r="981">
      <c r="A981" s="113">
        <f>+'Invullen groen'!A991</f>
        <v/>
      </c>
      <c r="B981" s="154">
        <f>+'Invullen groen'!C991</f>
        <v/>
      </c>
      <c r="C981" s="124">
        <f>+'Invullen groen'!G991</f>
        <v/>
      </c>
      <c r="D981" s="113">
        <f>+'Invullen groen'!M991</f>
        <v/>
      </c>
      <c r="E981" s="114">
        <f>+'Invullen groen'!H991</f>
        <v/>
      </c>
      <c r="F981" s="114">
        <f>+'Invullen groen'!I991</f>
        <v/>
      </c>
      <c r="G981" s="114">
        <f>+'Invullen groen'!J991</f>
        <v/>
      </c>
      <c r="H981" s="114">
        <f>+'Invullen groen'!K991</f>
        <v/>
      </c>
      <c r="I981" s="124">
        <f>+'Invullen groen'!AW991</f>
        <v/>
      </c>
      <c r="J981" s="124">
        <f>+'Invullen groen'!AX991</f>
        <v/>
      </c>
      <c r="K981" s="124">
        <f>+'Invullen groen'!AY991</f>
        <v/>
      </c>
      <c r="L981" s="124">
        <f>+'Invullen groen'!AZ991</f>
        <v/>
      </c>
      <c r="M981" s="124">
        <f>+'Invullen groen'!BA991</f>
        <v/>
      </c>
      <c r="N981" s="124">
        <f>+'Invullen groen'!BB991</f>
        <v/>
      </c>
      <c r="O981" s="124">
        <f>+'Invullen groen'!BC991</f>
        <v/>
      </c>
      <c r="P981" s="124">
        <f>+'Invullen groen'!BD991</f>
        <v/>
      </c>
    </row>
    <row r="982">
      <c r="A982" s="113">
        <f>+'Invullen groen'!A992</f>
        <v/>
      </c>
      <c r="B982" s="154">
        <f>+'Invullen groen'!C992</f>
        <v/>
      </c>
      <c r="C982" s="124">
        <f>+'Invullen groen'!G992</f>
        <v/>
      </c>
      <c r="D982" s="113">
        <f>+'Invullen groen'!M992</f>
        <v/>
      </c>
      <c r="E982" s="114">
        <f>+'Invullen groen'!H992</f>
        <v/>
      </c>
      <c r="F982" s="114">
        <f>+'Invullen groen'!I992</f>
        <v/>
      </c>
      <c r="G982" s="114">
        <f>+'Invullen groen'!J992</f>
        <v/>
      </c>
      <c r="H982" s="114">
        <f>+'Invullen groen'!K992</f>
        <v/>
      </c>
      <c r="I982" s="124">
        <f>+'Invullen groen'!AW992</f>
        <v/>
      </c>
      <c r="J982" s="124">
        <f>+'Invullen groen'!AX992</f>
        <v/>
      </c>
      <c r="K982" s="124">
        <f>+'Invullen groen'!AY992</f>
        <v/>
      </c>
      <c r="L982" s="124">
        <f>+'Invullen groen'!AZ992</f>
        <v/>
      </c>
      <c r="M982" s="124">
        <f>+'Invullen groen'!BA992</f>
        <v/>
      </c>
      <c r="N982" s="124">
        <f>+'Invullen groen'!BB992</f>
        <v/>
      </c>
      <c r="O982" s="124">
        <f>+'Invullen groen'!BC992</f>
        <v/>
      </c>
      <c r="P982" s="124">
        <f>+'Invullen groen'!BD992</f>
        <v/>
      </c>
    </row>
    <row r="983">
      <c r="A983" s="113">
        <f>+'Invullen groen'!A993</f>
        <v/>
      </c>
      <c r="B983" s="154">
        <f>+'Invullen groen'!C993</f>
        <v/>
      </c>
      <c r="C983" s="124">
        <f>+'Invullen groen'!G993</f>
        <v/>
      </c>
      <c r="D983" s="113">
        <f>+'Invullen groen'!M993</f>
        <v/>
      </c>
      <c r="E983" s="114">
        <f>+'Invullen groen'!H993</f>
        <v/>
      </c>
      <c r="F983" s="114">
        <f>+'Invullen groen'!I993</f>
        <v/>
      </c>
      <c r="G983" s="114">
        <f>+'Invullen groen'!J993</f>
        <v/>
      </c>
      <c r="H983" s="114">
        <f>+'Invullen groen'!K993</f>
        <v/>
      </c>
      <c r="I983" s="124">
        <f>+'Invullen groen'!AW993</f>
        <v/>
      </c>
      <c r="J983" s="124">
        <f>+'Invullen groen'!AX993</f>
        <v/>
      </c>
      <c r="K983" s="124">
        <f>+'Invullen groen'!AY993</f>
        <v/>
      </c>
      <c r="L983" s="124">
        <f>+'Invullen groen'!AZ993</f>
        <v/>
      </c>
      <c r="M983" s="124">
        <f>+'Invullen groen'!BA993</f>
        <v/>
      </c>
      <c r="N983" s="124">
        <f>+'Invullen groen'!BB993</f>
        <v/>
      </c>
      <c r="O983" s="124">
        <f>+'Invullen groen'!BC993</f>
        <v/>
      </c>
      <c r="P983" s="124">
        <f>+'Invullen groen'!BD993</f>
        <v/>
      </c>
    </row>
    <row r="984">
      <c r="A984" s="113">
        <f>+'Invullen groen'!A994</f>
        <v/>
      </c>
      <c r="B984" s="154">
        <f>+'Invullen groen'!C994</f>
        <v/>
      </c>
      <c r="C984" s="124">
        <f>+'Invullen groen'!G994</f>
        <v/>
      </c>
      <c r="D984" s="113">
        <f>+'Invullen groen'!M994</f>
        <v/>
      </c>
      <c r="E984" s="114">
        <f>+'Invullen groen'!H994</f>
        <v/>
      </c>
      <c r="F984" s="114">
        <f>+'Invullen groen'!I994</f>
        <v/>
      </c>
      <c r="G984" s="114">
        <f>+'Invullen groen'!J994</f>
        <v/>
      </c>
      <c r="H984" s="114">
        <f>+'Invullen groen'!K994</f>
        <v/>
      </c>
      <c r="I984" s="124">
        <f>+'Invullen groen'!AW994</f>
        <v/>
      </c>
      <c r="J984" s="124">
        <f>+'Invullen groen'!AX994</f>
        <v/>
      </c>
      <c r="K984" s="124">
        <f>+'Invullen groen'!AY994</f>
        <v/>
      </c>
      <c r="L984" s="124">
        <f>+'Invullen groen'!AZ994</f>
        <v/>
      </c>
      <c r="M984" s="124">
        <f>+'Invullen groen'!BA994</f>
        <v/>
      </c>
      <c r="N984" s="124">
        <f>+'Invullen groen'!BB994</f>
        <v/>
      </c>
      <c r="O984" s="124">
        <f>+'Invullen groen'!BC994</f>
        <v/>
      </c>
      <c r="P984" s="124">
        <f>+'Invullen groen'!BD994</f>
        <v/>
      </c>
    </row>
    <row r="985">
      <c r="A985" s="113">
        <f>+'Invullen groen'!A995</f>
        <v/>
      </c>
      <c r="B985" s="154">
        <f>+'Invullen groen'!C995</f>
        <v/>
      </c>
      <c r="C985" s="124">
        <f>+'Invullen groen'!G995</f>
        <v/>
      </c>
      <c r="D985" s="113">
        <f>+'Invullen groen'!M995</f>
        <v/>
      </c>
      <c r="E985" s="114">
        <f>+'Invullen groen'!H995</f>
        <v/>
      </c>
      <c r="F985" s="114">
        <f>+'Invullen groen'!I995</f>
        <v/>
      </c>
      <c r="G985" s="114">
        <f>+'Invullen groen'!J995</f>
        <v/>
      </c>
      <c r="H985" s="114">
        <f>+'Invullen groen'!K995</f>
        <v/>
      </c>
      <c r="I985" s="124">
        <f>+'Invullen groen'!AW995</f>
        <v/>
      </c>
      <c r="J985" s="124">
        <f>+'Invullen groen'!AX995</f>
        <v/>
      </c>
      <c r="K985" s="124">
        <f>+'Invullen groen'!AY995</f>
        <v/>
      </c>
      <c r="L985" s="124">
        <f>+'Invullen groen'!AZ995</f>
        <v/>
      </c>
      <c r="M985" s="124">
        <f>+'Invullen groen'!BA995</f>
        <v/>
      </c>
      <c r="N985" s="124">
        <f>+'Invullen groen'!BB995</f>
        <v/>
      </c>
      <c r="O985" s="124">
        <f>+'Invullen groen'!BC995</f>
        <v/>
      </c>
      <c r="P985" s="124">
        <f>+'Invullen groen'!BD995</f>
        <v/>
      </c>
    </row>
    <row r="986">
      <c r="A986" s="113">
        <f>+'Invullen groen'!A996</f>
        <v/>
      </c>
      <c r="B986" s="154">
        <f>+'Invullen groen'!C996</f>
        <v/>
      </c>
      <c r="C986" s="124">
        <f>+'Invullen groen'!G996</f>
        <v/>
      </c>
      <c r="D986" s="113">
        <f>+'Invullen groen'!M996</f>
        <v/>
      </c>
      <c r="E986" s="114">
        <f>+'Invullen groen'!H996</f>
        <v/>
      </c>
      <c r="F986" s="114">
        <f>+'Invullen groen'!I996</f>
        <v/>
      </c>
      <c r="G986" s="114">
        <f>+'Invullen groen'!J996</f>
        <v/>
      </c>
      <c r="H986" s="114">
        <f>+'Invullen groen'!K996</f>
        <v/>
      </c>
      <c r="I986" s="124">
        <f>+'Invullen groen'!AW996</f>
        <v/>
      </c>
      <c r="J986" s="124">
        <f>+'Invullen groen'!AX996</f>
        <v/>
      </c>
      <c r="K986" s="124">
        <f>+'Invullen groen'!AY996</f>
        <v/>
      </c>
      <c r="L986" s="124">
        <f>+'Invullen groen'!AZ996</f>
        <v/>
      </c>
      <c r="M986" s="124">
        <f>+'Invullen groen'!BA996</f>
        <v/>
      </c>
      <c r="N986" s="124">
        <f>+'Invullen groen'!BB996</f>
        <v/>
      </c>
      <c r="O986" s="124">
        <f>+'Invullen groen'!BC996</f>
        <v/>
      </c>
      <c r="P986" s="124">
        <f>+'Invullen groen'!BD996</f>
        <v/>
      </c>
    </row>
    <row r="987">
      <c r="A987" s="113">
        <f>+'Invullen groen'!A997</f>
        <v/>
      </c>
      <c r="B987" s="154">
        <f>+'Invullen groen'!C997</f>
        <v/>
      </c>
      <c r="C987" s="124">
        <f>+'Invullen groen'!G997</f>
        <v/>
      </c>
      <c r="D987" s="113">
        <f>+'Invullen groen'!M997</f>
        <v/>
      </c>
      <c r="E987" s="114">
        <f>+'Invullen groen'!H997</f>
        <v/>
      </c>
      <c r="F987" s="114">
        <f>+'Invullen groen'!I997</f>
        <v/>
      </c>
      <c r="G987" s="114">
        <f>+'Invullen groen'!J997</f>
        <v/>
      </c>
      <c r="H987" s="114">
        <f>+'Invullen groen'!K997</f>
        <v/>
      </c>
      <c r="I987" s="124">
        <f>+'Invullen groen'!AW997</f>
        <v/>
      </c>
      <c r="J987" s="124">
        <f>+'Invullen groen'!AX997</f>
        <v/>
      </c>
      <c r="K987" s="124">
        <f>+'Invullen groen'!AY997</f>
        <v/>
      </c>
      <c r="L987" s="124">
        <f>+'Invullen groen'!AZ997</f>
        <v/>
      </c>
      <c r="M987" s="124">
        <f>+'Invullen groen'!BA997</f>
        <v/>
      </c>
      <c r="N987" s="124">
        <f>+'Invullen groen'!BB997</f>
        <v/>
      </c>
      <c r="O987" s="124">
        <f>+'Invullen groen'!BC997</f>
        <v/>
      </c>
      <c r="P987" s="124">
        <f>+'Invullen groen'!BD997</f>
        <v/>
      </c>
    </row>
    <row r="988">
      <c r="A988" s="113">
        <f>+'Invullen groen'!A998</f>
        <v/>
      </c>
      <c r="B988" s="154">
        <f>+'Invullen groen'!C998</f>
        <v/>
      </c>
      <c r="C988" s="124">
        <f>+'Invullen groen'!G998</f>
        <v/>
      </c>
      <c r="D988" s="113">
        <f>+'Invullen groen'!M998</f>
        <v/>
      </c>
      <c r="E988" s="114">
        <f>+'Invullen groen'!H998</f>
        <v/>
      </c>
      <c r="F988" s="114">
        <f>+'Invullen groen'!I998</f>
        <v/>
      </c>
      <c r="G988" s="114">
        <f>+'Invullen groen'!J998</f>
        <v/>
      </c>
      <c r="H988" s="114">
        <f>+'Invullen groen'!K998</f>
        <v/>
      </c>
      <c r="I988" s="124">
        <f>+'Invullen groen'!AW998</f>
        <v/>
      </c>
      <c r="J988" s="124">
        <f>+'Invullen groen'!AX998</f>
        <v/>
      </c>
      <c r="K988" s="124">
        <f>+'Invullen groen'!AY998</f>
        <v/>
      </c>
      <c r="L988" s="124">
        <f>+'Invullen groen'!AZ998</f>
        <v/>
      </c>
      <c r="M988" s="124">
        <f>+'Invullen groen'!BA998</f>
        <v/>
      </c>
      <c r="N988" s="124">
        <f>+'Invullen groen'!BB998</f>
        <v/>
      </c>
      <c r="O988" s="124">
        <f>+'Invullen groen'!BC998</f>
        <v/>
      </c>
      <c r="P988" s="124">
        <f>+'Invullen groen'!BD998</f>
        <v/>
      </c>
    </row>
    <row r="989">
      <c r="A989" s="113">
        <f>+'Invullen groen'!A999</f>
        <v/>
      </c>
      <c r="B989" s="154">
        <f>+'Invullen groen'!C999</f>
        <v/>
      </c>
      <c r="C989" s="124">
        <f>+'Invullen groen'!G999</f>
        <v/>
      </c>
      <c r="D989" s="113">
        <f>+'Invullen groen'!M999</f>
        <v/>
      </c>
      <c r="E989" s="114">
        <f>+'Invullen groen'!H999</f>
        <v/>
      </c>
      <c r="F989" s="114">
        <f>+'Invullen groen'!I999</f>
        <v/>
      </c>
      <c r="G989" s="114">
        <f>+'Invullen groen'!J999</f>
        <v/>
      </c>
      <c r="H989" s="114">
        <f>+'Invullen groen'!K999</f>
        <v/>
      </c>
      <c r="I989" s="124">
        <f>+'Invullen groen'!AW999</f>
        <v/>
      </c>
      <c r="J989" s="124">
        <f>+'Invullen groen'!AX999</f>
        <v/>
      </c>
      <c r="K989" s="124">
        <f>+'Invullen groen'!AY999</f>
        <v/>
      </c>
      <c r="L989" s="124">
        <f>+'Invullen groen'!AZ999</f>
        <v/>
      </c>
      <c r="M989" s="124">
        <f>+'Invullen groen'!BA999</f>
        <v/>
      </c>
      <c r="N989" s="124">
        <f>+'Invullen groen'!BB999</f>
        <v/>
      </c>
      <c r="O989" s="124">
        <f>+'Invullen groen'!BC999</f>
        <v/>
      </c>
      <c r="P989" s="124">
        <f>+'Invullen groen'!BD999</f>
        <v/>
      </c>
    </row>
    <row r="990">
      <c r="A990" s="113">
        <f>+'Invullen groen'!A1000</f>
        <v/>
      </c>
      <c r="B990" s="154">
        <f>+'Invullen groen'!C1000</f>
        <v/>
      </c>
      <c r="C990" s="124">
        <f>+'Invullen groen'!G1000</f>
        <v/>
      </c>
      <c r="D990" s="113">
        <f>+'Invullen groen'!M1000</f>
        <v/>
      </c>
      <c r="E990" s="114">
        <f>+'Invullen groen'!H1000</f>
        <v/>
      </c>
      <c r="F990" s="114">
        <f>+'Invullen groen'!I1000</f>
        <v/>
      </c>
      <c r="G990" s="114">
        <f>+'Invullen groen'!J1000</f>
        <v/>
      </c>
      <c r="H990" s="114">
        <f>+'Invullen groen'!K1000</f>
        <v/>
      </c>
      <c r="I990" s="124">
        <f>+'Invullen groen'!AW1000</f>
        <v/>
      </c>
      <c r="J990" s="124">
        <f>+'Invullen groen'!AX1000</f>
        <v/>
      </c>
      <c r="K990" s="124">
        <f>+'Invullen groen'!AY1000</f>
        <v/>
      </c>
      <c r="L990" s="124">
        <f>+'Invullen groen'!AZ1000</f>
        <v/>
      </c>
      <c r="M990" s="124">
        <f>+'Invullen groen'!BA1000</f>
        <v/>
      </c>
      <c r="N990" s="124">
        <f>+'Invullen groen'!BB1000</f>
        <v/>
      </c>
      <c r="O990" s="124">
        <f>+'Invullen groen'!BC1000</f>
        <v/>
      </c>
      <c r="P990" s="124">
        <f>+'Invullen groen'!BD1000</f>
        <v/>
      </c>
    </row>
    <row r="991">
      <c r="A991" s="113">
        <f>+'Invullen groen'!A1001</f>
        <v/>
      </c>
      <c r="B991" s="154">
        <f>+'Invullen groen'!C1001</f>
        <v/>
      </c>
      <c r="C991" s="124">
        <f>+'Invullen groen'!G1001</f>
        <v/>
      </c>
      <c r="D991" s="113">
        <f>+'Invullen groen'!M1001</f>
        <v/>
      </c>
      <c r="E991" s="114">
        <f>+'Invullen groen'!H1001</f>
        <v/>
      </c>
      <c r="F991" s="114">
        <f>+'Invullen groen'!I1001</f>
        <v/>
      </c>
      <c r="G991" s="114">
        <f>+'Invullen groen'!J1001</f>
        <v/>
      </c>
      <c r="H991" s="114">
        <f>+'Invullen groen'!K1001</f>
        <v/>
      </c>
      <c r="I991" s="124">
        <f>+'Invullen groen'!AW1001</f>
        <v/>
      </c>
      <c r="J991" s="124">
        <f>+'Invullen groen'!AX1001</f>
        <v/>
      </c>
      <c r="K991" s="124">
        <f>+'Invullen groen'!AY1001</f>
        <v/>
      </c>
      <c r="L991" s="124">
        <f>+'Invullen groen'!AZ1001</f>
        <v/>
      </c>
      <c r="M991" s="124">
        <f>+'Invullen groen'!BA1001</f>
        <v/>
      </c>
      <c r="N991" s="124">
        <f>+'Invullen groen'!BB1001</f>
        <v/>
      </c>
      <c r="O991" s="124">
        <f>+'Invullen groen'!BC1001</f>
        <v/>
      </c>
      <c r="P991" s="124">
        <f>+'Invullen groen'!BD1001</f>
        <v/>
      </c>
    </row>
    <row r="992">
      <c r="A992" s="113">
        <f>+'Invullen groen'!A1002</f>
        <v/>
      </c>
      <c r="B992" s="154">
        <f>+'Invullen groen'!C1002</f>
        <v/>
      </c>
      <c r="C992" s="124">
        <f>+'Invullen groen'!G1002</f>
        <v/>
      </c>
      <c r="D992" s="113">
        <f>+'Invullen groen'!M1002</f>
        <v/>
      </c>
      <c r="E992" s="114">
        <f>+'Invullen groen'!H1002</f>
        <v/>
      </c>
      <c r="F992" s="114">
        <f>+'Invullen groen'!I1002</f>
        <v/>
      </c>
      <c r="G992" s="114">
        <f>+'Invullen groen'!J1002</f>
        <v/>
      </c>
      <c r="H992" s="114">
        <f>+'Invullen groen'!K1002</f>
        <v/>
      </c>
      <c r="I992" s="124">
        <f>+'Invullen groen'!AW1002</f>
        <v/>
      </c>
      <c r="J992" s="124">
        <f>+'Invullen groen'!AX1002</f>
        <v/>
      </c>
      <c r="K992" s="124">
        <f>+'Invullen groen'!AY1002</f>
        <v/>
      </c>
      <c r="L992" s="124">
        <f>+'Invullen groen'!AZ1002</f>
        <v/>
      </c>
      <c r="M992" s="124">
        <f>+'Invullen groen'!BA1002</f>
        <v/>
      </c>
      <c r="N992" s="124">
        <f>+'Invullen groen'!BB1002</f>
        <v/>
      </c>
      <c r="O992" s="124">
        <f>+'Invullen groen'!BC1002</f>
        <v/>
      </c>
      <c r="P992" s="124">
        <f>+'Invullen groen'!BD1002</f>
        <v/>
      </c>
    </row>
    <row r="993">
      <c r="A993" s="113">
        <f>+'Invullen groen'!A1003</f>
        <v/>
      </c>
      <c r="B993" s="154">
        <f>+'Invullen groen'!C1003</f>
        <v/>
      </c>
      <c r="C993" s="124">
        <f>+'Invullen groen'!G1003</f>
        <v/>
      </c>
      <c r="D993" s="113">
        <f>+'Invullen groen'!M1003</f>
        <v/>
      </c>
      <c r="E993" s="114">
        <f>+'Invullen groen'!H1003</f>
        <v/>
      </c>
      <c r="F993" s="114">
        <f>+'Invullen groen'!I1003</f>
        <v/>
      </c>
      <c r="G993" s="114">
        <f>+'Invullen groen'!J1003</f>
        <v/>
      </c>
      <c r="H993" s="114">
        <f>+'Invullen groen'!K1003</f>
        <v/>
      </c>
      <c r="I993" s="124">
        <f>+'Invullen groen'!AW1003</f>
        <v/>
      </c>
      <c r="J993" s="124">
        <f>+'Invullen groen'!AX1003</f>
        <v/>
      </c>
      <c r="K993" s="124">
        <f>+'Invullen groen'!AY1003</f>
        <v/>
      </c>
      <c r="L993" s="124">
        <f>+'Invullen groen'!AZ1003</f>
        <v/>
      </c>
      <c r="M993" s="124">
        <f>+'Invullen groen'!BA1003</f>
        <v/>
      </c>
      <c r="N993" s="124">
        <f>+'Invullen groen'!BB1003</f>
        <v/>
      </c>
      <c r="O993" s="124">
        <f>+'Invullen groen'!BC1003</f>
        <v/>
      </c>
      <c r="P993" s="124">
        <f>+'Invullen groen'!BD1003</f>
        <v/>
      </c>
    </row>
    <row r="994">
      <c r="A994" s="113">
        <f>+'Invullen groen'!A1004</f>
        <v/>
      </c>
      <c r="B994" s="154">
        <f>+'Invullen groen'!C1004</f>
        <v/>
      </c>
      <c r="C994" s="124">
        <f>+'Invullen groen'!G1004</f>
        <v/>
      </c>
      <c r="D994" s="113">
        <f>+'Invullen groen'!M1004</f>
        <v/>
      </c>
      <c r="E994" s="114">
        <f>+'Invullen groen'!H1004</f>
        <v/>
      </c>
      <c r="F994" s="114">
        <f>+'Invullen groen'!I1004</f>
        <v/>
      </c>
      <c r="G994" s="114">
        <f>+'Invullen groen'!J1004</f>
        <v/>
      </c>
      <c r="H994" s="114">
        <f>+'Invullen groen'!K1004</f>
        <v/>
      </c>
      <c r="I994" s="124">
        <f>+'Invullen groen'!AW1004</f>
        <v/>
      </c>
      <c r="J994" s="124">
        <f>+'Invullen groen'!AX1004</f>
        <v/>
      </c>
      <c r="K994" s="124">
        <f>+'Invullen groen'!AY1004</f>
        <v/>
      </c>
      <c r="L994" s="124">
        <f>+'Invullen groen'!AZ1004</f>
        <v/>
      </c>
      <c r="M994" s="124">
        <f>+'Invullen groen'!BA1004</f>
        <v/>
      </c>
      <c r="N994" s="124">
        <f>+'Invullen groen'!BB1004</f>
        <v/>
      </c>
      <c r="O994" s="124">
        <f>+'Invullen groen'!BC1004</f>
        <v/>
      </c>
      <c r="P994" s="124">
        <f>+'Invullen groen'!BD1004</f>
        <v/>
      </c>
    </row>
    <row r="995">
      <c r="A995" s="113">
        <f>+'Invullen groen'!A1005</f>
        <v/>
      </c>
      <c r="B995" s="154">
        <f>+'Invullen groen'!C1005</f>
        <v/>
      </c>
      <c r="C995" s="124">
        <f>+'Invullen groen'!G1005</f>
        <v/>
      </c>
      <c r="D995" s="113">
        <f>+'Invullen groen'!M1005</f>
        <v/>
      </c>
      <c r="E995" s="114">
        <f>+'Invullen groen'!H1005</f>
        <v/>
      </c>
      <c r="F995" s="114">
        <f>+'Invullen groen'!I1005</f>
        <v/>
      </c>
      <c r="G995" s="114">
        <f>+'Invullen groen'!J1005</f>
        <v/>
      </c>
      <c r="H995" s="114">
        <f>+'Invullen groen'!K1005</f>
        <v/>
      </c>
      <c r="I995" s="124">
        <f>+'Invullen groen'!AW1005</f>
        <v/>
      </c>
      <c r="J995" s="124">
        <f>+'Invullen groen'!AX1005</f>
        <v/>
      </c>
      <c r="K995" s="124">
        <f>+'Invullen groen'!AY1005</f>
        <v/>
      </c>
      <c r="L995" s="124">
        <f>+'Invullen groen'!AZ1005</f>
        <v/>
      </c>
      <c r="M995" s="124">
        <f>+'Invullen groen'!BA1005</f>
        <v/>
      </c>
      <c r="N995" s="124">
        <f>+'Invullen groen'!BB1005</f>
        <v/>
      </c>
      <c r="O995" s="124">
        <f>+'Invullen groen'!BC1005</f>
        <v/>
      </c>
      <c r="P995" s="124">
        <f>+'Invullen groen'!BD1005</f>
        <v/>
      </c>
    </row>
    <row r="996">
      <c r="A996" s="113">
        <f>+'Invullen groen'!A1006</f>
        <v/>
      </c>
      <c r="B996" s="154">
        <f>+'Invullen groen'!C1006</f>
        <v/>
      </c>
      <c r="C996" s="124">
        <f>+'Invullen groen'!G1006</f>
        <v/>
      </c>
      <c r="D996" s="113">
        <f>+'Invullen groen'!M1006</f>
        <v/>
      </c>
      <c r="E996" s="114">
        <f>+'Invullen groen'!H1006</f>
        <v/>
      </c>
      <c r="F996" s="114">
        <f>+'Invullen groen'!I1006</f>
        <v/>
      </c>
      <c r="G996" s="114">
        <f>+'Invullen groen'!J1006</f>
        <v/>
      </c>
      <c r="H996" s="114">
        <f>+'Invullen groen'!K1006</f>
        <v/>
      </c>
      <c r="I996" s="124">
        <f>+'Invullen groen'!AW1006</f>
        <v/>
      </c>
      <c r="J996" s="124">
        <f>+'Invullen groen'!AX1006</f>
        <v/>
      </c>
      <c r="K996" s="124">
        <f>+'Invullen groen'!AY1006</f>
        <v/>
      </c>
      <c r="L996" s="124">
        <f>+'Invullen groen'!AZ1006</f>
        <v/>
      </c>
      <c r="M996" s="124">
        <f>+'Invullen groen'!BA1006</f>
        <v/>
      </c>
      <c r="N996" s="124">
        <f>+'Invullen groen'!BB1006</f>
        <v/>
      </c>
      <c r="O996" s="124">
        <f>+'Invullen groen'!BC1006</f>
        <v/>
      </c>
      <c r="P996" s="124">
        <f>+'Invullen groen'!BD1006</f>
        <v/>
      </c>
    </row>
    <row r="997">
      <c r="A997" s="113">
        <f>+'Invullen groen'!A1007</f>
        <v/>
      </c>
      <c r="B997" s="154">
        <f>+'Invullen groen'!C1007</f>
        <v/>
      </c>
      <c r="C997" s="124">
        <f>+'Invullen groen'!G1007</f>
        <v/>
      </c>
      <c r="D997" s="113">
        <f>+'Invullen groen'!M1007</f>
        <v/>
      </c>
      <c r="E997" s="114">
        <f>+'Invullen groen'!H1007</f>
        <v/>
      </c>
      <c r="F997" s="114">
        <f>+'Invullen groen'!I1007</f>
        <v/>
      </c>
      <c r="G997" s="114">
        <f>+'Invullen groen'!J1007</f>
        <v/>
      </c>
      <c r="H997" s="114">
        <f>+'Invullen groen'!K1007</f>
        <v/>
      </c>
      <c r="I997" s="124">
        <f>+'Invullen groen'!AW1007</f>
        <v/>
      </c>
      <c r="J997" s="124">
        <f>+'Invullen groen'!AX1007</f>
        <v/>
      </c>
      <c r="K997" s="124">
        <f>+'Invullen groen'!AY1007</f>
        <v/>
      </c>
      <c r="L997" s="124">
        <f>+'Invullen groen'!AZ1007</f>
        <v/>
      </c>
      <c r="M997" s="124">
        <f>+'Invullen groen'!BA1007</f>
        <v/>
      </c>
      <c r="N997" s="124">
        <f>+'Invullen groen'!BB1007</f>
        <v/>
      </c>
      <c r="O997" s="124">
        <f>+'Invullen groen'!BC1007</f>
        <v/>
      </c>
      <c r="P997" s="124">
        <f>+'Invullen groen'!BD1007</f>
        <v/>
      </c>
    </row>
    <row r="998">
      <c r="A998" s="113">
        <f>+'Invullen groen'!A1008</f>
        <v/>
      </c>
      <c r="B998" s="154">
        <f>+'Invullen groen'!C1008</f>
        <v/>
      </c>
      <c r="C998" s="124">
        <f>+'Invullen groen'!G1008</f>
        <v/>
      </c>
      <c r="D998" s="113">
        <f>+'Invullen groen'!M1008</f>
        <v/>
      </c>
      <c r="E998" s="114">
        <f>+'Invullen groen'!H1008</f>
        <v/>
      </c>
      <c r="F998" s="114">
        <f>+'Invullen groen'!I1008</f>
        <v/>
      </c>
      <c r="G998" s="114">
        <f>+'Invullen groen'!J1008</f>
        <v/>
      </c>
      <c r="H998" s="114">
        <f>+'Invullen groen'!K1008</f>
        <v/>
      </c>
      <c r="I998" s="124">
        <f>+'Invullen groen'!AW1008</f>
        <v/>
      </c>
      <c r="J998" s="124">
        <f>+'Invullen groen'!AX1008</f>
        <v/>
      </c>
      <c r="K998" s="124">
        <f>+'Invullen groen'!AY1008</f>
        <v/>
      </c>
      <c r="L998" s="124">
        <f>+'Invullen groen'!AZ1008</f>
        <v/>
      </c>
      <c r="M998" s="124">
        <f>+'Invullen groen'!BA1008</f>
        <v/>
      </c>
      <c r="N998" s="124">
        <f>+'Invullen groen'!BB1008</f>
        <v/>
      </c>
      <c r="O998" s="124">
        <f>+'Invullen groen'!BC1008</f>
        <v/>
      </c>
      <c r="P998" s="124">
        <f>+'Invullen groen'!BD1008</f>
        <v/>
      </c>
    </row>
    <row r="999">
      <c r="A999" s="113">
        <f>+'Invullen groen'!A1009</f>
        <v/>
      </c>
      <c r="B999" s="154">
        <f>+'Invullen groen'!C1009</f>
        <v/>
      </c>
      <c r="C999" s="124">
        <f>+'Invullen groen'!G1009</f>
        <v/>
      </c>
      <c r="D999" s="113">
        <f>+'Invullen groen'!M1009</f>
        <v/>
      </c>
      <c r="E999" s="114">
        <f>+'Invullen groen'!H1009</f>
        <v/>
      </c>
      <c r="F999" s="114">
        <f>+'Invullen groen'!I1009</f>
        <v/>
      </c>
      <c r="G999" s="114">
        <f>+'Invullen groen'!J1009</f>
        <v/>
      </c>
      <c r="H999" s="114">
        <f>+'Invullen groen'!K1009</f>
        <v/>
      </c>
      <c r="I999" s="124">
        <f>+'Invullen groen'!AW1009</f>
        <v/>
      </c>
      <c r="J999" s="124">
        <f>+'Invullen groen'!AX1009</f>
        <v/>
      </c>
      <c r="K999" s="124">
        <f>+'Invullen groen'!AY1009</f>
        <v/>
      </c>
      <c r="L999" s="124">
        <f>+'Invullen groen'!AZ1009</f>
        <v/>
      </c>
      <c r="M999" s="124">
        <f>+'Invullen groen'!BA1009</f>
        <v/>
      </c>
      <c r="N999" s="124">
        <f>+'Invullen groen'!BB1009</f>
        <v/>
      </c>
      <c r="O999" s="124">
        <f>+'Invullen groen'!BC1009</f>
        <v/>
      </c>
      <c r="P999" s="124">
        <f>+'Invullen groen'!BD1009</f>
        <v/>
      </c>
    </row>
    <row r="1000">
      <c r="A1000" s="113">
        <f>+'Invullen groen'!A1010</f>
        <v/>
      </c>
      <c r="B1000" s="154">
        <f>+'Invullen groen'!C1010</f>
        <v/>
      </c>
      <c r="C1000" s="124">
        <f>+'Invullen groen'!G1010</f>
        <v/>
      </c>
      <c r="D1000" s="113">
        <f>+'Invullen groen'!M1010</f>
        <v/>
      </c>
      <c r="E1000" s="114">
        <f>+'Invullen groen'!H1010</f>
        <v/>
      </c>
      <c r="F1000" s="114">
        <f>+'Invullen groen'!I1010</f>
        <v/>
      </c>
      <c r="G1000" s="114">
        <f>+'Invullen groen'!J1010</f>
        <v/>
      </c>
      <c r="H1000" s="114">
        <f>+'Invullen groen'!K1010</f>
        <v/>
      </c>
      <c r="I1000" s="124">
        <f>+'Invullen groen'!AW1010</f>
        <v/>
      </c>
      <c r="J1000" s="124">
        <f>+'Invullen groen'!AX1010</f>
        <v/>
      </c>
      <c r="K1000" s="124">
        <f>+'Invullen groen'!AY1010</f>
        <v/>
      </c>
      <c r="L1000" s="124">
        <f>+'Invullen groen'!AZ1010</f>
        <v/>
      </c>
      <c r="M1000" s="124">
        <f>+'Invullen groen'!BA1010</f>
        <v/>
      </c>
      <c r="N1000" s="124">
        <f>+'Invullen groen'!BB1010</f>
        <v/>
      </c>
      <c r="O1000" s="124">
        <f>+'Invullen groen'!BC1010</f>
        <v/>
      </c>
      <c r="P1000" s="124">
        <f>+'Invullen groen'!BD1010</f>
        <v/>
      </c>
    </row>
    <row r="1001">
      <c r="A1001" s="113">
        <f>+'Invullen groen'!A1011</f>
        <v/>
      </c>
      <c r="B1001" s="154">
        <f>+'Invullen groen'!C1011</f>
        <v/>
      </c>
      <c r="C1001" s="124">
        <f>+'Invullen groen'!G1011</f>
        <v/>
      </c>
      <c r="D1001" s="113">
        <f>+'Invullen groen'!M1011</f>
        <v/>
      </c>
      <c r="E1001" s="114">
        <f>+'Invullen groen'!H1011</f>
        <v/>
      </c>
      <c r="F1001" s="114">
        <f>+'Invullen groen'!I1011</f>
        <v/>
      </c>
      <c r="G1001" s="114">
        <f>+'Invullen groen'!J1011</f>
        <v/>
      </c>
      <c r="H1001" s="114">
        <f>+'Invullen groen'!K1011</f>
        <v/>
      </c>
      <c r="I1001" s="124">
        <f>+'Invullen groen'!AW1011</f>
        <v/>
      </c>
      <c r="J1001" s="124">
        <f>+'Invullen groen'!AX1011</f>
        <v/>
      </c>
      <c r="K1001" s="124">
        <f>+'Invullen groen'!AY1011</f>
        <v/>
      </c>
      <c r="L1001" s="124">
        <f>+'Invullen groen'!AZ1011</f>
        <v/>
      </c>
      <c r="M1001" s="124">
        <f>+'Invullen groen'!BA1011</f>
        <v/>
      </c>
      <c r="N1001" s="124">
        <f>+'Invullen groen'!BB1011</f>
        <v/>
      </c>
      <c r="O1001" s="124">
        <f>+'Invullen groen'!BC1011</f>
        <v/>
      </c>
      <c r="P1001" s="124">
        <f>+'Invullen groen'!BD1011</f>
        <v/>
      </c>
    </row>
    <row r="1002">
      <c r="A1002" s="113">
        <f>+'Invullen groen'!A1012</f>
        <v/>
      </c>
      <c r="B1002" s="154">
        <f>+'Invullen groen'!C1012</f>
        <v/>
      </c>
      <c r="C1002" s="124">
        <f>+'Invullen groen'!G1012</f>
        <v/>
      </c>
      <c r="D1002" s="113">
        <f>+'Invullen groen'!M1012</f>
        <v/>
      </c>
      <c r="E1002" s="114">
        <f>+'Invullen groen'!H1012</f>
        <v/>
      </c>
      <c r="F1002" s="114">
        <f>+'Invullen groen'!I1012</f>
        <v/>
      </c>
      <c r="G1002" s="114">
        <f>+'Invullen groen'!J1012</f>
        <v/>
      </c>
      <c r="H1002" s="114">
        <f>+'Invullen groen'!K1012</f>
        <v/>
      </c>
      <c r="I1002" s="124">
        <f>+'Invullen groen'!AW1012</f>
        <v/>
      </c>
      <c r="J1002" s="124">
        <f>+'Invullen groen'!AX1012</f>
        <v/>
      </c>
      <c r="K1002" s="124">
        <f>+'Invullen groen'!AY1012</f>
        <v/>
      </c>
      <c r="L1002" s="124">
        <f>+'Invullen groen'!AZ1012</f>
        <v/>
      </c>
      <c r="M1002" s="124">
        <f>+'Invullen groen'!BA1012</f>
        <v/>
      </c>
      <c r="N1002" s="124">
        <f>+'Invullen groen'!BB1012</f>
        <v/>
      </c>
      <c r="O1002" s="124">
        <f>+'Invullen groen'!BC1012</f>
        <v/>
      </c>
      <c r="P1002" s="124">
        <f>+'Invullen groen'!BD1012</f>
        <v/>
      </c>
    </row>
    <row r="1003">
      <c r="A1003" s="113">
        <f>+'Invullen groen'!A1013</f>
        <v/>
      </c>
      <c r="B1003" s="154">
        <f>+'Invullen groen'!C1013</f>
        <v/>
      </c>
      <c r="C1003" s="124">
        <f>+'Invullen groen'!G1013</f>
        <v/>
      </c>
      <c r="D1003" s="113">
        <f>+'Invullen groen'!M1013</f>
        <v/>
      </c>
      <c r="E1003" s="114">
        <f>+'Invullen groen'!H1013</f>
        <v/>
      </c>
      <c r="F1003" s="114">
        <f>+'Invullen groen'!I1013</f>
        <v/>
      </c>
      <c r="G1003" s="114">
        <f>+'Invullen groen'!J1013</f>
        <v/>
      </c>
      <c r="H1003" s="114">
        <f>+'Invullen groen'!K1013</f>
        <v/>
      </c>
      <c r="I1003" s="124">
        <f>+'Invullen groen'!AW1013</f>
        <v/>
      </c>
      <c r="J1003" s="124">
        <f>+'Invullen groen'!AX1013</f>
        <v/>
      </c>
      <c r="K1003" s="124">
        <f>+'Invullen groen'!AY1013</f>
        <v/>
      </c>
      <c r="L1003" s="124">
        <f>+'Invullen groen'!AZ1013</f>
        <v/>
      </c>
      <c r="M1003" s="124">
        <f>+'Invullen groen'!BA1013</f>
        <v/>
      </c>
      <c r="N1003" s="124">
        <f>+'Invullen groen'!BB1013</f>
        <v/>
      </c>
      <c r="O1003" s="124">
        <f>+'Invullen groen'!BC1013</f>
        <v/>
      </c>
      <c r="P1003" s="124">
        <f>+'Invullen groen'!BD1013</f>
        <v/>
      </c>
    </row>
    <row r="1004">
      <c r="A1004" s="113">
        <f>+'Invullen groen'!A1014</f>
        <v/>
      </c>
      <c r="B1004" s="154">
        <f>+'Invullen groen'!C1014</f>
        <v/>
      </c>
      <c r="C1004" s="124">
        <f>+'Invullen groen'!G1014</f>
        <v/>
      </c>
      <c r="D1004" s="113">
        <f>+'Invullen groen'!M1014</f>
        <v/>
      </c>
      <c r="E1004" s="114">
        <f>+'Invullen groen'!H1014</f>
        <v/>
      </c>
      <c r="F1004" s="114">
        <f>+'Invullen groen'!I1014</f>
        <v/>
      </c>
      <c r="G1004" s="114">
        <f>+'Invullen groen'!J1014</f>
        <v/>
      </c>
      <c r="H1004" s="114">
        <f>+'Invullen groen'!K1014</f>
        <v/>
      </c>
      <c r="I1004" s="124">
        <f>+'Invullen groen'!AW1014</f>
        <v/>
      </c>
      <c r="J1004" s="124">
        <f>+'Invullen groen'!AX1014</f>
        <v/>
      </c>
      <c r="K1004" s="124">
        <f>+'Invullen groen'!AY1014</f>
        <v/>
      </c>
      <c r="L1004" s="124">
        <f>+'Invullen groen'!AZ1014</f>
        <v/>
      </c>
      <c r="M1004" s="124">
        <f>+'Invullen groen'!BA1014</f>
        <v/>
      </c>
      <c r="N1004" s="124">
        <f>+'Invullen groen'!BB1014</f>
        <v/>
      </c>
      <c r="O1004" s="124">
        <f>+'Invullen groen'!BC1014</f>
        <v/>
      </c>
      <c r="P1004" s="124">
        <f>+'Invullen groen'!BD1014</f>
        <v/>
      </c>
    </row>
    <row r="1005">
      <c r="A1005" s="113">
        <f>+'Invullen groen'!A1015</f>
        <v/>
      </c>
      <c r="B1005" s="154">
        <f>+'Invullen groen'!C1015</f>
        <v/>
      </c>
      <c r="C1005" s="124">
        <f>+'Invullen groen'!G1015</f>
        <v/>
      </c>
      <c r="D1005" s="113">
        <f>+'Invullen groen'!M1015</f>
        <v/>
      </c>
      <c r="E1005" s="114">
        <f>+'Invullen groen'!H1015</f>
        <v/>
      </c>
      <c r="F1005" s="114">
        <f>+'Invullen groen'!I1015</f>
        <v/>
      </c>
      <c r="G1005" s="114">
        <f>+'Invullen groen'!J1015</f>
        <v/>
      </c>
      <c r="H1005" s="114">
        <f>+'Invullen groen'!K1015</f>
        <v/>
      </c>
      <c r="I1005" s="124">
        <f>+'Invullen groen'!AW1015</f>
        <v/>
      </c>
      <c r="J1005" s="124">
        <f>+'Invullen groen'!AX1015</f>
        <v/>
      </c>
      <c r="K1005" s="124">
        <f>+'Invullen groen'!AY1015</f>
        <v/>
      </c>
      <c r="L1005" s="124">
        <f>+'Invullen groen'!AZ1015</f>
        <v/>
      </c>
      <c r="M1005" s="124">
        <f>+'Invullen groen'!BA1015</f>
        <v/>
      </c>
      <c r="N1005" s="124">
        <f>+'Invullen groen'!BB1015</f>
        <v/>
      </c>
      <c r="O1005" s="124">
        <f>+'Invullen groen'!BC1015</f>
        <v/>
      </c>
      <c r="P1005" s="124">
        <f>+'Invullen groen'!BD1015</f>
        <v/>
      </c>
    </row>
    <row r="1006">
      <c r="A1006" s="113">
        <f>+'Invullen groen'!A1016</f>
        <v/>
      </c>
      <c r="B1006" s="154">
        <f>+'Invullen groen'!C1016</f>
        <v/>
      </c>
      <c r="C1006" s="124">
        <f>+'Invullen groen'!G1016</f>
        <v/>
      </c>
      <c r="D1006" s="113">
        <f>+'Invullen groen'!M1016</f>
        <v/>
      </c>
      <c r="E1006" s="114">
        <f>+'Invullen groen'!H1016</f>
        <v/>
      </c>
      <c r="F1006" s="114">
        <f>+'Invullen groen'!I1016</f>
        <v/>
      </c>
      <c r="G1006" s="114">
        <f>+'Invullen groen'!J1016</f>
        <v/>
      </c>
      <c r="H1006" s="114">
        <f>+'Invullen groen'!K1016</f>
        <v/>
      </c>
      <c r="I1006" s="124">
        <f>+'Invullen groen'!AW1016</f>
        <v/>
      </c>
      <c r="J1006" s="124">
        <f>+'Invullen groen'!AX1016</f>
        <v/>
      </c>
      <c r="K1006" s="124">
        <f>+'Invullen groen'!AY1016</f>
        <v/>
      </c>
      <c r="L1006" s="124">
        <f>+'Invullen groen'!AZ1016</f>
        <v/>
      </c>
      <c r="M1006" s="124">
        <f>+'Invullen groen'!BA1016</f>
        <v/>
      </c>
      <c r="N1006" s="124">
        <f>+'Invullen groen'!BB1016</f>
        <v/>
      </c>
      <c r="O1006" s="124">
        <f>+'Invullen groen'!BC1016</f>
        <v/>
      </c>
      <c r="P1006" s="124">
        <f>+'Invullen groen'!BD1016</f>
        <v/>
      </c>
    </row>
    <row r="1007">
      <c r="A1007" s="113">
        <f>+'Invullen groen'!A1017</f>
        <v/>
      </c>
      <c r="B1007" s="154">
        <f>+'Invullen groen'!C1017</f>
        <v/>
      </c>
      <c r="C1007" s="124">
        <f>+'Invullen groen'!G1017</f>
        <v/>
      </c>
      <c r="D1007" s="113">
        <f>+'Invullen groen'!M1017</f>
        <v/>
      </c>
      <c r="E1007" s="114">
        <f>+'Invullen groen'!H1017</f>
        <v/>
      </c>
      <c r="F1007" s="114">
        <f>+'Invullen groen'!I1017</f>
        <v/>
      </c>
      <c r="G1007" s="114">
        <f>+'Invullen groen'!J1017</f>
        <v/>
      </c>
      <c r="H1007" s="114">
        <f>+'Invullen groen'!K1017</f>
        <v/>
      </c>
      <c r="I1007" s="124">
        <f>+'Invullen groen'!AW1017</f>
        <v/>
      </c>
      <c r="J1007" s="124">
        <f>+'Invullen groen'!AX1017</f>
        <v/>
      </c>
      <c r="K1007" s="124">
        <f>+'Invullen groen'!AY1017</f>
        <v/>
      </c>
      <c r="L1007" s="124">
        <f>+'Invullen groen'!AZ1017</f>
        <v/>
      </c>
      <c r="M1007" s="124">
        <f>+'Invullen groen'!BA1017</f>
        <v/>
      </c>
      <c r="N1007" s="124">
        <f>+'Invullen groen'!BB1017</f>
        <v/>
      </c>
      <c r="O1007" s="124">
        <f>+'Invullen groen'!BC1017</f>
        <v/>
      </c>
      <c r="P1007" s="124">
        <f>+'Invullen groen'!BD1017</f>
        <v/>
      </c>
    </row>
    <row r="1008">
      <c r="A1008" s="113">
        <f>+'Invullen groen'!A1018</f>
        <v/>
      </c>
      <c r="B1008" s="154">
        <f>+'Invullen groen'!C1018</f>
        <v/>
      </c>
      <c r="C1008" s="124">
        <f>+'Invullen groen'!G1018</f>
        <v/>
      </c>
      <c r="D1008" s="113">
        <f>+'Invullen groen'!M1018</f>
        <v/>
      </c>
      <c r="E1008" s="114">
        <f>+'Invullen groen'!H1018</f>
        <v/>
      </c>
      <c r="F1008" s="114">
        <f>+'Invullen groen'!I1018</f>
        <v/>
      </c>
      <c r="G1008" s="114">
        <f>+'Invullen groen'!J1018</f>
        <v/>
      </c>
      <c r="H1008" s="114">
        <f>+'Invullen groen'!K1018</f>
        <v/>
      </c>
      <c r="I1008" s="124">
        <f>+'Invullen groen'!AW1018</f>
        <v/>
      </c>
      <c r="J1008" s="124">
        <f>+'Invullen groen'!AX1018</f>
        <v/>
      </c>
      <c r="K1008" s="124">
        <f>+'Invullen groen'!AY1018</f>
        <v/>
      </c>
      <c r="L1008" s="124">
        <f>+'Invullen groen'!AZ1018</f>
        <v/>
      </c>
      <c r="M1008" s="124">
        <f>+'Invullen groen'!BA1018</f>
        <v/>
      </c>
      <c r="N1008" s="124">
        <f>+'Invullen groen'!BB1018</f>
        <v/>
      </c>
      <c r="O1008" s="124">
        <f>+'Invullen groen'!BC1018</f>
        <v/>
      </c>
      <c r="P1008" s="124">
        <f>+'Invullen groen'!BD1018</f>
        <v/>
      </c>
    </row>
    <row r="1009">
      <c r="A1009" s="113">
        <f>+'Invullen groen'!A1019</f>
        <v/>
      </c>
      <c r="B1009" s="154">
        <f>+'Invullen groen'!C1019</f>
        <v/>
      </c>
      <c r="C1009" s="124">
        <f>+'Invullen groen'!G1019</f>
        <v/>
      </c>
      <c r="D1009" s="113">
        <f>+'Invullen groen'!M1019</f>
        <v/>
      </c>
      <c r="E1009" s="114">
        <f>+'Invullen groen'!H1019</f>
        <v/>
      </c>
      <c r="F1009" s="114">
        <f>+'Invullen groen'!I1019</f>
        <v/>
      </c>
      <c r="G1009" s="114">
        <f>+'Invullen groen'!J1019</f>
        <v/>
      </c>
      <c r="H1009" s="114">
        <f>+'Invullen groen'!K1019</f>
        <v/>
      </c>
      <c r="I1009" s="124">
        <f>+'Invullen groen'!AW1019</f>
        <v/>
      </c>
      <c r="J1009" s="124">
        <f>+'Invullen groen'!AX1019</f>
        <v/>
      </c>
      <c r="K1009" s="124">
        <f>+'Invullen groen'!AY1019</f>
        <v/>
      </c>
      <c r="L1009" s="124">
        <f>+'Invullen groen'!AZ1019</f>
        <v/>
      </c>
      <c r="M1009" s="124">
        <f>+'Invullen groen'!BA1019</f>
        <v/>
      </c>
      <c r="N1009" s="124">
        <f>+'Invullen groen'!BB1019</f>
        <v/>
      </c>
      <c r="O1009" s="124">
        <f>+'Invullen groen'!BC1019</f>
        <v/>
      </c>
      <c r="P1009" s="124">
        <f>+'Invullen groen'!BD1019</f>
        <v/>
      </c>
    </row>
    <row r="1010">
      <c r="A1010" s="113">
        <f>+'Invullen groen'!A1020</f>
        <v/>
      </c>
      <c r="B1010" s="154">
        <f>+'Invullen groen'!C1020</f>
        <v/>
      </c>
      <c r="C1010" s="124">
        <f>+'Invullen groen'!G1020</f>
        <v/>
      </c>
      <c r="D1010" s="113">
        <f>+'Invullen groen'!M1020</f>
        <v/>
      </c>
      <c r="E1010" s="114">
        <f>+'Invullen groen'!H1020</f>
        <v/>
      </c>
      <c r="F1010" s="114">
        <f>+'Invullen groen'!I1020</f>
        <v/>
      </c>
      <c r="G1010" s="114">
        <f>+'Invullen groen'!J1020</f>
        <v/>
      </c>
      <c r="H1010" s="114">
        <f>+'Invullen groen'!K1020</f>
        <v/>
      </c>
      <c r="I1010" s="124">
        <f>+'Invullen groen'!AW1020</f>
        <v/>
      </c>
      <c r="J1010" s="124">
        <f>+'Invullen groen'!AX1020</f>
        <v/>
      </c>
      <c r="K1010" s="124">
        <f>+'Invullen groen'!AY1020</f>
        <v/>
      </c>
      <c r="L1010" s="124">
        <f>+'Invullen groen'!AZ1020</f>
        <v/>
      </c>
      <c r="M1010" s="124">
        <f>+'Invullen groen'!BA1020</f>
        <v/>
      </c>
      <c r="N1010" s="124">
        <f>+'Invullen groen'!BB1020</f>
        <v/>
      </c>
      <c r="O1010" s="124">
        <f>+'Invullen groen'!BC1020</f>
        <v/>
      </c>
      <c r="P1010" s="124">
        <f>+'Invullen groen'!BD1020</f>
        <v/>
      </c>
    </row>
    <row r="1011">
      <c r="A1011" s="113">
        <f>+'Invullen groen'!A1021</f>
        <v/>
      </c>
      <c r="B1011" s="154">
        <f>+'Invullen groen'!C1021</f>
        <v/>
      </c>
      <c r="C1011" s="124">
        <f>+'Invullen groen'!G1021</f>
        <v/>
      </c>
      <c r="D1011" s="113">
        <f>+'Invullen groen'!M1021</f>
        <v/>
      </c>
      <c r="E1011" s="114">
        <f>+'Invullen groen'!H1021</f>
        <v/>
      </c>
      <c r="F1011" s="114">
        <f>+'Invullen groen'!I1021</f>
        <v/>
      </c>
      <c r="G1011" s="114">
        <f>+'Invullen groen'!J1021</f>
        <v/>
      </c>
      <c r="H1011" s="114">
        <f>+'Invullen groen'!K1021</f>
        <v/>
      </c>
      <c r="I1011" s="124">
        <f>+'Invullen groen'!AW1021</f>
        <v/>
      </c>
      <c r="J1011" s="124">
        <f>+'Invullen groen'!AX1021</f>
        <v/>
      </c>
      <c r="K1011" s="124">
        <f>+'Invullen groen'!AY1021</f>
        <v/>
      </c>
      <c r="L1011" s="124">
        <f>+'Invullen groen'!AZ1021</f>
        <v/>
      </c>
      <c r="M1011" s="124">
        <f>+'Invullen groen'!BA1021</f>
        <v/>
      </c>
      <c r="N1011" s="124">
        <f>+'Invullen groen'!BB1021</f>
        <v/>
      </c>
      <c r="O1011" s="124">
        <f>+'Invullen groen'!BC1021</f>
        <v/>
      </c>
      <c r="P1011" s="124">
        <f>+'Invullen groen'!BD1021</f>
        <v/>
      </c>
    </row>
    <row r="1012">
      <c r="A1012" s="113">
        <f>+'Invullen groen'!A1022</f>
        <v/>
      </c>
      <c r="B1012" s="154">
        <f>+'Invullen groen'!C1022</f>
        <v/>
      </c>
      <c r="C1012" s="124">
        <f>+'Invullen groen'!G1022</f>
        <v/>
      </c>
      <c r="D1012" s="113">
        <f>+'Invullen groen'!M1022</f>
        <v/>
      </c>
      <c r="E1012" s="114">
        <f>+'Invullen groen'!H1022</f>
        <v/>
      </c>
      <c r="F1012" s="114">
        <f>+'Invullen groen'!I1022</f>
        <v/>
      </c>
      <c r="G1012" s="114">
        <f>+'Invullen groen'!J1022</f>
        <v/>
      </c>
      <c r="H1012" s="114">
        <f>+'Invullen groen'!K1022</f>
        <v/>
      </c>
      <c r="I1012" s="124">
        <f>+'Invullen groen'!AW1022</f>
        <v/>
      </c>
      <c r="J1012" s="124">
        <f>+'Invullen groen'!AX1022</f>
        <v/>
      </c>
      <c r="K1012" s="124">
        <f>+'Invullen groen'!AY1022</f>
        <v/>
      </c>
      <c r="L1012" s="124">
        <f>+'Invullen groen'!AZ1022</f>
        <v/>
      </c>
      <c r="M1012" s="124">
        <f>+'Invullen groen'!BA1022</f>
        <v/>
      </c>
      <c r="N1012" s="124">
        <f>+'Invullen groen'!BB1022</f>
        <v/>
      </c>
      <c r="O1012" s="124">
        <f>+'Invullen groen'!BC1022</f>
        <v/>
      </c>
      <c r="P1012" s="124">
        <f>+'Invullen groen'!BD1022</f>
        <v/>
      </c>
    </row>
    <row r="1013">
      <c r="A1013" s="113">
        <f>+'Invullen groen'!A1023</f>
        <v/>
      </c>
      <c r="B1013" s="154">
        <f>+'Invullen groen'!C1023</f>
        <v/>
      </c>
      <c r="C1013" s="124">
        <f>+'Invullen groen'!G1023</f>
        <v/>
      </c>
      <c r="D1013" s="113">
        <f>+'Invullen groen'!M1023</f>
        <v/>
      </c>
      <c r="E1013" s="114">
        <f>+'Invullen groen'!H1023</f>
        <v/>
      </c>
      <c r="F1013" s="114">
        <f>+'Invullen groen'!I1023</f>
        <v/>
      </c>
      <c r="G1013" s="114">
        <f>+'Invullen groen'!J1023</f>
        <v/>
      </c>
      <c r="H1013" s="114">
        <f>+'Invullen groen'!K1023</f>
        <v/>
      </c>
      <c r="I1013" s="124">
        <f>+'Invullen groen'!AW1023</f>
        <v/>
      </c>
      <c r="J1013" s="124">
        <f>+'Invullen groen'!AX1023</f>
        <v/>
      </c>
      <c r="K1013" s="124">
        <f>+'Invullen groen'!AY1023</f>
        <v/>
      </c>
      <c r="L1013" s="124">
        <f>+'Invullen groen'!AZ1023</f>
        <v/>
      </c>
      <c r="M1013" s="124">
        <f>+'Invullen groen'!BA1023</f>
        <v/>
      </c>
      <c r="N1013" s="124">
        <f>+'Invullen groen'!BB1023</f>
        <v/>
      </c>
      <c r="O1013" s="124">
        <f>+'Invullen groen'!BC1023</f>
        <v/>
      </c>
      <c r="P1013" s="124">
        <f>+'Invullen groen'!BD1023</f>
        <v/>
      </c>
    </row>
    <row r="1014">
      <c r="A1014" s="113">
        <f>+'Invullen groen'!A1024</f>
        <v/>
      </c>
      <c r="B1014" s="154">
        <f>+'Invullen groen'!C1024</f>
        <v/>
      </c>
      <c r="C1014" s="124">
        <f>+'Invullen groen'!G1024</f>
        <v/>
      </c>
      <c r="D1014" s="113">
        <f>+'Invullen groen'!M1024</f>
        <v/>
      </c>
      <c r="E1014" s="114">
        <f>+'Invullen groen'!H1024</f>
        <v/>
      </c>
      <c r="F1014" s="114">
        <f>+'Invullen groen'!I1024</f>
        <v/>
      </c>
      <c r="G1014" s="114">
        <f>+'Invullen groen'!J1024</f>
        <v/>
      </c>
      <c r="H1014" s="114">
        <f>+'Invullen groen'!K1024</f>
        <v/>
      </c>
      <c r="I1014" s="124">
        <f>+'Invullen groen'!AW1024</f>
        <v/>
      </c>
      <c r="J1014" s="124">
        <f>+'Invullen groen'!AX1024</f>
        <v/>
      </c>
      <c r="K1014" s="124">
        <f>+'Invullen groen'!AY1024</f>
        <v/>
      </c>
      <c r="L1014" s="124">
        <f>+'Invullen groen'!AZ1024</f>
        <v/>
      </c>
      <c r="M1014" s="124">
        <f>+'Invullen groen'!BA1024</f>
        <v/>
      </c>
      <c r="N1014" s="124">
        <f>+'Invullen groen'!BB1024</f>
        <v/>
      </c>
      <c r="O1014" s="124">
        <f>+'Invullen groen'!BC1024</f>
        <v/>
      </c>
      <c r="P1014" s="124">
        <f>+'Invullen groen'!BD1024</f>
        <v/>
      </c>
    </row>
    <row r="1015">
      <c r="A1015" s="113">
        <f>+'Invullen groen'!A1025</f>
        <v/>
      </c>
      <c r="B1015" s="154">
        <f>+'Invullen groen'!C1025</f>
        <v/>
      </c>
      <c r="C1015" s="124">
        <f>+'Invullen groen'!G1025</f>
        <v/>
      </c>
      <c r="D1015" s="113">
        <f>+'Invullen groen'!M1025</f>
        <v/>
      </c>
      <c r="E1015" s="114">
        <f>+'Invullen groen'!H1025</f>
        <v/>
      </c>
      <c r="F1015" s="114">
        <f>+'Invullen groen'!I1025</f>
        <v/>
      </c>
      <c r="G1015" s="114">
        <f>+'Invullen groen'!J1025</f>
        <v/>
      </c>
      <c r="H1015" s="114">
        <f>+'Invullen groen'!K1025</f>
        <v/>
      </c>
      <c r="I1015" s="124">
        <f>+'Invullen groen'!AW1025</f>
        <v/>
      </c>
      <c r="J1015" s="124">
        <f>+'Invullen groen'!AX1025</f>
        <v/>
      </c>
      <c r="K1015" s="124">
        <f>+'Invullen groen'!AY1025</f>
        <v/>
      </c>
      <c r="L1015" s="124">
        <f>+'Invullen groen'!AZ1025</f>
        <v/>
      </c>
      <c r="M1015" s="124">
        <f>+'Invullen groen'!BA1025</f>
        <v/>
      </c>
      <c r="N1015" s="124">
        <f>+'Invullen groen'!BB1025</f>
        <v/>
      </c>
      <c r="O1015" s="124">
        <f>+'Invullen groen'!BC1025</f>
        <v/>
      </c>
      <c r="P1015" s="124">
        <f>+'Invullen groen'!BD1025</f>
        <v/>
      </c>
    </row>
    <row r="1016">
      <c r="A1016" s="113">
        <f>+'Invullen groen'!A1026</f>
        <v/>
      </c>
      <c r="B1016" s="154">
        <f>+'Invullen groen'!C1026</f>
        <v/>
      </c>
      <c r="C1016" s="124">
        <f>+'Invullen groen'!G1026</f>
        <v/>
      </c>
      <c r="D1016" s="113">
        <f>+'Invullen groen'!M1026</f>
        <v/>
      </c>
      <c r="E1016" s="114">
        <f>+'Invullen groen'!H1026</f>
        <v/>
      </c>
      <c r="F1016" s="114">
        <f>+'Invullen groen'!I1026</f>
        <v/>
      </c>
      <c r="G1016" s="114">
        <f>+'Invullen groen'!J1026</f>
        <v/>
      </c>
      <c r="H1016" s="114">
        <f>+'Invullen groen'!K1026</f>
        <v/>
      </c>
      <c r="I1016" s="124">
        <f>+'Invullen groen'!AW1026</f>
        <v/>
      </c>
      <c r="J1016" s="124">
        <f>+'Invullen groen'!AX1026</f>
        <v/>
      </c>
      <c r="K1016" s="124">
        <f>+'Invullen groen'!AY1026</f>
        <v/>
      </c>
      <c r="L1016" s="124">
        <f>+'Invullen groen'!AZ1026</f>
        <v/>
      </c>
      <c r="M1016" s="124">
        <f>+'Invullen groen'!BA1026</f>
        <v/>
      </c>
      <c r="N1016" s="124">
        <f>+'Invullen groen'!BB1026</f>
        <v/>
      </c>
      <c r="O1016" s="124">
        <f>+'Invullen groen'!BC1026</f>
        <v/>
      </c>
      <c r="P1016" s="124">
        <f>+'Invullen groen'!BD1026</f>
        <v/>
      </c>
    </row>
    <row r="1017">
      <c r="A1017" s="113">
        <f>+'Invullen groen'!A1027</f>
        <v/>
      </c>
      <c r="B1017" s="154">
        <f>+'Invullen groen'!C1027</f>
        <v/>
      </c>
      <c r="C1017" s="124">
        <f>+'Invullen groen'!G1027</f>
        <v/>
      </c>
      <c r="D1017" s="113">
        <f>+'Invullen groen'!M1027</f>
        <v/>
      </c>
      <c r="E1017" s="114">
        <f>+'Invullen groen'!H1027</f>
        <v/>
      </c>
      <c r="F1017" s="114">
        <f>+'Invullen groen'!I1027</f>
        <v/>
      </c>
      <c r="G1017" s="114">
        <f>+'Invullen groen'!J1027</f>
        <v/>
      </c>
      <c r="H1017" s="114">
        <f>+'Invullen groen'!K1027</f>
        <v/>
      </c>
      <c r="I1017" s="124">
        <f>+'Invullen groen'!AW1027</f>
        <v/>
      </c>
      <c r="J1017" s="124">
        <f>+'Invullen groen'!AX1027</f>
        <v/>
      </c>
      <c r="K1017" s="124">
        <f>+'Invullen groen'!AY1027</f>
        <v/>
      </c>
      <c r="L1017" s="124">
        <f>+'Invullen groen'!AZ1027</f>
        <v/>
      </c>
      <c r="M1017" s="124">
        <f>+'Invullen groen'!BA1027</f>
        <v/>
      </c>
      <c r="N1017" s="124">
        <f>+'Invullen groen'!BB1027</f>
        <v/>
      </c>
      <c r="O1017" s="124">
        <f>+'Invullen groen'!BC1027</f>
        <v/>
      </c>
      <c r="P1017" s="124">
        <f>+'Invullen groen'!BD1027</f>
        <v/>
      </c>
    </row>
    <row r="1018">
      <c r="A1018" s="113">
        <f>+'Invullen groen'!A1028</f>
        <v/>
      </c>
      <c r="B1018" s="154">
        <f>+'Invullen groen'!C1028</f>
        <v/>
      </c>
      <c r="C1018" s="124">
        <f>+'Invullen groen'!G1028</f>
        <v/>
      </c>
      <c r="D1018" s="113">
        <f>+'Invullen groen'!M1028</f>
        <v/>
      </c>
      <c r="E1018" s="114">
        <f>+'Invullen groen'!H1028</f>
        <v/>
      </c>
      <c r="F1018" s="114">
        <f>+'Invullen groen'!I1028</f>
        <v/>
      </c>
      <c r="G1018" s="114">
        <f>+'Invullen groen'!J1028</f>
        <v/>
      </c>
      <c r="H1018" s="114">
        <f>+'Invullen groen'!K1028</f>
        <v/>
      </c>
      <c r="I1018" s="124">
        <f>+'Invullen groen'!AW1028</f>
        <v/>
      </c>
      <c r="J1018" s="124">
        <f>+'Invullen groen'!AX1028</f>
        <v/>
      </c>
      <c r="K1018" s="124">
        <f>+'Invullen groen'!AY1028</f>
        <v/>
      </c>
      <c r="L1018" s="124">
        <f>+'Invullen groen'!AZ1028</f>
        <v/>
      </c>
      <c r="M1018" s="124">
        <f>+'Invullen groen'!BA1028</f>
        <v/>
      </c>
      <c r="N1018" s="124">
        <f>+'Invullen groen'!BB1028</f>
        <v/>
      </c>
      <c r="O1018" s="124">
        <f>+'Invullen groen'!BC1028</f>
        <v/>
      </c>
      <c r="P1018" s="124">
        <f>+'Invullen groen'!BD1028</f>
        <v/>
      </c>
    </row>
    <row r="1019">
      <c r="A1019" s="113">
        <f>+'Invullen groen'!A1029</f>
        <v/>
      </c>
      <c r="B1019" s="154">
        <f>+'Invullen groen'!C1029</f>
        <v/>
      </c>
      <c r="C1019" s="124">
        <f>+'Invullen groen'!G1029</f>
        <v/>
      </c>
      <c r="D1019" s="113">
        <f>+'Invullen groen'!M1029</f>
        <v/>
      </c>
      <c r="E1019" s="114">
        <f>+'Invullen groen'!H1029</f>
        <v/>
      </c>
      <c r="F1019" s="114">
        <f>+'Invullen groen'!I1029</f>
        <v/>
      </c>
      <c r="G1019" s="114">
        <f>+'Invullen groen'!J1029</f>
        <v/>
      </c>
      <c r="H1019" s="114">
        <f>+'Invullen groen'!K1029</f>
        <v/>
      </c>
      <c r="I1019" s="124">
        <f>+'Invullen groen'!AW1029</f>
        <v/>
      </c>
      <c r="J1019" s="124">
        <f>+'Invullen groen'!AX1029</f>
        <v/>
      </c>
      <c r="K1019" s="124">
        <f>+'Invullen groen'!AY1029</f>
        <v/>
      </c>
      <c r="L1019" s="124">
        <f>+'Invullen groen'!AZ1029</f>
        <v/>
      </c>
      <c r="M1019" s="124">
        <f>+'Invullen groen'!BA1029</f>
        <v/>
      </c>
      <c r="N1019" s="124">
        <f>+'Invullen groen'!BB1029</f>
        <v/>
      </c>
      <c r="O1019" s="124">
        <f>+'Invullen groen'!BC1029</f>
        <v/>
      </c>
      <c r="P1019" s="124">
        <f>+'Invullen groen'!BD1029</f>
        <v/>
      </c>
    </row>
    <row r="1020">
      <c r="A1020" s="113">
        <f>+'Invullen groen'!A1030</f>
        <v/>
      </c>
      <c r="B1020" s="154">
        <f>+'Invullen groen'!C1030</f>
        <v/>
      </c>
      <c r="C1020" s="124">
        <f>+'Invullen groen'!G1030</f>
        <v/>
      </c>
      <c r="D1020" s="113">
        <f>+'Invullen groen'!M1030</f>
        <v/>
      </c>
      <c r="E1020" s="114">
        <f>+'Invullen groen'!H1030</f>
        <v/>
      </c>
      <c r="F1020" s="114">
        <f>+'Invullen groen'!I1030</f>
        <v/>
      </c>
      <c r="G1020" s="114">
        <f>+'Invullen groen'!J1030</f>
        <v/>
      </c>
      <c r="H1020" s="114">
        <f>+'Invullen groen'!K1030</f>
        <v/>
      </c>
      <c r="I1020" s="124">
        <f>+'Invullen groen'!AW1030</f>
        <v/>
      </c>
      <c r="J1020" s="124">
        <f>+'Invullen groen'!AX1030</f>
        <v/>
      </c>
      <c r="K1020" s="124">
        <f>+'Invullen groen'!AY1030</f>
        <v/>
      </c>
      <c r="L1020" s="124">
        <f>+'Invullen groen'!AZ1030</f>
        <v/>
      </c>
      <c r="M1020" s="124">
        <f>+'Invullen groen'!BA1030</f>
        <v/>
      </c>
      <c r="N1020" s="124">
        <f>+'Invullen groen'!BB1030</f>
        <v/>
      </c>
      <c r="O1020" s="124">
        <f>+'Invullen groen'!BC1030</f>
        <v/>
      </c>
      <c r="P1020" s="124">
        <f>+'Invullen groen'!BD1030</f>
        <v/>
      </c>
    </row>
    <row r="1021">
      <c r="A1021" s="113">
        <f>+'Invullen groen'!A1031</f>
        <v/>
      </c>
      <c r="B1021" s="154">
        <f>+'Invullen groen'!C1031</f>
        <v/>
      </c>
      <c r="C1021" s="124">
        <f>+'Invullen groen'!G1031</f>
        <v/>
      </c>
      <c r="D1021" s="113">
        <f>+'Invullen groen'!M1031</f>
        <v/>
      </c>
      <c r="E1021" s="114">
        <f>+'Invullen groen'!H1031</f>
        <v/>
      </c>
      <c r="F1021" s="114">
        <f>+'Invullen groen'!I1031</f>
        <v/>
      </c>
      <c r="G1021" s="114">
        <f>+'Invullen groen'!J1031</f>
        <v/>
      </c>
      <c r="H1021" s="114">
        <f>+'Invullen groen'!K1031</f>
        <v/>
      </c>
      <c r="I1021" s="124">
        <f>+'Invullen groen'!AW1031</f>
        <v/>
      </c>
      <c r="J1021" s="124">
        <f>+'Invullen groen'!AX1031</f>
        <v/>
      </c>
      <c r="K1021" s="124">
        <f>+'Invullen groen'!AY1031</f>
        <v/>
      </c>
      <c r="L1021" s="124">
        <f>+'Invullen groen'!AZ1031</f>
        <v/>
      </c>
      <c r="M1021" s="124">
        <f>+'Invullen groen'!BA1031</f>
        <v/>
      </c>
      <c r="N1021" s="124">
        <f>+'Invullen groen'!BB1031</f>
        <v/>
      </c>
      <c r="O1021" s="124">
        <f>+'Invullen groen'!BC1031</f>
        <v/>
      </c>
      <c r="P1021" s="124">
        <f>+'Invullen groen'!BD1031</f>
        <v/>
      </c>
    </row>
    <row r="1022">
      <c r="A1022" s="113">
        <f>+'Invullen groen'!A1032</f>
        <v/>
      </c>
      <c r="B1022" s="154">
        <f>+'Invullen groen'!C1032</f>
        <v/>
      </c>
      <c r="C1022" s="124">
        <f>+'Invullen groen'!G1032</f>
        <v/>
      </c>
      <c r="D1022" s="113">
        <f>+'Invullen groen'!M1032</f>
        <v/>
      </c>
      <c r="E1022" s="114">
        <f>+'Invullen groen'!H1032</f>
        <v/>
      </c>
      <c r="F1022" s="114">
        <f>+'Invullen groen'!I1032</f>
        <v/>
      </c>
      <c r="G1022" s="114">
        <f>+'Invullen groen'!J1032</f>
        <v/>
      </c>
      <c r="H1022" s="114">
        <f>+'Invullen groen'!K1032</f>
        <v/>
      </c>
      <c r="I1022" s="124">
        <f>+'Invullen groen'!AW1032</f>
        <v/>
      </c>
      <c r="J1022" s="124">
        <f>+'Invullen groen'!AX1032</f>
        <v/>
      </c>
      <c r="K1022" s="124">
        <f>+'Invullen groen'!AY1032</f>
        <v/>
      </c>
      <c r="L1022" s="124">
        <f>+'Invullen groen'!AZ1032</f>
        <v/>
      </c>
      <c r="M1022" s="124">
        <f>+'Invullen groen'!BA1032</f>
        <v/>
      </c>
      <c r="N1022" s="124">
        <f>+'Invullen groen'!BB1032</f>
        <v/>
      </c>
      <c r="O1022" s="124">
        <f>+'Invullen groen'!BC1032</f>
        <v/>
      </c>
      <c r="P1022" s="124">
        <f>+'Invullen groen'!BD1032</f>
        <v/>
      </c>
    </row>
    <row r="1023">
      <c r="A1023" s="113">
        <f>+'Invullen groen'!A1033</f>
        <v/>
      </c>
      <c r="B1023" s="154">
        <f>+'Invullen groen'!C1033</f>
        <v/>
      </c>
      <c r="C1023" s="124">
        <f>+'Invullen groen'!G1033</f>
        <v/>
      </c>
      <c r="D1023" s="113">
        <f>+'Invullen groen'!M1033</f>
        <v/>
      </c>
      <c r="E1023" s="114">
        <f>+'Invullen groen'!H1033</f>
        <v/>
      </c>
      <c r="F1023" s="114">
        <f>+'Invullen groen'!I1033</f>
        <v/>
      </c>
      <c r="G1023" s="114">
        <f>+'Invullen groen'!J1033</f>
        <v/>
      </c>
      <c r="H1023" s="114">
        <f>+'Invullen groen'!K1033</f>
        <v/>
      </c>
      <c r="I1023" s="124">
        <f>+'Invullen groen'!AW1033</f>
        <v/>
      </c>
      <c r="J1023" s="124">
        <f>+'Invullen groen'!AX1033</f>
        <v/>
      </c>
      <c r="K1023" s="124">
        <f>+'Invullen groen'!AY1033</f>
        <v/>
      </c>
      <c r="L1023" s="124">
        <f>+'Invullen groen'!AZ1033</f>
        <v/>
      </c>
      <c r="M1023" s="124">
        <f>+'Invullen groen'!BA1033</f>
        <v/>
      </c>
      <c r="N1023" s="124">
        <f>+'Invullen groen'!BB1033</f>
        <v/>
      </c>
      <c r="O1023" s="124">
        <f>+'Invullen groen'!BC1033</f>
        <v/>
      </c>
      <c r="P1023" s="124">
        <f>+'Invullen groen'!BD1033</f>
        <v/>
      </c>
    </row>
    <row r="1024">
      <c r="A1024" s="113">
        <f>+'Invullen groen'!A1034</f>
        <v/>
      </c>
      <c r="B1024" s="154">
        <f>+'Invullen groen'!C1034</f>
        <v/>
      </c>
      <c r="C1024" s="124">
        <f>+'Invullen groen'!G1034</f>
        <v/>
      </c>
      <c r="D1024" s="113">
        <f>+'Invullen groen'!M1034</f>
        <v/>
      </c>
      <c r="E1024" s="114">
        <f>+'Invullen groen'!H1034</f>
        <v/>
      </c>
      <c r="F1024" s="114">
        <f>+'Invullen groen'!I1034</f>
        <v/>
      </c>
      <c r="G1024" s="114">
        <f>+'Invullen groen'!J1034</f>
        <v/>
      </c>
      <c r="H1024" s="114">
        <f>+'Invullen groen'!K1034</f>
        <v/>
      </c>
      <c r="I1024" s="124">
        <f>+'Invullen groen'!AW1034</f>
        <v/>
      </c>
      <c r="J1024" s="124">
        <f>+'Invullen groen'!AX1034</f>
        <v/>
      </c>
      <c r="K1024" s="124">
        <f>+'Invullen groen'!AY1034</f>
        <v/>
      </c>
      <c r="L1024" s="124">
        <f>+'Invullen groen'!AZ1034</f>
        <v/>
      </c>
      <c r="M1024" s="124">
        <f>+'Invullen groen'!BA1034</f>
        <v/>
      </c>
      <c r="N1024" s="124">
        <f>+'Invullen groen'!BB1034</f>
        <v/>
      </c>
      <c r="O1024" s="124">
        <f>+'Invullen groen'!BC1034</f>
        <v/>
      </c>
      <c r="P1024" s="124">
        <f>+'Invullen groen'!BD1034</f>
        <v/>
      </c>
    </row>
    <row r="1025">
      <c r="A1025" s="113">
        <f>+'Invullen groen'!A1035</f>
        <v/>
      </c>
      <c r="B1025" s="154">
        <f>+'Invullen groen'!C1035</f>
        <v/>
      </c>
      <c r="C1025" s="124">
        <f>+'Invullen groen'!G1035</f>
        <v/>
      </c>
      <c r="D1025" s="113">
        <f>+'Invullen groen'!M1035</f>
        <v/>
      </c>
      <c r="E1025" s="114">
        <f>+'Invullen groen'!H1035</f>
        <v/>
      </c>
      <c r="F1025" s="114">
        <f>+'Invullen groen'!I1035</f>
        <v/>
      </c>
      <c r="G1025" s="114">
        <f>+'Invullen groen'!J1035</f>
        <v/>
      </c>
      <c r="H1025" s="114">
        <f>+'Invullen groen'!K1035</f>
        <v/>
      </c>
      <c r="I1025" s="124">
        <f>+'Invullen groen'!AW1035</f>
        <v/>
      </c>
      <c r="J1025" s="124">
        <f>+'Invullen groen'!AX1035</f>
        <v/>
      </c>
      <c r="K1025" s="124">
        <f>+'Invullen groen'!AY1035</f>
        <v/>
      </c>
      <c r="L1025" s="124">
        <f>+'Invullen groen'!AZ1035</f>
        <v/>
      </c>
      <c r="M1025" s="124">
        <f>+'Invullen groen'!BA1035</f>
        <v/>
      </c>
      <c r="N1025" s="124">
        <f>+'Invullen groen'!BB1035</f>
        <v/>
      </c>
      <c r="O1025" s="124">
        <f>+'Invullen groen'!BC1035</f>
        <v/>
      </c>
      <c r="P1025" s="124">
        <f>+'Invullen groen'!BD1035</f>
        <v/>
      </c>
    </row>
    <row r="1026">
      <c r="A1026" s="113">
        <f>+'Invullen groen'!A1036</f>
        <v/>
      </c>
      <c r="B1026" s="154">
        <f>+'Invullen groen'!C1036</f>
        <v/>
      </c>
      <c r="C1026" s="124">
        <f>+'Invullen groen'!G1036</f>
        <v/>
      </c>
      <c r="D1026" s="113">
        <f>+'Invullen groen'!M1036</f>
        <v/>
      </c>
      <c r="E1026" s="114">
        <f>+'Invullen groen'!H1036</f>
        <v/>
      </c>
      <c r="F1026" s="114">
        <f>+'Invullen groen'!I1036</f>
        <v/>
      </c>
      <c r="G1026" s="114">
        <f>+'Invullen groen'!J1036</f>
        <v/>
      </c>
      <c r="H1026" s="114">
        <f>+'Invullen groen'!K1036</f>
        <v/>
      </c>
      <c r="I1026" s="124">
        <f>+'Invullen groen'!AW1036</f>
        <v/>
      </c>
      <c r="J1026" s="124">
        <f>+'Invullen groen'!AX1036</f>
        <v/>
      </c>
      <c r="K1026" s="124">
        <f>+'Invullen groen'!AY1036</f>
        <v/>
      </c>
      <c r="L1026" s="124">
        <f>+'Invullen groen'!AZ1036</f>
        <v/>
      </c>
      <c r="M1026" s="124">
        <f>+'Invullen groen'!BA1036</f>
        <v/>
      </c>
      <c r="N1026" s="124">
        <f>+'Invullen groen'!BB1036</f>
        <v/>
      </c>
      <c r="O1026" s="124">
        <f>+'Invullen groen'!BC1036</f>
        <v/>
      </c>
      <c r="P1026" s="124">
        <f>+'Invullen groen'!BD1036</f>
        <v/>
      </c>
    </row>
    <row r="1027">
      <c r="A1027" s="113">
        <f>+'Invullen groen'!A1037</f>
        <v/>
      </c>
      <c r="B1027" s="154">
        <f>+'Invullen groen'!C1037</f>
        <v/>
      </c>
      <c r="C1027" s="124">
        <f>+'Invullen groen'!G1037</f>
        <v/>
      </c>
      <c r="D1027" s="113">
        <f>+'Invullen groen'!M1037</f>
        <v/>
      </c>
      <c r="E1027" s="114">
        <f>+'Invullen groen'!H1037</f>
        <v/>
      </c>
      <c r="F1027" s="114">
        <f>+'Invullen groen'!I1037</f>
        <v/>
      </c>
      <c r="G1027" s="114">
        <f>+'Invullen groen'!J1037</f>
        <v/>
      </c>
      <c r="H1027" s="114">
        <f>+'Invullen groen'!K1037</f>
        <v/>
      </c>
      <c r="I1027" s="124">
        <f>+'Invullen groen'!AW1037</f>
        <v/>
      </c>
      <c r="J1027" s="124">
        <f>+'Invullen groen'!AX1037</f>
        <v/>
      </c>
      <c r="K1027" s="124">
        <f>+'Invullen groen'!AY1037</f>
        <v/>
      </c>
      <c r="L1027" s="124">
        <f>+'Invullen groen'!AZ1037</f>
        <v/>
      </c>
      <c r="M1027" s="124">
        <f>+'Invullen groen'!BA1037</f>
        <v/>
      </c>
      <c r="N1027" s="124">
        <f>+'Invullen groen'!BB1037</f>
        <v/>
      </c>
      <c r="O1027" s="124">
        <f>+'Invullen groen'!BC1037</f>
        <v/>
      </c>
      <c r="P1027" s="124">
        <f>+'Invullen groen'!BD1037</f>
        <v/>
      </c>
    </row>
    <row r="1028">
      <c r="A1028" s="113">
        <f>+'Invullen groen'!A1038</f>
        <v/>
      </c>
      <c r="B1028" s="154">
        <f>+'Invullen groen'!C1038</f>
        <v/>
      </c>
      <c r="C1028" s="124">
        <f>+'Invullen groen'!G1038</f>
        <v/>
      </c>
      <c r="D1028" s="113">
        <f>+'Invullen groen'!M1038</f>
        <v/>
      </c>
      <c r="E1028" s="114">
        <f>+'Invullen groen'!H1038</f>
        <v/>
      </c>
      <c r="F1028" s="114">
        <f>+'Invullen groen'!I1038</f>
        <v/>
      </c>
      <c r="G1028" s="114">
        <f>+'Invullen groen'!J1038</f>
        <v/>
      </c>
      <c r="H1028" s="114">
        <f>+'Invullen groen'!K1038</f>
        <v/>
      </c>
      <c r="I1028" s="124">
        <f>+'Invullen groen'!AW1038</f>
        <v/>
      </c>
      <c r="J1028" s="124">
        <f>+'Invullen groen'!AX1038</f>
        <v/>
      </c>
      <c r="K1028" s="124">
        <f>+'Invullen groen'!AY1038</f>
        <v/>
      </c>
      <c r="L1028" s="124">
        <f>+'Invullen groen'!AZ1038</f>
        <v/>
      </c>
      <c r="M1028" s="124">
        <f>+'Invullen groen'!BA1038</f>
        <v/>
      </c>
      <c r="N1028" s="124">
        <f>+'Invullen groen'!BB1038</f>
        <v/>
      </c>
      <c r="O1028" s="124">
        <f>+'Invullen groen'!BC1038</f>
        <v/>
      </c>
      <c r="P1028" s="124">
        <f>+'Invullen groen'!BD1038</f>
        <v/>
      </c>
    </row>
    <row r="1029">
      <c r="A1029" s="113">
        <f>+'Invullen groen'!A1039</f>
        <v/>
      </c>
      <c r="B1029" s="154">
        <f>+'Invullen groen'!C1039</f>
        <v/>
      </c>
      <c r="C1029" s="124">
        <f>+'Invullen groen'!G1039</f>
        <v/>
      </c>
      <c r="D1029" s="113">
        <f>+'Invullen groen'!M1039</f>
        <v/>
      </c>
      <c r="E1029" s="114">
        <f>+'Invullen groen'!H1039</f>
        <v/>
      </c>
      <c r="F1029" s="114">
        <f>+'Invullen groen'!I1039</f>
        <v/>
      </c>
      <c r="G1029" s="114">
        <f>+'Invullen groen'!J1039</f>
        <v/>
      </c>
      <c r="H1029" s="114">
        <f>+'Invullen groen'!K1039</f>
        <v/>
      </c>
      <c r="I1029" s="124">
        <f>+'Invullen groen'!AW1039</f>
        <v/>
      </c>
      <c r="J1029" s="124">
        <f>+'Invullen groen'!AX1039</f>
        <v/>
      </c>
      <c r="K1029" s="124">
        <f>+'Invullen groen'!AY1039</f>
        <v/>
      </c>
      <c r="L1029" s="124">
        <f>+'Invullen groen'!AZ1039</f>
        <v/>
      </c>
      <c r="M1029" s="124">
        <f>+'Invullen groen'!BA1039</f>
        <v/>
      </c>
      <c r="N1029" s="124">
        <f>+'Invullen groen'!BB1039</f>
        <v/>
      </c>
      <c r="O1029" s="124">
        <f>+'Invullen groen'!BC1039</f>
        <v/>
      </c>
      <c r="P1029" s="124">
        <f>+'Invullen groen'!BD1039</f>
        <v/>
      </c>
    </row>
    <row r="1030">
      <c r="A1030" s="113">
        <f>+'Invullen groen'!A1040</f>
        <v/>
      </c>
      <c r="B1030" s="154">
        <f>+'Invullen groen'!C1040</f>
        <v/>
      </c>
      <c r="C1030" s="124">
        <f>+'Invullen groen'!G1040</f>
        <v/>
      </c>
      <c r="D1030" s="113">
        <f>+'Invullen groen'!M1040</f>
        <v/>
      </c>
      <c r="E1030" s="114">
        <f>+'Invullen groen'!H1040</f>
        <v/>
      </c>
      <c r="F1030" s="114">
        <f>+'Invullen groen'!I1040</f>
        <v/>
      </c>
      <c r="G1030" s="114">
        <f>+'Invullen groen'!J1040</f>
        <v/>
      </c>
      <c r="H1030" s="114">
        <f>+'Invullen groen'!K1040</f>
        <v/>
      </c>
      <c r="I1030" s="124">
        <f>+'Invullen groen'!AW1040</f>
        <v/>
      </c>
      <c r="J1030" s="124">
        <f>+'Invullen groen'!AX1040</f>
        <v/>
      </c>
      <c r="K1030" s="124">
        <f>+'Invullen groen'!AY1040</f>
        <v/>
      </c>
      <c r="L1030" s="124">
        <f>+'Invullen groen'!AZ1040</f>
        <v/>
      </c>
      <c r="M1030" s="124">
        <f>+'Invullen groen'!BA1040</f>
        <v/>
      </c>
      <c r="N1030" s="124">
        <f>+'Invullen groen'!BB1040</f>
        <v/>
      </c>
      <c r="O1030" s="124">
        <f>+'Invullen groen'!BC1040</f>
        <v/>
      </c>
      <c r="P1030" s="124">
        <f>+'Invullen groen'!BD1040</f>
        <v/>
      </c>
    </row>
    <row r="1031">
      <c r="A1031" s="113">
        <f>+'Invullen groen'!A1041</f>
        <v/>
      </c>
      <c r="B1031" s="154">
        <f>+'Invullen groen'!C1041</f>
        <v/>
      </c>
      <c r="C1031" s="124">
        <f>+'Invullen groen'!G1041</f>
        <v/>
      </c>
      <c r="D1031" s="113">
        <f>+'Invullen groen'!M1041</f>
        <v/>
      </c>
      <c r="E1031" s="114">
        <f>+'Invullen groen'!H1041</f>
        <v/>
      </c>
      <c r="F1031" s="114">
        <f>+'Invullen groen'!I1041</f>
        <v/>
      </c>
      <c r="G1031" s="114">
        <f>+'Invullen groen'!J1041</f>
        <v/>
      </c>
      <c r="H1031" s="114">
        <f>+'Invullen groen'!K1041</f>
        <v/>
      </c>
      <c r="I1031" s="124">
        <f>+'Invullen groen'!AW1041</f>
        <v/>
      </c>
      <c r="J1031" s="124">
        <f>+'Invullen groen'!AX1041</f>
        <v/>
      </c>
      <c r="K1031" s="124">
        <f>+'Invullen groen'!AY1041</f>
        <v/>
      </c>
      <c r="L1031" s="124">
        <f>+'Invullen groen'!AZ1041</f>
        <v/>
      </c>
      <c r="M1031" s="124">
        <f>+'Invullen groen'!BA1041</f>
        <v/>
      </c>
      <c r="N1031" s="124">
        <f>+'Invullen groen'!BB1041</f>
        <v/>
      </c>
      <c r="O1031" s="124">
        <f>+'Invullen groen'!BC1041</f>
        <v/>
      </c>
      <c r="P1031" s="124">
        <f>+'Invullen groen'!BD1041</f>
        <v/>
      </c>
    </row>
    <row r="1032">
      <c r="A1032" s="113">
        <f>+'Invullen groen'!A1042</f>
        <v/>
      </c>
      <c r="B1032" s="154">
        <f>+'Invullen groen'!C1042</f>
        <v/>
      </c>
      <c r="C1032" s="124">
        <f>+'Invullen groen'!G1042</f>
        <v/>
      </c>
      <c r="D1032" s="113">
        <f>+'Invullen groen'!M1042</f>
        <v/>
      </c>
      <c r="E1032" s="114">
        <f>+'Invullen groen'!H1042</f>
        <v/>
      </c>
      <c r="F1032" s="114">
        <f>+'Invullen groen'!I1042</f>
        <v/>
      </c>
      <c r="G1032" s="114">
        <f>+'Invullen groen'!J1042</f>
        <v/>
      </c>
      <c r="H1032" s="114">
        <f>+'Invullen groen'!K1042</f>
        <v/>
      </c>
      <c r="I1032" s="124">
        <f>+'Invullen groen'!AW1042</f>
        <v/>
      </c>
      <c r="J1032" s="124">
        <f>+'Invullen groen'!AX1042</f>
        <v/>
      </c>
      <c r="K1032" s="124">
        <f>+'Invullen groen'!AY1042</f>
        <v/>
      </c>
      <c r="L1032" s="124">
        <f>+'Invullen groen'!AZ1042</f>
        <v/>
      </c>
      <c r="M1032" s="124">
        <f>+'Invullen groen'!BA1042</f>
        <v/>
      </c>
      <c r="N1032" s="124">
        <f>+'Invullen groen'!BB1042</f>
        <v/>
      </c>
      <c r="O1032" s="124">
        <f>+'Invullen groen'!BC1042</f>
        <v/>
      </c>
      <c r="P1032" s="124">
        <f>+'Invullen groen'!BD1042</f>
        <v/>
      </c>
    </row>
    <row r="1033">
      <c r="A1033" s="113">
        <f>+'Invullen groen'!A1043</f>
        <v/>
      </c>
      <c r="B1033" s="154">
        <f>+'Invullen groen'!C1043</f>
        <v/>
      </c>
      <c r="C1033" s="124">
        <f>+'Invullen groen'!G1043</f>
        <v/>
      </c>
      <c r="D1033" s="113">
        <f>+'Invullen groen'!M1043</f>
        <v/>
      </c>
      <c r="E1033" s="114">
        <f>+'Invullen groen'!H1043</f>
        <v/>
      </c>
      <c r="F1033" s="114">
        <f>+'Invullen groen'!I1043</f>
        <v/>
      </c>
      <c r="G1033" s="114">
        <f>+'Invullen groen'!J1043</f>
        <v/>
      </c>
      <c r="H1033" s="114">
        <f>+'Invullen groen'!K1043</f>
        <v/>
      </c>
      <c r="I1033" s="124">
        <f>+'Invullen groen'!AW1043</f>
        <v/>
      </c>
      <c r="J1033" s="124">
        <f>+'Invullen groen'!AX1043</f>
        <v/>
      </c>
      <c r="K1033" s="124">
        <f>+'Invullen groen'!AY1043</f>
        <v/>
      </c>
      <c r="L1033" s="124">
        <f>+'Invullen groen'!AZ1043</f>
        <v/>
      </c>
      <c r="M1033" s="124">
        <f>+'Invullen groen'!BA1043</f>
        <v/>
      </c>
      <c r="N1033" s="124">
        <f>+'Invullen groen'!BB1043</f>
        <v/>
      </c>
      <c r="O1033" s="124">
        <f>+'Invullen groen'!BC1043</f>
        <v/>
      </c>
      <c r="P1033" s="124">
        <f>+'Invullen groen'!BD1043</f>
        <v/>
      </c>
    </row>
    <row r="1034">
      <c r="A1034" s="113">
        <f>+'Invullen groen'!A1044</f>
        <v/>
      </c>
      <c r="B1034" s="154">
        <f>+'Invullen groen'!C1044</f>
        <v/>
      </c>
      <c r="C1034" s="124">
        <f>+'Invullen groen'!G1044</f>
        <v/>
      </c>
      <c r="D1034" s="113">
        <f>+'Invullen groen'!M1044</f>
        <v/>
      </c>
      <c r="E1034" s="114">
        <f>+'Invullen groen'!H1044</f>
        <v/>
      </c>
      <c r="F1034" s="114">
        <f>+'Invullen groen'!I1044</f>
        <v/>
      </c>
      <c r="G1034" s="114">
        <f>+'Invullen groen'!J1044</f>
        <v/>
      </c>
      <c r="H1034" s="114">
        <f>+'Invullen groen'!K1044</f>
        <v/>
      </c>
      <c r="I1034" s="124">
        <f>+'Invullen groen'!AW1044</f>
        <v/>
      </c>
      <c r="J1034" s="124">
        <f>+'Invullen groen'!AX1044</f>
        <v/>
      </c>
      <c r="K1034" s="124">
        <f>+'Invullen groen'!AY1044</f>
        <v/>
      </c>
      <c r="L1034" s="124">
        <f>+'Invullen groen'!AZ1044</f>
        <v/>
      </c>
      <c r="M1034" s="124">
        <f>+'Invullen groen'!BA1044</f>
        <v/>
      </c>
      <c r="N1034" s="124">
        <f>+'Invullen groen'!BB1044</f>
        <v/>
      </c>
      <c r="O1034" s="124">
        <f>+'Invullen groen'!BC1044</f>
        <v/>
      </c>
      <c r="P1034" s="124">
        <f>+'Invullen groen'!BD1044</f>
        <v/>
      </c>
    </row>
    <row r="1035">
      <c r="A1035" s="113">
        <f>+'Invullen groen'!A1045</f>
        <v/>
      </c>
      <c r="B1035" s="154">
        <f>+'Invullen groen'!C1045</f>
        <v/>
      </c>
      <c r="C1035" s="124">
        <f>+'Invullen groen'!G1045</f>
        <v/>
      </c>
      <c r="D1035" s="113">
        <f>+'Invullen groen'!M1045</f>
        <v/>
      </c>
      <c r="E1035" s="114">
        <f>+'Invullen groen'!H1045</f>
        <v/>
      </c>
      <c r="F1035" s="114">
        <f>+'Invullen groen'!I1045</f>
        <v/>
      </c>
      <c r="G1035" s="114">
        <f>+'Invullen groen'!J1045</f>
        <v/>
      </c>
      <c r="H1035" s="114">
        <f>+'Invullen groen'!K1045</f>
        <v/>
      </c>
      <c r="I1035" s="124">
        <f>+'Invullen groen'!AW1045</f>
        <v/>
      </c>
      <c r="J1035" s="124">
        <f>+'Invullen groen'!AX1045</f>
        <v/>
      </c>
      <c r="K1035" s="124">
        <f>+'Invullen groen'!AY1045</f>
        <v/>
      </c>
      <c r="L1035" s="124">
        <f>+'Invullen groen'!AZ1045</f>
        <v/>
      </c>
      <c r="M1035" s="124">
        <f>+'Invullen groen'!BA1045</f>
        <v/>
      </c>
      <c r="N1035" s="124">
        <f>+'Invullen groen'!BB1045</f>
        <v/>
      </c>
      <c r="O1035" s="124">
        <f>+'Invullen groen'!BC1045</f>
        <v/>
      </c>
      <c r="P1035" s="124">
        <f>+'Invullen groen'!BD1045</f>
        <v/>
      </c>
    </row>
    <row r="1036">
      <c r="A1036" s="113">
        <f>+'Invullen groen'!A1046</f>
        <v/>
      </c>
      <c r="B1036" s="154">
        <f>+'Invullen groen'!C1046</f>
        <v/>
      </c>
      <c r="C1036" s="124">
        <f>+'Invullen groen'!G1046</f>
        <v/>
      </c>
      <c r="D1036" s="113">
        <f>+'Invullen groen'!M1046</f>
        <v/>
      </c>
      <c r="E1036" s="114">
        <f>+'Invullen groen'!H1046</f>
        <v/>
      </c>
      <c r="F1036" s="114">
        <f>+'Invullen groen'!I1046</f>
        <v/>
      </c>
      <c r="G1036" s="114">
        <f>+'Invullen groen'!J1046</f>
        <v/>
      </c>
      <c r="H1036" s="114">
        <f>+'Invullen groen'!K1046</f>
        <v/>
      </c>
      <c r="I1036" s="124">
        <f>+'Invullen groen'!AW1046</f>
        <v/>
      </c>
      <c r="J1036" s="124">
        <f>+'Invullen groen'!AX1046</f>
        <v/>
      </c>
      <c r="K1036" s="124">
        <f>+'Invullen groen'!AY1046</f>
        <v/>
      </c>
      <c r="L1036" s="124">
        <f>+'Invullen groen'!AZ1046</f>
        <v/>
      </c>
      <c r="M1036" s="124">
        <f>+'Invullen groen'!BA1046</f>
        <v/>
      </c>
      <c r="N1036" s="124">
        <f>+'Invullen groen'!BB1046</f>
        <v/>
      </c>
      <c r="O1036" s="124">
        <f>+'Invullen groen'!BC1046</f>
        <v/>
      </c>
      <c r="P1036" s="124">
        <f>+'Invullen groen'!BD1046</f>
        <v/>
      </c>
    </row>
    <row r="1037">
      <c r="A1037" s="113">
        <f>+'Invullen groen'!A1047</f>
        <v/>
      </c>
      <c r="B1037" s="154">
        <f>+'Invullen groen'!C1047</f>
        <v/>
      </c>
      <c r="C1037" s="124">
        <f>+'Invullen groen'!G1047</f>
        <v/>
      </c>
      <c r="D1037" s="113">
        <f>+'Invullen groen'!M1047</f>
        <v/>
      </c>
      <c r="E1037" s="114">
        <f>+'Invullen groen'!H1047</f>
        <v/>
      </c>
      <c r="F1037" s="114">
        <f>+'Invullen groen'!I1047</f>
        <v/>
      </c>
      <c r="G1037" s="114">
        <f>+'Invullen groen'!J1047</f>
        <v/>
      </c>
      <c r="H1037" s="114">
        <f>+'Invullen groen'!K1047</f>
        <v/>
      </c>
      <c r="I1037" s="124">
        <f>+'Invullen groen'!AW1047</f>
        <v/>
      </c>
      <c r="J1037" s="124">
        <f>+'Invullen groen'!AX1047</f>
        <v/>
      </c>
      <c r="K1037" s="124">
        <f>+'Invullen groen'!AY1047</f>
        <v/>
      </c>
      <c r="L1037" s="124">
        <f>+'Invullen groen'!AZ1047</f>
        <v/>
      </c>
      <c r="M1037" s="124">
        <f>+'Invullen groen'!BA1047</f>
        <v/>
      </c>
      <c r="N1037" s="124">
        <f>+'Invullen groen'!BB1047</f>
        <v/>
      </c>
      <c r="O1037" s="124">
        <f>+'Invullen groen'!BC1047</f>
        <v/>
      </c>
      <c r="P1037" s="124">
        <f>+'Invullen groen'!BD1047</f>
        <v/>
      </c>
    </row>
    <row r="1038">
      <c r="A1038" s="113">
        <f>+'Invullen groen'!A1048</f>
        <v/>
      </c>
      <c r="B1038" s="154">
        <f>+'Invullen groen'!C1048</f>
        <v/>
      </c>
      <c r="C1038" s="124">
        <f>+'Invullen groen'!G1048</f>
        <v/>
      </c>
      <c r="D1038" s="113">
        <f>+'Invullen groen'!M1048</f>
        <v/>
      </c>
      <c r="E1038" s="114">
        <f>+'Invullen groen'!H1048</f>
        <v/>
      </c>
      <c r="F1038" s="114">
        <f>+'Invullen groen'!I1048</f>
        <v/>
      </c>
      <c r="G1038" s="114">
        <f>+'Invullen groen'!J1048</f>
        <v/>
      </c>
      <c r="H1038" s="114">
        <f>+'Invullen groen'!K1048</f>
        <v/>
      </c>
      <c r="I1038" s="124">
        <f>+'Invullen groen'!AW1048</f>
        <v/>
      </c>
      <c r="J1038" s="124">
        <f>+'Invullen groen'!AX1048</f>
        <v/>
      </c>
      <c r="K1038" s="124">
        <f>+'Invullen groen'!AY1048</f>
        <v/>
      </c>
      <c r="L1038" s="124">
        <f>+'Invullen groen'!AZ1048</f>
        <v/>
      </c>
      <c r="M1038" s="124">
        <f>+'Invullen groen'!BA1048</f>
        <v/>
      </c>
      <c r="N1038" s="124">
        <f>+'Invullen groen'!BB1048</f>
        <v/>
      </c>
      <c r="O1038" s="124">
        <f>+'Invullen groen'!BC1048</f>
        <v/>
      </c>
      <c r="P1038" s="124">
        <f>+'Invullen groen'!BD1048</f>
        <v/>
      </c>
    </row>
    <row r="1039">
      <c r="A1039" s="113">
        <f>+'Invullen groen'!A1049</f>
        <v/>
      </c>
      <c r="B1039" s="154">
        <f>+'Invullen groen'!C1049</f>
        <v/>
      </c>
      <c r="C1039" s="124">
        <f>+'Invullen groen'!G1049</f>
        <v/>
      </c>
      <c r="D1039" s="113">
        <f>+'Invullen groen'!M1049</f>
        <v/>
      </c>
      <c r="E1039" s="114">
        <f>+'Invullen groen'!H1049</f>
        <v/>
      </c>
      <c r="F1039" s="114">
        <f>+'Invullen groen'!I1049</f>
        <v/>
      </c>
      <c r="G1039" s="114">
        <f>+'Invullen groen'!J1049</f>
        <v/>
      </c>
      <c r="H1039" s="114">
        <f>+'Invullen groen'!K1049</f>
        <v/>
      </c>
      <c r="I1039" s="124">
        <f>+'Invullen groen'!AW1049</f>
        <v/>
      </c>
      <c r="J1039" s="124">
        <f>+'Invullen groen'!AX1049</f>
        <v/>
      </c>
      <c r="K1039" s="124">
        <f>+'Invullen groen'!AY1049</f>
        <v/>
      </c>
      <c r="L1039" s="124">
        <f>+'Invullen groen'!AZ1049</f>
        <v/>
      </c>
      <c r="M1039" s="124">
        <f>+'Invullen groen'!BA1049</f>
        <v/>
      </c>
      <c r="N1039" s="124">
        <f>+'Invullen groen'!BB1049</f>
        <v/>
      </c>
      <c r="O1039" s="124">
        <f>+'Invullen groen'!BC1049</f>
        <v/>
      </c>
      <c r="P1039" s="124">
        <f>+'Invullen groen'!BD1049</f>
        <v/>
      </c>
    </row>
    <row r="1040">
      <c r="A1040" s="113">
        <f>+'Invullen groen'!A1050</f>
        <v/>
      </c>
      <c r="B1040" s="154">
        <f>+'Invullen groen'!C1050</f>
        <v/>
      </c>
      <c r="C1040" s="124">
        <f>+'Invullen groen'!G1050</f>
        <v/>
      </c>
      <c r="D1040" s="113">
        <f>+'Invullen groen'!M1050</f>
        <v/>
      </c>
      <c r="E1040" s="114">
        <f>+'Invullen groen'!H1050</f>
        <v/>
      </c>
      <c r="F1040" s="114">
        <f>+'Invullen groen'!I1050</f>
        <v/>
      </c>
      <c r="G1040" s="114">
        <f>+'Invullen groen'!J1050</f>
        <v/>
      </c>
      <c r="H1040" s="114">
        <f>+'Invullen groen'!K1050</f>
        <v/>
      </c>
      <c r="I1040" s="124">
        <f>+'Invullen groen'!AW1050</f>
        <v/>
      </c>
      <c r="J1040" s="124">
        <f>+'Invullen groen'!AX1050</f>
        <v/>
      </c>
      <c r="K1040" s="124">
        <f>+'Invullen groen'!AY1050</f>
        <v/>
      </c>
      <c r="L1040" s="124">
        <f>+'Invullen groen'!AZ1050</f>
        <v/>
      </c>
      <c r="M1040" s="124">
        <f>+'Invullen groen'!BA1050</f>
        <v/>
      </c>
      <c r="N1040" s="124">
        <f>+'Invullen groen'!BB1050</f>
        <v/>
      </c>
      <c r="O1040" s="124">
        <f>+'Invullen groen'!BC1050</f>
        <v/>
      </c>
      <c r="P1040" s="124">
        <f>+'Invullen groen'!BD1050</f>
        <v/>
      </c>
    </row>
    <row r="1041">
      <c r="A1041" s="113">
        <f>+'Invullen groen'!A1051</f>
        <v/>
      </c>
      <c r="B1041" s="154">
        <f>+'Invullen groen'!C1051</f>
        <v/>
      </c>
      <c r="C1041" s="124">
        <f>+'Invullen groen'!G1051</f>
        <v/>
      </c>
      <c r="D1041" s="113">
        <f>+'Invullen groen'!M1051</f>
        <v/>
      </c>
      <c r="E1041" s="114">
        <f>+'Invullen groen'!H1051</f>
        <v/>
      </c>
      <c r="F1041" s="114">
        <f>+'Invullen groen'!I1051</f>
        <v/>
      </c>
      <c r="G1041" s="114">
        <f>+'Invullen groen'!J1051</f>
        <v/>
      </c>
      <c r="H1041" s="114">
        <f>+'Invullen groen'!K1051</f>
        <v/>
      </c>
      <c r="I1041" s="124">
        <f>+'Invullen groen'!AW1051</f>
        <v/>
      </c>
      <c r="J1041" s="124">
        <f>+'Invullen groen'!AX1051</f>
        <v/>
      </c>
      <c r="K1041" s="124">
        <f>+'Invullen groen'!AY1051</f>
        <v/>
      </c>
      <c r="L1041" s="124">
        <f>+'Invullen groen'!AZ1051</f>
        <v/>
      </c>
      <c r="M1041" s="124">
        <f>+'Invullen groen'!BA1051</f>
        <v/>
      </c>
      <c r="N1041" s="124">
        <f>+'Invullen groen'!BB1051</f>
        <v/>
      </c>
      <c r="O1041" s="124">
        <f>+'Invullen groen'!BC1051</f>
        <v/>
      </c>
      <c r="P1041" s="124">
        <f>+'Invullen groen'!BD1051</f>
        <v/>
      </c>
    </row>
    <row r="1042">
      <c r="A1042" s="113">
        <f>+'Invullen groen'!A1052</f>
        <v/>
      </c>
      <c r="B1042" s="154">
        <f>+'Invullen groen'!C1052</f>
        <v/>
      </c>
      <c r="C1042" s="124">
        <f>+'Invullen groen'!G1052</f>
        <v/>
      </c>
      <c r="D1042" s="113">
        <f>+'Invullen groen'!M1052</f>
        <v/>
      </c>
      <c r="E1042" s="114">
        <f>+'Invullen groen'!H1052</f>
        <v/>
      </c>
      <c r="F1042" s="114">
        <f>+'Invullen groen'!I1052</f>
        <v/>
      </c>
      <c r="G1042" s="114">
        <f>+'Invullen groen'!J1052</f>
        <v/>
      </c>
      <c r="H1042" s="114">
        <f>+'Invullen groen'!K1052</f>
        <v/>
      </c>
      <c r="I1042" s="124">
        <f>+'Invullen groen'!AW1052</f>
        <v/>
      </c>
      <c r="J1042" s="124">
        <f>+'Invullen groen'!AX1052</f>
        <v/>
      </c>
      <c r="K1042" s="124">
        <f>+'Invullen groen'!AY1052</f>
        <v/>
      </c>
      <c r="L1042" s="124">
        <f>+'Invullen groen'!AZ1052</f>
        <v/>
      </c>
      <c r="M1042" s="124">
        <f>+'Invullen groen'!BA1052</f>
        <v/>
      </c>
      <c r="N1042" s="124">
        <f>+'Invullen groen'!BB1052</f>
        <v/>
      </c>
      <c r="O1042" s="124">
        <f>+'Invullen groen'!BC1052</f>
        <v/>
      </c>
      <c r="P1042" s="124">
        <f>+'Invullen groen'!BD1052</f>
        <v/>
      </c>
    </row>
    <row r="1043">
      <c r="A1043" s="113">
        <f>+'Invullen groen'!A1053</f>
        <v/>
      </c>
      <c r="B1043" s="154">
        <f>+'Invullen groen'!C1053</f>
        <v/>
      </c>
      <c r="C1043" s="124">
        <f>+'Invullen groen'!G1053</f>
        <v/>
      </c>
      <c r="D1043" s="113">
        <f>+'Invullen groen'!M1053</f>
        <v/>
      </c>
      <c r="E1043" s="114">
        <f>+'Invullen groen'!H1053</f>
        <v/>
      </c>
      <c r="F1043" s="114">
        <f>+'Invullen groen'!I1053</f>
        <v/>
      </c>
      <c r="G1043" s="114">
        <f>+'Invullen groen'!J1053</f>
        <v/>
      </c>
      <c r="H1043" s="114">
        <f>+'Invullen groen'!K1053</f>
        <v/>
      </c>
      <c r="I1043" s="124">
        <f>+'Invullen groen'!AW1053</f>
        <v/>
      </c>
      <c r="J1043" s="124">
        <f>+'Invullen groen'!AX1053</f>
        <v/>
      </c>
      <c r="K1043" s="124">
        <f>+'Invullen groen'!AY1053</f>
        <v/>
      </c>
      <c r="L1043" s="124">
        <f>+'Invullen groen'!AZ1053</f>
        <v/>
      </c>
      <c r="M1043" s="124">
        <f>+'Invullen groen'!BA1053</f>
        <v/>
      </c>
      <c r="N1043" s="124">
        <f>+'Invullen groen'!BB1053</f>
        <v/>
      </c>
      <c r="O1043" s="124">
        <f>+'Invullen groen'!BC1053</f>
        <v/>
      </c>
      <c r="P1043" s="124">
        <f>+'Invullen groen'!BD1053</f>
        <v/>
      </c>
    </row>
    <row r="1044">
      <c r="A1044" s="113">
        <f>+'Invullen groen'!A1054</f>
        <v/>
      </c>
      <c r="B1044" s="154">
        <f>+'Invullen groen'!C1054</f>
        <v/>
      </c>
      <c r="C1044" s="124">
        <f>+'Invullen groen'!G1054</f>
        <v/>
      </c>
      <c r="D1044" s="113">
        <f>+'Invullen groen'!M1054</f>
        <v/>
      </c>
      <c r="E1044" s="114">
        <f>+'Invullen groen'!H1054</f>
        <v/>
      </c>
      <c r="F1044" s="114">
        <f>+'Invullen groen'!I1054</f>
        <v/>
      </c>
      <c r="G1044" s="114">
        <f>+'Invullen groen'!J1054</f>
        <v/>
      </c>
      <c r="H1044" s="114">
        <f>+'Invullen groen'!K1054</f>
        <v/>
      </c>
      <c r="I1044" s="124">
        <f>+'Invullen groen'!AW1054</f>
        <v/>
      </c>
      <c r="J1044" s="124">
        <f>+'Invullen groen'!AX1054</f>
        <v/>
      </c>
      <c r="K1044" s="124">
        <f>+'Invullen groen'!AY1054</f>
        <v/>
      </c>
      <c r="L1044" s="124">
        <f>+'Invullen groen'!AZ1054</f>
        <v/>
      </c>
      <c r="M1044" s="124">
        <f>+'Invullen groen'!BA1054</f>
        <v/>
      </c>
      <c r="N1044" s="124">
        <f>+'Invullen groen'!BB1054</f>
        <v/>
      </c>
      <c r="O1044" s="124">
        <f>+'Invullen groen'!BC1054</f>
        <v/>
      </c>
      <c r="P1044" s="124">
        <f>+'Invullen groen'!BD1054</f>
        <v/>
      </c>
    </row>
    <row r="1045">
      <c r="A1045" s="113">
        <f>+'Invullen groen'!A1055</f>
        <v/>
      </c>
      <c r="B1045" s="154">
        <f>+'Invullen groen'!C1055</f>
        <v/>
      </c>
      <c r="C1045" s="124">
        <f>+'Invullen groen'!G1055</f>
        <v/>
      </c>
      <c r="D1045" s="113">
        <f>+'Invullen groen'!M1055</f>
        <v/>
      </c>
      <c r="E1045" s="114">
        <f>+'Invullen groen'!H1055</f>
        <v/>
      </c>
      <c r="F1045" s="114">
        <f>+'Invullen groen'!I1055</f>
        <v/>
      </c>
      <c r="G1045" s="114">
        <f>+'Invullen groen'!J1055</f>
        <v/>
      </c>
      <c r="H1045" s="114">
        <f>+'Invullen groen'!K1055</f>
        <v/>
      </c>
      <c r="I1045" s="124">
        <f>+'Invullen groen'!AW1055</f>
        <v/>
      </c>
      <c r="J1045" s="124">
        <f>+'Invullen groen'!AX1055</f>
        <v/>
      </c>
      <c r="K1045" s="124">
        <f>+'Invullen groen'!AY1055</f>
        <v/>
      </c>
      <c r="L1045" s="124">
        <f>+'Invullen groen'!AZ1055</f>
        <v/>
      </c>
      <c r="M1045" s="124">
        <f>+'Invullen groen'!BA1055</f>
        <v/>
      </c>
      <c r="N1045" s="124">
        <f>+'Invullen groen'!BB1055</f>
        <v/>
      </c>
      <c r="O1045" s="124">
        <f>+'Invullen groen'!BC1055</f>
        <v/>
      </c>
      <c r="P1045" s="124">
        <f>+'Invullen groen'!BD1055</f>
        <v/>
      </c>
    </row>
    <row r="1046">
      <c r="A1046" s="113">
        <f>+'Invullen groen'!A1056</f>
        <v/>
      </c>
      <c r="B1046" s="154">
        <f>+'Invullen groen'!C1056</f>
        <v/>
      </c>
      <c r="C1046" s="124">
        <f>+'Invullen groen'!G1056</f>
        <v/>
      </c>
      <c r="D1046" s="113">
        <f>+'Invullen groen'!M1056</f>
        <v/>
      </c>
      <c r="E1046" s="114">
        <f>+'Invullen groen'!H1056</f>
        <v/>
      </c>
      <c r="F1046" s="114">
        <f>+'Invullen groen'!I1056</f>
        <v/>
      </c>
      <c r="G1046" s="114">
        <f>+'Invullen groen'!J1056</f>
        <v/>
      </c>
      <c r="H1046" s="114">
        <f>+'Invullen groen'!K1056</f>
        <v/>
      </c>
      <c r="I1046" s="124">
        <f>+'Invullen groen'!AW1056</f>
        <v/>
      </c>
      <c r="J1046" s="124">
        <f>+'Invullen groen'!AX1056</f>
        <v/>
      </c>
      <c r="K1046" s="124">
        <f>+'Invullen groen'!AY1056</f>
        <v/>
      </c>
      <c r="L1046" s="124">
        <f>+'Invullen groen'!AZ1056</f>
        <v/>
      </c>
      <c r="M1046" s="124">
        <f>+'Invullen groen'!BA1056</f>
        <v/>
      </c>
      <c r="N1046" s="124">
        <f>+'Invullen groen'!BB1056</f>
        <v/>
      </c>
      <c r="O1046" s="124">
        <f>+'Invullen groen'!BC1056</f>
        <v/>
      </c>
      <c r="P1046" s="124">
        <f>+'Invullen groen'!BD1056</f>
        <v/>
      </c>
    </row>
    <row r="1047">
      <c r="A1047" s="113">
        <f>+'Invullen groen'!A1057</f>
        <v/>
      </c>
      <c r="B1047" s="154">
        <f>+'Invullen groen'!C1057</f>
        <v/>
      </c>
      <c r="C1047" s="124">
        <f>+'Invullen groen'!G1057</f>
        <v/>
      </c>
      <c r="D1047" s="113">
        <f>+'Invullen groen'!M1057</f>
        <v/>
      </c>
      <c r="E1047" s="114">
        <f>+'Invullen groen'!H1057</f>
        <v/>
      </c>
      <c r="F1047" s="114">
        <f>+'Invullen groen'!I1057</f>
        <v/>
      </c>
      <c r="G1047" s="114">
        <f>+'Invullen groen'!J1057</f>
        <v/>
      </c>
      <c r="H1047" s="114">
        <f>+'Invullen groen'!K1057</f>
        <v/>
      </c>
      <c r="I1047" s="124">
        <f>+'Invullen groen'!AW1057</f>
        <v/>
      </c>
      <c r="J1047" s="124">
        <f>+'Invullen groen'!AX1057</f>
        <v/>
      </c>
      <c r="K1047" s="124">
        <f>+'Invullen groen'!AY1057</f>
        <v/>
      </c>
      <c r="L1047" s="124">
        <f>+'Invullen groen'!AZ1057</f>
        <v/>
      </c>
      <c r="M1047" s="124">
        <f>+'Invullen groen'!BA1057</f>
        <v/>
      </c>
      <c r="N1047" s="124">
        <f>+'Invullen groen'!BB1057</f>
        <v/>
      </c>
      <c r="O1047" s="124">
        <f>+'Invullen groen'!BC1057</f>
        <v/>
      </c>
      <c r="P1047" s="124">
        <f>+'Invullen groen'!BD1057</f>
        <v/>
      </c>
    </row>
    <row r="1048">
      <c r="A1048" s="113">
        <f>+'Invullen groen'!A1058</f>
        <v/>
      </c>
      <c r="B1048" s="154">
        <f>+'Invullen groen'!C1058</f>
        <v/>
      </c>
      <c r="C1048" s="124">
        <f>+'Invullen groen'!G1058</f>
        <v/>
      </c>
      <c r="D1048" s="113">
        <f>+'Invullen groen'!M1058</f>
        <v/>
      </c>
      <c r="E1048" s="114">
        <f>+'Invullen groen'!H1058</f>
        <v/>
      </c>
      <c r="F1048" s="114">
        <f>+'Invullen groen'!I1058</f>
        <v/>
      </c>
      <c r="G1048" s="114">
        <f>+'Invullen groen'!J1058</f>
        <v/>
      </c>
      <c r="H1048" s="114">
        <f>+'Invullen groen'!K1058</f>
        <v/>
      </c>
      <c r="I1048" s="124">
        <f>+'Invullen groen'!AW1058</f>
        <v/>
      </c>
      <c r="J1048" s="124">
        <f>+'Invullen groen'!AX1058</f>
        <v/>
      </c>
      <c r="K1048" s="124">
        <f>+'Invullen groen'!AY1058</f>
        <v/>
      </c>
      <c r="L1048" s="124">
        <f>+'Invullen groen'!AZ1058</f>
        <v/>
      </c>
      <c r="M1048" s="124">
        <f>+'Invullen groen'!BA1058</f>
        <v/>
      </c>
      <c r="N1048" s="124">
        <f>+'Invullen groen'!BB1058</f>
        <v/>
      </c>
      <c r="O1048" s="124">
        <f>+'Invullen groen'!BC1058</f>
        <v/>
      </c>
      <c r="P1048" s="124">
        <f>+'Invullen groen'!BD1058</f>
        <v/>
      </c>
    </row>
    <row r="1049">
      <c r="A1049" s="113">
        <f>+'Invullen groen'!A1059</f>
        <v/>
      </c>
      <c r="B1049" s="154">
        <f>+'Invullen groen'!C1059</f>
        <v/>
      </c>
      <c r="C1049" s="124">
        <f>+'Invullen groen'!G1059</f>
        <v/>
      </c>
      <c r="D1049" s="113">
        <f>+'Invullen groen'!M1059</f>
        <v/>
      </c>
      <c r="E1049" s="114">
        <f>+'Invullen groen'!H1059</f>
        <v/>
      </c>
      <c r="F1049" s="114">
        <f>+'Invullen groen'!I1059</f>
        <v/>
      </c>
      <c r="G1049" s="114">
        <f>+'Invullen groen'!J1059</f>
        <v/>
      </c>
      <c r="H1049" s="114">
        <f>+'Invullen groen'!K1059</f>
        <v/>
      </c>
      <c r="I1049" s="124">
        <f>+'Invullen groen'!AW1059</f>
        <v/>
      </c>
      <c r="J1049" s="124">
        <f>+'Invullen groen'!AX1059</f>
        <v/>
      </c>
      <c r="K1049" s="124">
        <f>+'Invullen groen'!AY1059</f>
        <v/>
      </c>
      <c r="L1049" s="124">
        <f>+'Invullen groen'!AZ1059</f>
        <v/>
      </c>
      <c r="M1049" s="124">
        <f>+'Invullen groen'!BA1059</f>
        <v/>
      </c>
      <c r="N1049" s="124">
        <f>+'Invullen groen'!BB1059</f>
        <v/>
      </c>
      <c r="O1049" s="124">
        <f>+'Invullen groen'!BC1059</f>
        <v/>
      </c>
      <c r="P1049" s="124">
        <f>+'Invullen groen'!BD1059</f>
        <v/>
      </c>
    </row>
    <row r="1050">
      <c r="A1050" s="113">
        <f>+'Invullen groen'!A1060</f>
        <v/>
      </c>
      <c r="B1050" s="154">
        <f>+'Invullen groen'!C1060</f>
        <v/>
      </c>
      <c r="C1050" s="124">
        <f>+'Invullen groen'!G1060</f>
        <v/>
      </c>
      <c r="D1050" s="113">
        <f>+'Invullen groen'!M1060</f>
        <v/>
      </c>
      <c r="E1050" s="114">
        <f>+'Invullen groen'!H1060</f>
        <v/>
      </c>
      <c r="F1050" s="114">
        <f>+'Invullen groen'!I1060</f>
        <v/>
      </c>
      <c r="G1050" s="114">
        <f>+'Invullen groen'!J1060</f>
        <v/>
      </c>
      <c r="H1050" s="114">
        <f>+'Invullen groen'!K1060</f>
        <v/>
      </c>
      <c r="I1050" s="124">
        <f>+'Invullen groen'!AW1060</f>
        <v/>
      </c>
      <c r="J1050" s="124">
        <f>+'Invullen groen'!AX1060</f>
        <v/>
      </c>
      <c r="K1050" s="124">
        <f>+'Invullen groen'!AY1060</f>
        <v/>
      </c>
      <c r="L1050" s="124">
        <f>+'Invullen groen'!AZ1060</f>
        <v/>
      </c>
      <c r="M1050" s="124">
        <f>+'Invullen groen'!BA1060</f>
        <v/>
      </c>
      <c r="N1050" s="124">
        <f>+'Invullen groen'!BB1060</f>
        <v/>
      </c>
      <c r="O1050" s="124">
        <f>+'Invullen groen'!BC1060</f>
        <v/>
      </c>
      <c r="P1050" s="124">
        <f>+'Invullen groen'!BD1060</f>
        <v/>
      </c>
    </row>
    <row r="1051">
      <c r="A1051" s="113">
        <f>+'Invullen groen'!A1061</f>
        <v/>
      </c>
      <c r="B1051" s="154">
        <f>+'Invullen groen'!C1061</f>
        <v/>
      </c>
      <c r="C1051" s="124">
        <f>+'Invullen groen'!G1061</f>
        <v/>
      </c>
      <c r="D1051" s="113">
        <f>+'Invullen groen'!M1061</f>
        <v/>
      </c>
      <c r="E1051" s="114">
        <f>+'Invullen groen'!H1061</f>
        <v/>
      </c>
      <c r="F1051" s="114">
        <f>+'Invullen groen'!I1061</f>
        <v/>
      </c>
      <c r="G1051" s="114">
        <f>+'Invullen groen'!J1061</f>
        <v/>
      </c>
      <c r="H1051" s="114">
        <f>+'Invullen groen'!K1061</f>
        <v/>
      </c>
      <c r="I1051" s="124">
        <f>+'Invullen groen'!AW1061</f>
        <v/>
      </c>
      <c r="J1051" s="124">
        <f>+'Invullen groen'!AX1061</f>
        <v/>
      </c>
      <c r="K1051" s="124">
        <f>+'Invullen groen'!AY1061</f>
        <v/>
      </c>
      <c r="L1051" s="124">
        <f>+'Invullen groen'!AZ1061</f>
        <v/>
      </c>
      <c r="M1051" s="124">
        <f>+'Invullen groen'!BA1061</f>
        <v/>
      </c>
      <c r="N1051" s="124">
        <f>+'Invullen groen'!BB1061</f>
        <v/>
      </c>
      <c r="O1051" s="124">
        <f>+'Invullen groen'!BC1061</f>
        <v/>
      </c>
      <c r="P1051" s="124">
        <f>+'Invullen groen'!BD1061</f>
        <v/>
      </c>
    </row>
    <row r="1052">
      <c r="A1052" s="113">
        <f>+'Invullen groen'!A1062</f>
        <v/>
      </c>
      <c r="B1052" s="154">
        <f>+'Invullen groen'!C1062</f>
        <v/>
      </c>
      <c r="C1052" s="124">
        <f>+'Invullen groen'!G1062</f>
        <v/>
      </c>
      <c r="D1052" s="113">
        <f>+'Invullen groen'!M1062</f>
        <v/>
      </c>
      <c r="E1052" s="114">
        <f>+'Invullen groen'!H1062</f>
        <v/>
      </c>
      <c r="F1052" s="114">
        <f>+'Invullen groen'!I1062</f>
        <v/>
      </c>
      <c r="G1052" s="114">
        <f>+'Invullen groen'!J1062</f>
        <v/>
      </c>
      <c r="H1052" s="114">
        <f>+'Invullen groen'!K1062</f>
        <v/>
      </c>
      <c r="I1052" s="124">
        <f>+'Invullen groen'!AW1062</f>
        <v/>
      </c>
      <c r="J1052" s="124">
        <f>+'Invullen groen'!AX1062</f>
        <v/>
      </c>
      <c r="K1052" s="124">
        <f>+'Invullen groen'!AY1062</f>
        <v/>
      </c>
      <c r="L1052" s="124">
        <f>+'Invullen groen'!AZ1062</f>
        <v/>
      </c>
      <c r="M1052" s="124">
        <f>+'Invullen groen'!BA1062</f>
        <v/>
      </c>
      <c r="N1052" s="124">
        <f>+'Invullen groen'!BB1062</f>
        <v/>
      </c>
      <c r="O1052" s="124">
        <f>+'Invullen groen'!BC1062</f>
        <v/>
      </c>
      <c r="P1052" s="124">
        <f>+'Invullen groen'!BD1062</f>
        <v/>
      </c>
    </row>
    <row r="1053">
      <c r="A1053" s="113">
        <f>+'Invullen groen'!A1063</f>
        <v/>
      </c>
      <c r="B1053" s="154">
        <f>+'Invullen groen'!C1063</f>
        <v/>
      </c>
      <c r="C1053" s="124">
        <f>+'Invullen groen'!G1063</f>
        <v/>
      </c>
      <c r="D1053" s="113">
        <f>+'Invullen groen'!M1063</f>
        <v/>
      </c>
      <c r="E1053" s="114">
        <f>+'Invullen groen'!H1063</f>
        <v/>
      </c>
      <c r="F1053" s="114">
        <f>+'Invullen groen'!I1063</f>
        <v/>
      </c>
      <c r="G1053" s="114">
        <f>+'Invullen groen'!J1063</f>
        <v/>
      </c>
      <c r="H1053" s="114">
        <f>+'Invullen groen'!K1063</f>
        <v/>
      </c>
      <c r="I1053" s="124">
        <f>+'Invullen groen'!AW1063</f>
        <v/>
      </c>
      <c r="J1053" s="124">
        <f>+'Invullen groen'!AX1063</f>
        <v/>
      </c>
      <c r="K1053" s="124">
        <f>+'Invullen groen'!AY1063</f>
        <v/>
      </c>
      <c r="L1053" s="124">
        <f>+'Invullen groen'!AZ1063</f>
        <v/>
      </c>
      <c r="M1053" s="124">
        <f>+'Invullen groen'!BA1063</f>
        <v/>
      </c>
      <c r="N1053" s="124">
        <f>+'Invullen groen'!BB1063</f>
        <v/>
      </c>
      <c r="O1053" s="124">
        <f>+'Invullen groen'!BC1063</f>
        <v/>
      </c>
      <c r="P1053" s="124">
        <f>+'Invullen groen'!BD1063</f>
        <v/>
      </c>
    </row>
    <row r="1054">
      <c r="A1054" s="113">
        <f>+'Invullen groen'!A1064</f>
        <v/>
      </c>
      <c r="B1054" s="154">
        <f>+'Invullen groen'!C1064</f>
        <v/>
      </c>
      <c r="C1054" s="124">
        <f>+'Invullen groen'!G1064</f>
        <v/>
      </c>
      <c r="D1054" s="113">
        <f>+'Invullen groen'!M1064</f>
        <v/>
      </c>
      <c r="E1054" s="114">
        <f>+'Invullen groen'!H1064</f>
        <v/>
      </c>
      <c r="F1054" s="114">
        <f>+'Invullen groen'!I1064</f>
        <v/>
      </c>
      <c r="G1054" s="114">
        <f>+'Invullen groen'!J1064</f>
        <v/>
      </c>
      <c r="H1054" s="114">
        <f>+'Invullen groen'!K1064</f>
        <v/>
      </c>
      <c r="I1054" s="124">
        <f>+'Invullen groen'!AW1064</f>
        <v/>
      </c>
      <c r="J1054" s="124">
        <f>+'Invullen groen'!AX1064</f>
        <v/>
      </c>
      <c r="K1054" s="124">
        <f>+'Invullen groen'!AY1064</f>
        <v/>
      </c>
      <c r="L1054" s="124">
        <f>+'Invullen groen'!AZ1064</f>
        <v/>
      </c>
      <c r="M1054" s="124">
        <f>+'Invullen groen'!BA1064</f>
        <v/>
      </c>
      <c r="N1054" s="124">
        <f>+'Invullen groen'!BB1064</f>
        <v/>
      </c>
      <c r="O1054" s="124">
        <f>+'Invullen groen'!BC1064</f>
        <v/>
      </c>
      <c r="P1054" s="124">
        <f>+'Invullen groen'!BD1064</f>
        <v/>
      </c>
    </row>
    <row r="1055">
      <c r="A1055" s="113">
        <f>+'Invullen groen'!A1065</f>
        <v/>
      </c>
      <c r="B1055" s="154">
        <f>+'Invullen groen'!C1065</f>
        <v/>
      </c>
      <c r="C1055" s="124">
        <f>+'Invullen groen'!G1065</f>
        <v/>
      </c>
      <c r="D1055" s="113">
        <f>+'Invullen groen'!M1065</f>
        <v/>
      </c>
      <c r="E1055" s="114">
        <f>+'Invullen groen'!H1065</f>
        <v/>
      </c>
      <c r="F1055" s="114">
        <f>+'Invullen groen'!I1065</f>
        <v/>
      </c>
      <c r="G1055" s="114">
        <f>+'Invullen groen'!J1065</f>
        <v/>
      </c>
      <c r="H1055" s="114">
        <f>+'Invullen groen'!K1065</f>
        <v/>
      </c>
      <c r="I1055" s="124">
        <f>+'Invullen groen'!AW1065</f>
        <v/>
      </c>
      <c r="J1055" s="124">
        <f>+'Invullen groen'!AX1065</f>
        <v/>
      </c>
      <c r="K1055" s="124">
        <f>+'Invullen groen'!AY1065</f>
        <v/>
      </c>
      <c r="L1055" s="124">
        <f>+'Invullen groen'!AZ1065</f>
        <v/>
      </c>
      <c r="M1055" s="124">
        <f>+'Invullen groen'!BA1065</f>
        <v/>
      </c>
      <c r="N1055" s="124">
        <f>+'Invullen groen'!BB1065</f>
        <v/>
      </c>
      <c r="O1055" s="124">
        <f>+'Invullen groen'!BC1065</f>
        <v/>
      </c>
      <c r="P1055" s="124">
        <f>+'Invullen groen'!BD1065</f>
        <v/>
      </c>
    </row>
    <row r="1056">
      <c r="A1056" s="113">
        <f>+'Invullen groen'!A1066</f>
        <v/>
      </c>
      <c r="B1056" s="154">
        <f>+'Invullen groen'!C1066</f>
        <v/>
      </c>
      <c r="C1056" s="124">
        <f>+'Invullen groen'!G1066</f>
        <v/>
      </c>
      <c r="D1056" s="113">
        <f>+'Invullen groen'!M1066</f>
        <v/>
      </c>
      <c r="E1056" s="114">
        <f>+'Invullen groen'!H1066</f>
        <v/>
      </c>
      <c r="F1056" s="114">
        <f>+'Invullen groen'!I1066</f>
        <v/>
      </c>
      <c r="G1056" s="114">
        <f>+'Invullen groen'!J1066</f>
        <v/>
      </c>
      <c r="H1056" s="114">
        <f>+'Invullen groen'!K1066</f>
        <v/>
      </c>
      <c r="I1056" s="124">
        <f>+'Invullen groen'!AW1066</f>
        <v/>
      </c>
      <c r="J1056" s="124">
        <f>+'Invullen groen'!AX1066</f>
        <v/>
      </c>
      <c r="K1056" s="124">
        <f>+'Invullen groen'!AY1066</f>
        <v/>
      </c>
      <c r="L1056" s="124">
        <f>+'Invullen groen'!AZ1066</f>
        <v/>
      </c>
      <c r="M1056" s="124">
        <f>+'Invullen groen'!BA1066</f>
        <v/>
      </c>
      <c r="N1056" s="124">
        <f>+'Invullen groen'!BB1066</f>
        <v/>
      </c>
      <c r="O1056" s="124">
        <f>+'Invullen groen'!BC1066</f>
        <v/>
      </c>
      <c r="P1056" s="124">
        <f>+'Invullen groen'!BD1066</f>
        <v/>
      </c>
    </row>
    <row r="1057">
      <c r="A1057" s="113">
        <f>+'Invullen groen'!A1067</f>
        <v/>
      </c>
      <c r="B1057" s="154">
        <f>+'Invullen groen'!C1067</f>
        <v/>
      </c>
      <c r="C1057" s="124">
        <f>+'Invullen groen'!G1067</f>
        <v/>
      </c>
      <c r="D1057" s="113">
        <f>+'Invullen groen'!M1067</f>
        <v/>
      </c>
      <c r="E1057" s="114">
        <f>+'Invullen groen'!H1067</f>
        <v/>
      </c>
      <c r="F1057" s="114">
        <f>+'Invullen groen'!I1067</f>
        <v/>
      </c>
      <c r="G1057" s="114">
        <f>+'Invullen groen'!J1067</f>
        <v/>
      </c>
      <c r="H1057" s="114">
        <f>+'Invullen groen'!K1067</f>
        <v/>
      </c>
      <c r="I1057" s="124">
        <f>+'Invullen groen'!AW1067</f>
        <v/>
      </c>
      <c r="J1057" s="124">
        <f>+'Invullen groen'!AX1067</f>
        <v/>
      </c>
      <c r="K1057" s="124">
        <f>+'Invullen groen'!AY1067</f>
        <v/>
      </c>
      <c r="L1057" s="124">
        <f>+'Invullen groen'!AZ1067</f>
        <v/>
      </c>
      <c r="M1057" s="124">
        <f>+'Invullen groen'!BA1067</f>
        <v/>
      </c>
      <c r="N1057" s="124">
        <f>+'Invullen groen'!BB1067</f>
        <v/>
      </c>
      <c r="O1057" s="124">
        <f>+'Invullen groen'!BC1067</f>
        <v/>
      </c>
      <c r="P1057" s="124">
        <f>+'Invullen groen'!BD1067</f>
        <v/>
      </c>
    </row>
    <row r="1058">
      <c r="A1058" s="113">
        <f>+'Invullen groen'!A1068</f>
        <v/>
      </c>
      <c r="B1058" s="154">
        <f>+'Invullen groen'!C1068</f>
        <v/>
      </c>
      <c r="C1058" s="124">
        <f>+'Invullen groen'!G1068</f>
        <v/>
      </c>
      <c r="D1058" s="113">
        <f>+'Invullen groen'!M1068</f>
        <v/>
      </c>
      <c r="E1058" s="114">
        <f>+'Invullen groen'!H1068</f>
        <v/>
      </c>
      <c r="F1058" s="114">
        <f>+'Invullen groen'!I1068</f>
        <v/>
      </c>
      <c r="G1058" s="114">
        <f>+'Invullen groen'!J1068</f>
        <v/>
      </c>
      <c r="H1058" s="114">
        <f>+'Invullen groen'!K1068</f>
        <v/>
      </c>
      <c r="I1058" s="124">
        <f>+'Invullen groen'!AW1068</f>
        <v/>
      </c>
      <c r="J1058" s="124">
        <f>+'Invullen groen'!AX1068</f>
        <v/>
      </c>
      <c r="K1058" s="124">
        <f>+'Invullen groen'!AY1068</f>
        <v/>
      </c>
      <c r="L1058" s="124">
        <f>+'Invullen groen'!AZ1068</f>
        <v/>
      </c>
      <c r="M1058" s="124">
        <f>+'Invullen groen'!BA1068</f>
        <v/>
      </c>
      <c r="N1058" s="124">
        <f>+'Invullen groen'!BB1068</f>
        <v/>
      </c>
      <c r="O1058" s="124">
        <f>+'Invullen groen'!BC1068</f>
        <v/>
      </c>
      <c r="P1058" s="124">
        <f>+'Invullen groen'!BD1068</f>
        <v/>
      </c>
    </row>
    <row r="1059">
      <c r="A1059" s="113">
        <f>+'Invullen groen'!A1069</f>
        <v/>
      </c>
      <c r="B1059" s="154">
        <f>+'Invullen groen'!C1069</f>
        <v/>
      </c>
      <c r="C1059" s="124">
        <f>+'Invullen groen'!G1069</f>
        <v/>
      </c>
      <c r="D1059" s="113">
        <f>+'Invullen groen'!M1069</f>
        <v/>
      </c>
      <c r="E1059" s="114">
        <f>+'Invullen groen'!H1069</f>
        <v/>
      </c>
      <c r="F1059" s="114">
        <f>+'Invullen groen'!I1069</f>
        <v/>
      </c>
      <c r="G1059" s="114">
        <f>+'Invullen groen'!J1069</f>
        <v/>
      </c>
      <c r="H1059" s="114">
        <f>+'Invullen groen'!K1069</f>
        <v/>
      </c>
      <c r="I1059" s="124">
        <f>+'Invullen groen'!AW1069</f>
        <v/>
      </c>
      <c r="J1059" s="124">
        <f>+'Invullen groen'!AX1069</f>
        <v/>
      </c>
      <c r="K1059" s="124">
        <f>+'Invullen groen'!AY1069</f>
        <v/>
      </c>
      <c r="L1059" s="124">
        <f>+'Invullen groen'!AZ1069</f>
        <v/>
      </c>
      <c r="M1059" s="124">
        <f>+'Invullen groen'!BA1069</f>
        <v/>
      </c>
      <c r="N1059" s="124">
        <f>+'Invullen groen'!BB1069</f>
        <v/>
      </c>
      <c r="O1059" s="124">
        <f>+'Invullen groen'!BC1069</f>
        <v/>
      </c>
      <c r="P1059" s="124">
        <f>+'Invullen groen'!BD1069</f>
        <v/>
      </c>
    </row>
    <row r="1060">
      <c r="A1060" s="113">
        <f>+'Invullen groen'!A1070</f>
        <v/>
      </c>
      <c r="B1060" s="154">
        <f>+'Invullen groen'!C1070</f>
        <v/>
      </c>
      <c r="C1060" s="124">
        <f>+'Invullen groen'!G1070</f>
        <v/>
      </c>
      <c r="D1060" s="113">
        <f>+'Invullen groen'!M1070</f>
        <v/>
      </c>
      <c r="E1060" s="114">
        <f>+'Invullen groen'!H1070</f>
        <v/>
      </c>
      <c r="F1060" s="114">
        <f>+'Invullen groen'!I1070</f>
        <v/>
      </c>
      <c r="G1060" s="114">
        <f>+'Invullen groen'!J1070</f>
        <v/>
      </c>
      <c r="H1060" s="114">
        <f>+'Invullen groen'!K1070</f>
        <v/>
      </c>
      <c r="I1060" s="124">
        <f>+'Invullen groen'!AW1070</f>
        <v/>
      </c>
      <c r="J1060" s="124">
        <f>+'Invullen groen'!AX1070</f>
        <v/>
      </c>
      <c r="K1060" s="124">
        <f>+'Invullen groen'!AY1070</f>
        <v/>
      </c>
      <c r="L1060" s="124">
        <f>+'Invullen groen'!AZ1070</f>
        <v/>
      </c>
      <c r="M1060" s="124">
        <f>+'Invullen groen'!BA1070</f>
        <v/>
      </c>
      <c r="N1060" s="124">
        <f>+'Invullen groen'!BB1070</f>
        <v/>
      </c>
      <c r="O1060" s="124">
        <f>+'Invullen groen'!BC1070</f>
        <v/>
      </c>
      <c r="P1060" s="124">
        <f>+'Invullen groen'!BD1070</f>
        <v/>
      </c>
    </row>
    <row r="1061">
      <c r="A1061" s="113">
        <f>+'Invullen groen'!A1071</f>
        <v/>
      </c>
      <c r="B1061" s="154">
        <f>+'Invullen groen'!C1071</f>
        <v/>
      </c>
      <c r="C1061" s="124">
        <f>+'Invullen groen'!G1071</f>
        <v/>
      </c>
      <c r="D1061" s="113">
        <f>+'Invullen groen'!M1071</f>
        <v/>
      </c>
      <c r="E1061" s="114">
        <f>+'Invullen groen'!H1071</f>
        <v/>
      </c>
      <c r="F1061" s="114">
        <f>+'Invullen groen'!I1071</f>
        <v/>
      </c>
      <c r="G1061" s="114">
        <f>+'Invullen groen'!J1071</f>
        <v/>
      </c>
      <c r="H1061" s="114">
        <f>+'Invullen groen'!K1071</f>
        <v/>
      </c>
      <c r="I1061" s="124">
        <f>+'Invullen groen'!AW1071</f>
        <v/>
      </c>
      <c r="J1061" s="124">
        <f>+'Invullen groen'!AX1071</f>
        <v/>
      </c>
      <c r="K1061" s="124">
        <f>+'Invullen groen'!AY1071</f>
        <v/>
      </c>
      <c r="L1061" s="124">
        <f>+'Invullen groen'!AZ1071</f>
        <v/>
      </c>
      <c r="M1061" s="124">
        <f>+'Invullen groen'!BA1071</f>
        <v/>
      </c>
      <c r="N1061" s="124">
        <f>+'Invullen groen'!BB1071</f>
        <v/>
      </c>
      <c r="O1061" s="124">
        <f>+'Invullen groen'!BC1071</f>
        <v/>
      </c>
      <c r="P1061" s="124">
        <f>+'Invullen groen'!BD1071</f>
        <v/>
      </c>
    </row>
    <row r="1062">
      <c r="A1062" s="113">
        <f>+'Invullen groen'!A1072</f>
        <v/>
      </c>
      <c r="B1062" s="154">
        <f>+'Invullen groen'!C1072</f>
        <v/>
      </c>
      <c r="C1062" s="124">
        <f>+'Invullen groen'!G1072</f>
        <v/>
      </c>
      <c r="D1062" s="113">
        <f>+'Invullen groen'!M1072</f>
        <v/>
      </c>
      <c r="E1062" s="114">
        <f>+'Invullen groen'!H1072</f>
        <v/>
      </c>
      <c r="F1062" s="114">
        <f>+'Invullen groen'!I1072</f>
        <v/>
      </c>
      <c r="G1062" s="114">
        <f>+'Invullen groen'!J1072</f>
        <v/>
      </c>
      <c r="H1062" s="114">
        <f>+'Invullen groen'!K1072</f>
        <v/>
      </c>
      <c r="I1062" s="124">
        <f>+'Invullen groen'!AW1072</f>
        <v/>
      </c>
      <c r="J1062" s="124">
        <f>+'Invullen groen'!AX1072</f>
        <v/>
      </c>
      <c r="K1062" s="124">
        <f>+'Invullen groen'!AY1072</f>
        <v/>
      </c>
      <c r="L1062" s="124">
        <f>+'Invullen groen'!AZ1072</f>
        <v/>
      </c>
      <c r="M1062" s="124">
        <f>+'Invullen groen'!BA1072</f>
        <v/>
      </c>
      <c r="N1062" s="124">
        <f>+'Invullen groen'!BB1072</f>
        <v/>
      </c>
      <c r="O1062" s="124">
        <f>+'Invullen groen'!BC1072</f>
        <v/>
      </c>
      <c r="P1062" s="124">
        <f>+'Invullen groen'!BD1072</f>
        <v/>
      </c>
    </row>
    <row r="1063">
      <c r="A1063" s="113">
        <f>+'Invullen groen'!A1073</f>
        <v/>
      </c>
      <c r="B1063" s="154">
        <f>+'Invullen groen'!C1073</f>
        <v/>
      </c>
      <c r="C1063" s="124">
        <f>+'Invullen groen'!G1073</f>
        <v/>
      </c>
      <c r="D1063" s="113">
        <f>+'Invullen groen'!M1073</f>
        <v/>
      </c>
      <c r="E1063" s="114">
        <f>+'Invullen groen'!H1073</f>
        <v/>
      </c>
      <c r="F1063" s="114">
        <f>+'Invullen groen'!I1073</f>
        <v/>
      </c>
      <c r="G1063" s="114">
        <f>+'Invullen groen'!J1073</f>
        <v/>
      </c>
      <c r="H1063" s="114">
        <f>+'Invullen groen'!K1073</f>
        <v/>
      </c>
      <c r="I1063" s="124">
        <f>+'Invullen groen'!AW1073</f>
        <v/>
      </c>
      <c r="J1063" s="124">
        <f>+'Invullen groen'!AX1073</f>
        <v/>
      </c>
      <c r="K1063" s="124">
        <f>+'Invullen groen'!AY1073</f>
        <v/>
      </c>
      <c r="L1063" s="124">
        <f>+'Invullen groen'!AZ1073</f>
        <v/>
      </c>
      <c r="M1063" s="124">
        <f>+'Invullen groen'!BA1073</f>
        <v/>
      </c>
      <c r="N1063" s="124">
        <f>+'Invullen groen'!BB1073</f>
        <v/>
      </c>
      <c r="O1063" s="124">
        <f>+'Invullen groen'!BC1073</f>
        <v/>
      </c>
      <c r="P1063" s="124">
        <f>+'Invullen groen'!BD1073</f>
        <v/>
      </c>
    </row>
    <row r="1064">
      <c r="A1064" s="113">
        <f>+'Invullen groen'!A1074</f>
        <v/>
      </c>
      <c r="B1064" s="154">
        <f>+'Invullen groen'!C1074</f>
        <v/>
      </c>
      <c r="C1064" s="124">
        <f>+'Invullen groen'!G1074</f>
        <v/>
      </c>
      <c r="D1064" s="113">
        <f>+'Invullen groen'!M1074</f>
        <v/>
      </c>
      <c r="E1064" s="114">
        <f>+'Invullen groen'!H1074</f>
        <v/>
      </c>
      <c r="F1064" s="114">
        <f>+'Invullen groen'!I1074</f>
        <v/>
      </c>
      <c r="G1064" s="114">
        <f>+'Invullen groen'!J1074</f>
        <v/>
      </c>
      <c r="H1064" s="114">
        <f>+'Invullen groen'!K1074</f>
        <v/>
      </c>
      <c r="I1064" s="124">
        <f>+'Invullen groen'!AW1074</f>
        <v/>
      </c>
      <c r="J1064" s="124">
        <f>+'Invullen groen'!AX1074</f>
        <v/>
      </c>
      <c r="K1064" s="124">
        <f>+'Invullen groen'!AY1074</f>
        <v/>
      </c>
      <c r="L1064" s="124">
        <f>+'Invullen groen'!AZ1074</f>
        <v/>
      </c>
      <c r="M1064" s="124">
        <f>+'Invullen groen'!BA1074</f>
        <v/>
      </c>
      <c r="N1064" s="124">
        <f>+'Invullen groen'!BB1074</f>
        <v/>
      </c>
      <c r="O1064" s="124">
        <f>+'Invullen groen'!BC1074</f>
        <v/>
      </c>
      <c r="P1064" s="124">
        <f>+'Invullen groen'!BD1074</f>
        <v/>
      </c>
    </row>
    <row r="1065">
      <c r="A1065" s="113">
        <f>+'Invullen groen'!A1075</f>
        <v/>
      </c>
      <c r="B1065" s="154">
        <f>+'Invullen groen'!C1075</f>
        <v/>
      </c>
      <c r="C1065" s="124">
        <f>+'Invullen groen'!G1075</f>
        <v/>
      </c>
      <c r="D1065" s="113">
        <f>+'Invullen groen'!M1075</f>
        <v/>
      </c>
      <c r="E1065" s="114">
        <f>+'Invullen groen'!H1075</f>
        <v/>
      </c>
      <c r="F1065" s="114">
        <f>+'Invullen groen'!I1075</f>
        <v/>
      </c>
      <c r="G1065" s="114">
        <f>+'Invullen groen'!J1075</f>
        <v/>
      </c>
      <c r="H1065" s="114">
        <f>+'Invullen groen'!K1075</f>
        <v/>
      </c>
      <c r="I1065" s="124">
        <f>+'Invullen groen'!AW1075</f>
        <v/>
      </c>
      <c r="J1065" s="124">
        <f>+'Invullen groen'!AX1075</f>
        <v/>
      </c>
      <c r="K1065" s="124">
        <f>+'Invullen groen'!AY1075</f>
        <v/>
      </c>
      <c r="L1065" s="124">
        <f>+'Invullen groen'!AZ1075</f>
        <v/>
      </c>
      <c r="M1065" s="124">
        <f>+'Invullen groen'!BA1075</f>
        <v/>
      </c>
      <c r="N1065" s="124">
        <f>+'Invullen groen'!BB1075</f>
        <v/>
      </c>
      <c r="O1065" s="124">
        <f>+'Invullen groen'!BC1075</f>
        <v/>
      </c>
      <c r="P1065" s="124">
        <f>+'Invullen groen'!BD1075</f>
        <v/>
      </c>
    </row>
    <row r="1066">
      <c r="A1066" s="113">
        <f>+'Invullen groen'!A1076</f>
        <v/>
      </c>
      <c r="B1066" s="154">
        <f>+'Invullen groen'!C1076</f>
        <v/>
      </c>
      <c r="C1066" s="124">
        <f>+'Invullen groen'!G1076</f>
        <v/>
      </c>
      <c r="D1066" s="113">
        <f>+'Invullen groen'!M1076</f>
        <v/>
      </c>
      <c r="E1066" s="114">
        <f>+'Invullen groen'!H1076</f>
        <v/>
      </c>
      <c r="F1066" s="114">
        <f>+'Invullen groen'!I1076</f>
        <v/>
      </c>
      <c r="G1066" s="114">
        <f>+'Invullen groen'!J1076</f>
        <v/>
      </c>
      <c r="H1066" s="114">
        <f>+'Invullen groen'!K1076</f>
        <v/>
      </c>
      <c r="I1066" s="124">
        <f>+'Invullen groen'!AW1076</f>
        <v/>
      </c>
      <c r="J1066" s="124">
        <f>+'Invullen groen'!AX1076</f>
        <v/>
      </c>
      <c r="K1066" s="124">
        <f>+'Invullen groen'!AY1076</f>
        <v/>
      </c>
      <c r="L1066" s="124">
        <f>+'Invullen groen'!AZ1076</f>
        <v/>
      </c>
      <c r="M1066" s="124">
        <f>+'Invullen groen'!BA1076</f>
        <v/>
      </c>
      <c r="N1066" s="124">
        <f>+'Invullen groen'!BB1076</f>
        <v/>
      </c>
      <c r="O1066" s="124">
        <f>+'Invullen groen'!BC1076</f>
        <v/>
      </c>
      <c r="P1066" s="124">
        <f>+'Invullen groen'!BD1076</f>
        <v/>
      </c>
    </row>
    <row r="1067">
      <c r="A1067" s="113">
        <f>+'Invullen groen'!A1077</f>
        <v/>
      </c>
      <c r="B1067" s="154">
        <f>+'Invullen groen'!C1077</f>
        <v/>
      </c>
      <c r="C1067" s="124">
        <f>+'Invullen groen'!G1077</f>
        <v/>
      </c>
      <c r="D1067" s="113">
        <f>+'Invullen groen'!M1077</f>
        <v/>
      </c>
      <c r="E1067" s="114">
        <f>+'Invullen groen'!H1077</f>
        <v/>
      </c>
      <c r="F1067" s="114">
        <f>+'Invullen groen'!I1077</f>
        <v/>
      </c>
      <c r="G1067" s="114">
        <f>+'Invullen groen'!J1077</f>
        <v/>
      </c>
      <c r="H1067" s="114">
        <f>+'Invullen groen'!K1077</f>
        <v/>
      </c>
      <c r="I1067" s="124">
        <f>+'Invullen groen'!AW1077</f>
        <v/>
      </c>
      <c r="J1067" s="124">
        <f>+'Invullen groen'!AX1077</f>
        <v/>
      </c>
      <c r="K1067" s="124">
        <f>+'Invullen groen'!AY1077</f>
        <v/>
      </c>
      <c r="L1067" s="124">
        <f>+'Invullen groen'!AZ1077</f>
        <v/>
      </c>
      <c r="M1067" s="124">
        <f>+'Invullen groen'!BA1077</f>
        <v/>
      </c>
      <c r="N1067" s="124">
        <f>+'Invullen groen'!BB1077</f>
        <v/>
      </c>
      <c r="O1067" s="124">
        <f>+'Invullen groen'!BC1077</f>
        <v/>
      </c>
      <c r="P1067" s="124">
        <f>+'Invullen groen'!BD1077</f>
        <v/>
      </c>
    </row>
    <row r="1068">
      <c r="A1068" s="113">
        <f>+'Invullen groen'!A1078</f>
        <v/>
      </c>
      <c r="B1068" s="154">
        <f>+'Invullen groen'!C1078</f>
        <v/>
      </c>
      <c r="C1068" s="124">
        <f>+'Invullen groen'!G1078</f>
        <v/>
      </c>
      <c r="D1068" s="113">
        <f>+'Invullen groen'!M1078</f>
        <v/>
      </c>
      <c r="E1068" s="114">
        <f>+'Invullen groen'!H1078</f>
        <v/>
      </c>
      <c r="F1068" s="114">
        <f>+'Invullen groen'!I1078</f>
        <v/>
      </c>
      <c r="G1068" s="114">
        <f>+'Invullen groen'!J1078</f>
        <v/>
      </c>
      <c r="H1068" s="114">
        <f>+'Invullen groen'!K1078</f>
        <v/>
      </c>
      <c r="I1068" s="124">
        <f>+'Invullen groen'!AW1078</f>
        <v/>
      </c>
      <c r="J1068" s="124">
        <f>+'Invullen groen'!AX1078</f>
        <v/>
      </c>
      <c r="K1068" s="124">
        <f>+'Invullen groen'!AY1078</f>
        <v/>
      </c>
      <c r="L1068" s="124">
        <f>+'Invullen groen'!AZ1078</f>
        <v/>
      </c>
      <c r="M1068" s="124">
        <f>+'Invullen groen'!BA1078</f>
        <v/>
      </c>
      <c r="N1068" s="124">
        <f>+'Invullen groen'!BB1078</f>
        <v/>
      </c>
      <c r="O1068" s="124">
        <f>+'Invullen groen'!BC1078</f>
        <v/>
      </c>
      <c r="P1068" s="124">
        <f>+'Invullen groen'!BD1078</f>
        <v/>
      </c>
    </row>
    <row r="1069">
      <c r="A1069" s="113">
        <f>+'Invullen groen'!A1079</f>
        <v/>
      </c>
      <c r="B1069" s="154">
        <f>+'Invullen groen'!C1079</f>
        <v/>
      </c>
      <c r="C1069" s="124">
        <f>+'Invullen groen'!G1079</f>
        <v/>
      </c>
      <c r="D1069" s="113">
        <f>+'Invullen groen'!M1079</f>
        <v/>
      </c>
      <c r="E1069" s="114">
        <f>+'Invullen groen'!H1079</f>
        <v/>
      </c>
      <c r="F1069" s="114">
        <f>+'Invullen groen'!I1079</f>
        <v/>
      </c>
      <c r="G1069" s="114">
        <f>+'Invullen groen'!J1079</f>
        <v/>
      </c>
      <c r="H1069" s="114">
        <f>+'Invullen groen'!K1079</f>
        <v/>
      </c>
      <c r="I1069" s="124">
        <f>+'Invullen groen'!AW1079</f>
        <v/>
      </c>
      <c r="J1069" s="124">
        <f>+'Invullen groen'!AX1079</f>
        <v/>
      </c>
      <c r="K1069" s="124">
        <f>+'Invullen groen'!AY1079</f>
        <v/>
      </c>
      <c r="L1069" s="124">
        <f>+'Invullen groen'!AZ1079</f>
        <v/>
      </c>
      <c r="M1069" s="124">
        <f>+'Invullen groen'!BA1079</f>
        <v/>
      </c>
      <c r="N1069" s="124">
        <f>+'Invullen groen'!BB1079</f>
        <v/>
      </c>
      <c r="O1069" s="124">
        <f>+'Invullen groen'!BC1079</f>
        <v/>
      </c>
      <c r="P1069" s="124">
        <f>+'Invullen groen'!BD1079</f>
        <v/>
      </c>
    </row>
    <row r="1070">
      <c r="A1070" s="113">
        <f>+'Invullen groen'!A1080</f>
        <v/>
      </c>
      <c r="B1070" s="154">
        <f>+'Invullen groen'!C1080</f>
        <v/>
      </c>
      <c r="C1070" s="124">
        <f>+'Invullen groen'!G1080</f>
        <v/>
      </c>
      <c r="D1070" s="113">
        <f>+'Invullen groen'!M1080</f>
        <v/>
      </c>
      <c r="E1070" s="114">
        <f>+'Invullen groen'!H1080</f>
        <v/>
      </c>
      <c r="F1070" s="114">
        <f>+'Invullen groen'!I1080</f>
        <v/>
      </c>
      <c r="G1070" s="114">
        <f>+'Invullen groen'!J1080</f>
        <v/>
      </c>
      <c r="H1070" s="114">
        <f>+'Invullen groen'!K1080</f>
        <v/>
      </c>
      <c r="I1070" s="124">
        <f>+'Invullen groen'!AW1080</f>
        <v/>
      </c>
      <c r="J1070" s="124">
        <f>+'Invullen groen'!AX1080</f>
        <v/>
      </c>
      <c r="K1070" s="124">
        <f>+'Invullen groen'!AY1080</f>
        <v/>
      </c>
      <c r="L1070" s="124">
        <f>+'Invullen groen'!AZ1080</f>
        <v/>
      </c>
      <c r="M1070" s="124">
        <f>+'Invullen groen'!BA1080</f>
        <v/>
      </c>
      <c r="N1070" s="124">
        <f>+'Invullen groen'!BB1080</f>
        <v/>
      </c>
      <c r="O1070" s="124">
        <f>+'Invullen groen'!BC1080</f>
        <v/>
      </c>
      <c r="P1070" s="124">
        <f>+'Invullen groen'!BD1080</f>
        <v/>
      </c>
    </row>
    <row r="1071">
      <c r="A1071" s="113">
        <f>+'Invullen groen'!A1081</f>
        <v/>
      </c>
      <c r="B1071" s="154">
        <f>+'Invullen groen'!C1081</f>
        <v/>
      </c>
      <c r="C1071" s="124">
        <f>+'Invullen groen'!G1081</f>
        <v/>
      </c>
      <c r="D1071" s="113">
        <f>+'Invullen groen'!M1081</f>
        <v/>
      </c>
      <c r="E1071" s="114">
        <f>+'Invullen groen'!H1081</f>
        <v/>
      </c>
      <c r="F1071" s="114">
        <f>+'Invullen groen'!I1081</f>
        <v/>
      </c>
      <c r="G1071" s="114">
        <f>+'Invullen groen'!J1081</f>
        <v/>
      </c>
      <c r="H1071" s="114">
        <f>+'Invullen groen'!K1081</f>
        <v/>
      </c>
      <c r="I1071" s="124">
        <f>+'Invullen groen'!AW1081</f>
        <v/>
      </c>
      <c r="J1071" s="124">
        <f>+'Invullen groen'!AX1081</f>
        <v/>
      </c>
      <c r="K1071" s="124">
        <f>+'Invullen groen'!AY1081</f>
        <v/>
      </c>
      <c r="L1071" s="124">
        <f>+'Invullen groen'!AZ1081</f>
        <v/>
      </c>
      <c r="M1071" s="124">
        <f>+'Invullen groen'!BA1081</f>
        <v/>
      </c>
      <c r="N1071" s="124">
        <f>+'Invullen groen'!BB1081</f>
        <v/>
      </c>
      <c r="O1071" s="124">
        <f>+'Invullen groen'!BC1081</f>
        <v/>
      </c>
      <c r="P1071" s="124">
        <f>+'Invullen groen'!BD1081</f>
        <v/>
      </c>
    </row>
    <row r="1072">
      <c r="A1072" s="113">
        <f>+'Invullen groen'!A1082</f>
        <v/>
      </c>
      <c r="B1072" s="154">
        <f>+'Invullen groen'!C1082</f>
        <v/>
      </c>
      <c r="C1072" s="124">
        <f>+'Invullen groen'!G1082</f>
        <v/>
      </c>
      <c r="D1072" s="113">
        <f>+'Invullen groen'!M1082</f>
        <v/>
      </c>
      <c r="E1072" s="114">
        <f>+'Invullen groen'!H1082</f>
        <v/>
      </c>
      <c r="F1072" s="114">
        <f>+'Invullen groen'!I1082</f>
        <v/>
      </c>
      <c r="G1072" s="114">
        <f>+'Invullen groen'!J1082</f>
        <v/>
      </c>
      <c r="H1072" s="114">
        <f>+'Invullen groen'!K1082</f>
        <v/>
      </c>
      <c r="I1072" s="124">
        <f>+'Invullen groen'!AW1082</f>
        <v/>
      </c>
      <c r="J1072" s="124">
        <f>+'Invullen groen'!AX1082</f>
        <v/>
      </c>
      <c r="K1072" s="124">
        <f>+'Invullen groen'!AY1082</f>
        <v/>
      </c>
      <c r="L1072" s="124">
        <f>+'Invullen groen'!AZ1082</f>
        <v/>
      </c>
      <c r="M1072" s="124">
        <f>+'Invullen groen'!BA1082</f>
        <v/>
      </c>
      <c r="N1072" s="124">
        <f>+'Invullen groen'!BB1082</f>
        <v/>
      </c>
      <c r="O1072" s="124">
        <f>+'Invullen groen'!BC1082</f>
        <v/>
      </c>
      <c r="P1072" s="124">
        <f>+'Invullen groen'!BD1082</f>
        <v/>
      </c>
    </row>
    <row r="1073">
      <c r="A1073" s="113">
        <f>+'Invullen groen'!A1083</f>
        <v/>
      </c>
      <c r="B1073" s="154">
        <f>+'Invullen groen'!C1083</f>
        <v/>
      </c>
      <c r="C1073" s="124">
        <f>+'Invullen groen'!G1083</f>
        <v/>
      </c>
      <c r="D1073" s="113">
        <f>+'Invullen groen'!M1083</f>
        <v/>
      </c>
      <c r="E1073" s="114">
        <f>+'Invullen groen'!H1083</f>
        <v/>
      </c>
      <c r="F1073" s="114">
        <f>+'Invullen groen'!I1083</f>
        <v/>
      </c>
      <c r="G1073" s="114">
        <f>+'Invullen groen'!J1083</f>
        <v/>
      </c>
      <c r="H1073" s="114">
        <f>+'Invullen groen'!K1083</f>
        <v/>
      </c>
      <c r="I1073" s="124">
        <f>+'Invullen groen'!AW1083</f>
        <v/>
      </c>
      <c r="J1073" s="124">
        <f>+'Invullen groen'!AX1083</f>
        <v/>
      </c>
      <c r="K1073" s="124">
        <f>+'Invullen groen'!AY1083</f>
        <v/>
      </c>
      <c r="L1073" s="124">
        <f>+'Invullen groen'!AZ1083</f>
        <v/>
      </c>
      <c r="M1073" s="124">
        <f>+'Invullen groen'!BA1083</f>
        <v/>
      </c>
      <c r="N1073" s="124">
        <f>+'Invullen groen'!BB1083</f>
        <v/>
      </c>
      <c r="O1073" s="124">
        <f>+'Invullen groen'!BC1083</f>
        <v/>
      </c>
      <c r="P1073" s="124">
        <f>+'Invullen groen'!BD1083</f>
        <v/>
      </c>
    </row>
    <row r="1074">
      <c r="A1074" s="113">
        <f>+'Invullen groen'!A1084</f>
        <v/>
      </c>
      <c r="B1074" s="154">
        <f>+'Invullen groen'!C1084</f>
        <v/>
      </c>
      <c r="C1074" s="124">
        <f>+'Invullen groen'!G1084</f>
        <v/>
      </c>
      <c r="D1074" s="113">
        <f>+'Invullen groen'!M1084</f>
        <v/>
      </c>
      <c r="E1074" s="114">
        <f>+'Invullen groen'!H1084</f>
        <v/>
      </c>
      <c r="F1074" s="114">
        <f>+'Invullen groen'!I1084</f>
        <v/>
      </c>
      <c r="G1074" s="114">
        <f>+'Invullen groen'!J1084</f>
        <v/>
      </c>
      <c r="H1074" s="114">
        <f>+'Invullen groen'!K1084</f>
        <v/>
      </c>
      <c r="I1074" s="124">
        <f>+'Invullen groen'!AW1084</f>
        <v/>
      </c>
      <c r="J1074" s="124">
        <f>+'Invullen groen'!AX1084</f>
        <v/>
      </c>
      <c r="K1074" s="124">
        <f>+'Invullen groen'!AY1084</f>
        <v/>
      </c>
      <c r="L1074" s="124">
        <f>+'Invullen groen'!AZ1084</f>
        <v/>
      </c>
      <c r="M1074" s="124">
        <f>+'Invullen groen'!BA1084</f>
        <v/>
      </c>
      <c r="N1074" s="124">
        <f>+'Invullen groen'!BB1084</f>
        <v/>
      </c>
      <c r="O1074" s="124">
        <f>+'Invullen groen'!BC1084</f>
        <v/>
      </c>
      <c r="P1074" s="124">
        <f>+'Invullen groen'!BD1084</f>
        <v/>
      </c>
    </row>
    <row r="1075">
      <c r="A1075" s="113">
        <f>+'Invullen groen'!A1085</f>
        <v/>
      </c>
      <c r="B1075" s="154">
        <f>+'Invullen groen'!C1085</f>
        <v/>
      </c>
      <c r="C1075" s="124">
        <f>+'Invullen groen'!G1085</f>
        <v/>
      </c>
      <c r="D1075" s="113">
        <f>+'Invullen groen'!M1085</f>
        <v/>
      </c>
      <c r="E1075" s="114">
        <f>+'Invullen groen'!H1085</f>
        <v/>
      </c>
      <c r="F1075" s="114">
        <f>+'Invullen groen'!I1085</f>
        <v/>
      </c>
      <c r="G1075" s="114">
        <f>+'Invullen groen'!J1085</f>
        <v/>
      </c>
      <c r="H1075" s="114">
        <f>+'Invullen groen'!K1085</f>
        <v/>
      </c>
      <c r="I1075" s="124">
        <f>+'Invullen groen'!AW1085</f>
        <v/>
      </c>
      <c r="J1075" s="124">
        <f>+'Invullen groen'!AX1085</f>
        <v/>
      </c>
      <c r="K1075" s="124">
        <f>+'Invullen groen'!AY1085</f>
        <v/>
      </c>
      <c r="L1075" s="124">
        <f>+'Invullen groen'!AZ1085</f>
        <v/>
      </c>
      <c r="M1075" s="124">
        <f>+'Invullen groen'!BA1085</f>
        <v/>
      </c>
      <c r="N1075" s="124">
        <f>+'Invullen groen'!BB1085</f>
        <v/>
      </c>
      <c r="O1075" s="124">
        <f>+'Invullen groen'!BC1085</f>
        <v/>
      </c>
      <c r="P1075" s="124">
        <f>+'Invullen groen'!BD1085</f>
        <v/>
      </c>
    </row>
    <row r="1076">
      <c r="A1076" s="113">
        <f>+'Invullen groen'!A1086</f>
        <v/>
      </c>
      <c r="B1076" s="154">
        <f>+'Invullen groen'!C1086</f>
        <v/>
      </c>
      <c r="C1076" s="124">
        <f>+'Invullen groen'!G1086</f>
        <v/>
      </c>
      <c r="D1076" s="113">
        <f>+'Invullen groen'!M1086</f>
        <v/>
      </c>
      <c r="E1076" s="114">
        <f>+'Invullen groen'!H1086</f>
        <v/>
      </c>
      <c r="F1076" s="114">
        <f>+'Invullen groen'!I1086</f>
        <v/>
      </c>
      <c r="G1076" s="114">
        <f>+'Invullen groen'!J1086</f>
        <v/>
      </c>
      <c r="H1076" s="114">
        <f>+'Invullen groen'!K1086</f>
        <v/>
      </c>
      <c r="I1076" s="124">
        <f>+'Invullen groen'!AW1086</f>
        <v/>
      </c>
      <c r="J1076" s="124">
        <f>+'Invullen groen'!AX1086</f>
        <v/>
      </c>
      <c r="K1076" s="124">
        <f>+'Invullen groen'!AY1086</f>
        <v/>
      </c>
      <c r="L1076" s="124">
        <f>+'Invullen groen'!AZ1086</f>
        <v/>
      </c>
      <c r="M1076" s="124">
        <f>+'Invullen groen'!BA1086</f>
        <v/>
      </c>
      <c r="N1076" s="124">
        <f>+'Invullen groen'!BB1086</f>
        <v/>
      </c>
      <c r="O1076" s="124">
        <f>+'Invullen groen'!BC1086</f>
        <v/>
      </c>
      <c r="P1076" s="124">
        <f>+'Invullen groen'!BD1086</f>
        <v/>
      </c>
    </row>
    <row r="1077">
      <c r="A1077" s="113">
        <f>+'Invullen groen'!A1087</f>
        <v/>
      </c>
      <c r="B1077" s="154">
        <f>+'Invullen groen'!C1087</f>
        <v/>
      </c>
      <c r="C1077" s="124">
        <f>+'Invullen groen'!G1087</f>
        <v/>
      </c>
      <c r="D1077" s="113">
        <f>+'Invullen groen'!M1087</f>
        <v/>
      </c>
      <c r="E1077" s="114">
        <f>+'Invullen groen'!H1087</f>
        <v/>
      </c>
      <c r="F1077" s="114">
        <f>+'Invullen groen'!I1087</f>
        <v/>
      </c>
      <c r="G1077" s="114">
        <f>+'Invullen groen'!J1087</f>
        <v/>
      </c>
      <c r="H1077" s="114">
        <f>+'Invullen groen'!K1087</f>
        <v/>
      </c>
      <c r="I1077" s="124">
        <f>+'Invullen groen'!AW1087</f>
        <v/>
      </c>
      <c r="J1077" s="124">
        <f>+'Invullen groen'!AX1087</f>
        <v/>
      </c>
      <c r="K1077" s="124">
        <f>+'Invullen groen'!AY1087</f>
        <v/>
      </c>
      <c r="L1077" s="124">
        <f>+'Invullen groen'!AZ1087</f>
        <v/>
      </c>
      <c r="M1077" s="124">
        <f>+'Invullen groen'!BA1087</f>
        <v/>
      </c>
      <c r="N1077" s="124">
        <f>+'Invullen groen'!BB1087</f>
        <v/>
      </c>
      <c r="O1077" s="124">
        <f>+'Invullen groen'!BC1087</f>
        <v/>
      </c>
      <c r="P1077" s="124">
        <f>+'Invullen groen'!BD1087</f>
        <v/>
      </c>
    </row>
    <row r="1078">
      <c r="A1078" s="113">
        <f>+'Invullen groen'!A1088</f>
        <v/>
      </c>
      <c r="B1078" s="154">
        <f>+'Invullen groen'!C1088</f>
        <v/>
      </c>
      <c r="C1078" s="124">
        <f>+'Invullen groen'!G1088</f>
        <v/>
      </c>
      <c r="D1078" s="113">
        <f>+'Invullen groen'!M1088</f>
        <v/>
      </c>
      <c r="E1078" s="114">
        <f>+'Invullen groen'!H1088</f>
        <v/>
      </c>
      <c r="F1078" s="114">
        <f>+'Invullen groen'!I1088</f>
        <v/>
      </c>
      <c r="G1078" s="114">
        <f>+'Invullen groen'!J1088</f>
        <v/>
      </c>
      <c r="H1078" s="114">
        <f>+'Invullen groen'!K1088</f>
        <v/>
      </c>
      <c r="I1078" s="124">
        <f>+'Invullen groen'!AW1088</f>
        <v/>
      </c>
      <c r="J1078" s="124">
        <f>+'Invullen groen'!AX1088</f>
        <v/>
      </c>
      <c r="K1078" s="124">
        <f>+'Invullen groen'!AY1088</f>
        <v/>
      </c>
      <c r="L1078" s="124">
        <f>+'Invullen groen'!AZ1088</f>
        <v/>
      </c>
      <c r="M1078" s="124">
        <f>+'Invullen groen'!BA1088</f>
        <v/>
      </c>
      <c r="N1078" s="124">
        <f>+'Invullen groen'!BB1088</f>
        <v/>
      </c>
      <c r="O1078" s="124">
        <f>+'Invullen groen'!BC1088</f>
        <v/>
      </c>
      <c r="P1078" s="124">
        <f>+'Invullen groen'!BD1088</f>
        <v/>
      </c>
    </row>
    <row r="1079">
      <c r="A1079" s="113">
        <f>+'Invullen groen'!A1089</f>
        <v/>
      </c>
      <c r="B1079" s="154">
        <f>+'Invullen groen'!C1089</f>
        <v/>
      </c>
      <c r="C1079" s="124">
        <f>+'Invullen groen'!G1089</f>
        <v/>
      </c>
      <c r="D1079" s="113">
        <f>+'Invullen groen'!M1089</f>
        <v/>
      </c>
      <c r="E1079" s="114">
        <f>+'Invullen groen'!H1089</f>
        <v/>
      </c>
      <c r="F1079" s="114">
        <f>+'Invullen groen'!I1089</f>
        <v/>
      </c>
      <c r="G1079" s="114">
        <f>+'Invullen groen'!J1089</f>
        <v/>
      </c>
      <c r="H1079" s="114">
        <f>+'Invullen groen'!K1089</f>
        <v/>
      </c>
      <c r="I1079" s="124">
        <f>+'Invullen groen'!AW1089</f>
        <v/>
      </c>
      <c r="J1079" s="124">
        <f>+'Invullen groen'!AX1089</f>
        <v/>
      </c>
      <c r="K1079" s="124">
        <f>+'Invullen groen'!AY1089</f>
        <v/>
      </c>
      <c r="L1079" s="124">
        <f>+'Invullen groen'!AZ1089</f>
        <v/>
      </c>
      <c r="M1079" s="124">
        <f>+'Invullen groen'!BA1089</f>
        <v/>
      </c>
      <c r="N1079" s="124">
        <f>+'Invullen groen'!BB1089</f>
        <v/>
      </c>
      <c r="O1079" s="124">
        <f>+'Invullen groen'!BC1089</f>
        <v/>
      </c>
      <c r="P1079" s="124">
        <f>+'Invullen groen'!BD1089</f>
        <v/>
      </c>
    </row>
    <row r="1080">
      <c r="A1080" s="113">
        <f>+'Invullen groen'!A1090</f>
        <v/>
      </c>
      <c r="B1080" s="154">
        <f>+'Invullen groen'!C1090</f>
        <v/>
      </c>
      <c r="C1080" s="124">
        <f>+'Invullen groen'!G1090</f>
        <v/>
      </c>
      <c r="D1080" s="113">
        <f>+'Invullen groen'!M1090</f>
        <v/>
      </c>
      <c r="E1080" s="114">
        <f>+'Invullen groen'!H1090</f>
        <v/>
      </c>
      <c r="F1080" s="114">
        <f>+'Invullen groen'!I1090</f>
        <v/>
      </c>
      <c r="G1080" s="114">
        <f>+'Invullen groen'!J1090</f>
        <v/>
      </c>
      <c r="H1080" s="114">
        <f>+'Invullen groen'!K1090</f>
        <v/>
      </c>
      <c r="I1080" s="124">
        <f>+'Invullen groen'!AW1090</f>
        <v/>
      </c>
      <c r="J1080" s="124">
        <f>+'Invullen groen'!AX1090</f>
        <v/>
      </c>
      <c r="K1080" s="124">
        <f>+'Invullen groen'!AY1090</f>
        <v/>
      </c>
      <c r="L1080" s="124">
        <f>+'Invullen groen'!AZ1090</f>
        <v/>
      </c>
      <c r="M1080" s="124">
        <f>+'Invullen groen'!BA1090</f>
        <v/>
      </c>
      <c r="N1080" s="124">
        <f>+'Invullen groen'!BB1090</f>
        <v/>
      </c>
      <c r="O1080" s="124">
        <f>+'Invullen groen'!BC1090</f>
        <v/>
      </c>
      <c r="P1080" s="124">
        <f>+'Invullen groen'!BD1090</f>
        <v/>
      </c>
    </row>
    <row r="1081">
      <c r="A1081" s="113">
        <f>+'Invullen groen'!A1091</f>
        <v/>
      </c>
      <c r="B1081" s="154">
        <f>+'Invullen groen'!C1091</f>
        <v/>
      </c>
      <c r="C1081" s="124">
        <f>+'Invullen groen'!G1091</f>
        <v/>
      </c>
      <c r="D1081" s="113">
        <f>+'Invullen groen'!M1091</f>
        <v/>
      </c>
      <c r="E1081" s="114">
        <f>+'Invullen groen'!H1091</f>
        <v/>
      </c>
      <c r="F1081" s="114">
        <f>+'Invullen groen'!I1091</f>
        <v/>
      </c>
      <c r="G1081" s="114">
        <f>+'Invullen groen'!J1091</f>
        <v/>
      </c>
      <c r="H1081" s="114">
        <f>+'Invullen groen'!K1091</f>
        <v/>
      </c>
      <c r="I1081" s="124">
        <f>+'Invullen groen'!AW1091</f>
        <v/>
      </c>
      <c r="J1081" s="124">
        <f>+'Invullen groen'!AX1091</f>
        <v/>
      </c>
      <c r="K1081" s="124">
        <f>+'Invullen groen'!AY1091</f>
        <v/>
      </c>
      <c r="L1081" s="124">
        <f>+'Invullen groen'!AZ1091</f>
        <v/>
      </c>
      <c r="M1081" s="124">
        <f>+'Invullen groen'!BA1091</f>
        <v/>
      </c>
      <c r="N1081" s="124">
        <f>+'Invullen groen'!BB1091</f>
        <v/>
      </c>
      <c r="O1081" s="124">
        <f>+'Invullen groen'!BC1091</f>
        <v/>
      </c>
      <c r="P1081" s="124">
        <f>+'Invullen groen'!BD1091</f>
        <v/>
      </c>
    </row>
    <row r="1082">
      <c r="A1082" s="113">
        <f>+'Invullen groen'!A1092</f>
        <v/>
      </c>
      <c r="B1082" s="154">
        <f>+'Invullen groen'!C1092</f>
        <v/>
      </c>
      <c r="C1082" s="124">
        <f>+'Invullen groen'!G1092</f>
        <v/>
      </c>
      <c r="D1082" s="113">
        <f>+'Invullen groen'!M1092</f>
        <v/>
      </c>
      <c r="E1082" s="114">
        <f>+'Invullen groen'!H1092</f>
        <v/>
      </c>
      <c r="F1082" s="114">
        <f>+'Invullen groen'!I1092</f>
        <v/>
      </c>
      <c r="G1082" s="114">
        <f>+'Invullen groen'!J1092</f>
        <v/>
      </c>
      <c r="H1082" s="114">
        <f>+'Invullen groen'!K1092</f>
        <v/>
      </c>
      <c r="I1082" s="124">
        <f>+'Invullen groen'!AW1092</f>
        <v/>
      </c>
      <c r="J1082" s="124">
        <f>+'Invullen groen'!AX1092</f>
        <v/>
      </c>
      <c r="K1082" s="124">
        <f>+'Invullen groen'!AY1092</f>
        <v/>
      </c>
      <c r="L1082" s="124">
        <f>+'Invullen groen'!AZ1092</f>
        <v/>
      </c>
      <c r="M1082" s="124">
        <f>+'Invullen groen'!BA1092</f>
        <v/>
      </c>
      <c r="N1082" s="124">
        <f>+'Invullen groen'!BB1092</f>
        <v/>
      </c>
      <c r="O1082" s="124">
        <f>+'Invullen groen'!BC1092</f>
        <v/>
      </c>
      <c r="P1082" s="124">
        <f>+'Invullen groen'!BD1092</f>
        <v/>
      </c>
    </row>
    <row r="1083">
      <c r="A1083" s="113">
        <f>+'Invullen groen'!A1093</f>
        <v/>
      </c>
      <c r="B1083" s="154">
        <f>+'Invullen groen'!C1093</f>
        <v/>
      </c>
      <c r="C1083" s="124">
        <f>+'Invullen groen'!G1093</f>
        <v/>
      </c>
      <c r="D1083" s="113">
        <f>+'Invullen groen'!M1093</f>
        <v/>
      </c>
      <c r="E1083" s="114">
        <f>+'Invullen groen'!H1093</f>
        <v/>
      </c>
      <c r="F1083" s="114">
        <f>+'Invullen groen'!I1093</f>
        <v/>
      </c>
      <c r="G1083" s="114">
        <f>+'Invullen groen'!J1093</f>
        <v/>
      </c>
      <c r="H1083" s="114">
        <f>+'Invullen groen'!K1093</f>
        <v/>
      </c>
      <c r="I1083" s="124">
        <f>+'Invullen groen'!AW1093</f>
        <v/>
      </c>
      <c r="J1083" s="124">
        <f>+'Invullen groen'!AX1093</f>
        <v/>
      </c>
      <c r="K1083" s="124">
        <f>+'Invullen groen'!AY1093</f>
        <v/>
      </c>
      <c r="L1083" s="124">
        <f>+'Invullen groen'!AZ1093</f>
        <v/>
      </c>
      <c r="M1083" s="124">
        <f>+'Invullen groen'!BA1093</f>
        <v/>
      </c>
      <c r="N1083" s="124">
        <f>+'Invullen groen'!BB1093</f>
        <v/>
      </c>
      <c r="O1083" s="124">
        <f>+'Invullen groen'!BC1093</f>
        <v/>
      </c>
      <c r="P1083" s="124">
        <f>+'Invullen groen'!BD1093</f>
        <v/>
      </c>
    </row>
    <row r="1084">
      <c r="A1084" s="113">
        <f>+'Invullen groen'!A1094</f>
        <v/>
      </c>
      <c r="B1084" s="154">
        <f>+'Invullen groen'!C1094</f>
        <v/>
      </c>
      <c r="C1084" s="124">
        <f>+'Invullen groen'!G1094</f>
        <v/>
      </c>
      <c r="D1084" s="113">
        <f>+'Invullen groen'!M1094</f>
        <v/>
      </c>
      <c r="E1084" s="114">
        <f>+'Invullen groen'!H1094</f>
        <v/>
      </c>
      <c r="F1084" s="114">
        <f>+'Invullen groen'!I1094</f>
        <v/>
      </c>
      <c r="G1084" s="114">
        <f>+'Invullen groen'!J1094</f>
        <v/>
      </c>
      <c r="H1084" s="114">
        <f>+'Invullen groen'!K1094</f>
        <v/>
      </c>
      <c r="I1084" s="124">
        <f>+'Invullen groen'!AW1094</f>
        <v/>
      </c>
      <c r="J1084" s="124">
        <f>+'Invullen groen'!AX1094</f>
        <v/>
      </c>
      <c r="K1084" s="124">
        <f>+'Invullen groen'!AY1094</f>
        <v/>
      </c>
      <c r="L1084" s="124">
        <f>+'Invullen groen'!AZ1094</f>
        <v/>
      </c>
      <c r="M1084" s="124">
        <f>+'Invullen groen'!BA1094</f>
        <v/>
      </c>
      <c r="N1084" s="124">
        <f>+'Invullen groen'!BB1094</f>
        <v/>
      </c>
      <c r="O1084" s="124">
        <f>+'Invullen groen'!BC1094</f>
        <v/>
      </c>
      <c r="P1084" s="124">
        <f>+'Invullen groen'!BD1094</f>
        <v/>
      </c>
    </row>
    <row r="1085">
      <c r="A1085" s="113">
        <f>+'Invullen groen'!A1095</f>
        <v/>
      </c>
      <c r="B1085" s="154">
        <f>+'Invullen groen'!C1095</f>
        <v/>
      </c>
      <c r="C1085" s="124">
        <f>+'Invullen groen'!G1095</f>
        <v/>
      </c>
      <c r="D1085" s="113">
        <f>+'Invullen groen'!M1095</f>
        <v/>
      </c>
      <c r="E1085" s="114">
        <f>+'Invullen groen'!H1095</f>
        <v/>
      </c>
      <c r="F1085" s="114">
        <f>+'Invullen groen'!I1095</f>
        <v/>
      </c>
      <c r="G1085" s="114">
        <f>+'Invullen groen'!J1095</f>
        <v/>
      </c>
      <c r="H1085" s="114">
        <f>+'Invullen groen'!K1095</f>
        <v/>
      </c>
      <c r="I1085" s="124">
        <f>+'Invullen groen'!AW1095</f>
        <v/>
      </c>
      <c r="J1085" s="124">
        <f>+'Invullen groen'!AX1095</f>
        <v/>
      </c>
      <c r="K1085" s="124">
        <f>+'Invullen groen'!AY1095</f>
        <v/>
      </c>
      <c r="L1085" s="124">
        <f>+'Invullen groen'!AZ1095</f>
        <v/>
      </c>
      <c r="M1085" s="124">
        <f>+'Invullen groen'!BA1095</f>
        <v/>
      </c>
      <c r="N1085" s="124">
        <f>+'Invullen groen'!BB1095</f>
        <v/>
      </c>
      <c r="O1085" s="124">
        <f>+'Invullen groen'!BC1095</f>
        <v/>
      </c>
      <c r="P1085" s="124">
        <f>+'Invullen groen'!BD1095</f>
        <v/>
      </c>
    </row>
    <row r="1086">
      <c r="A1086" s="113">
        <f>+'Invullen groen'!A1096</f>
        <v/>
      </c>
      <c r="B1086" s="154">
        <f>+'Invullen groen'!C1096</f>
        <v/>
      </c>
      <c r="C1086" s="124">
        <f>+'Invullen groen'!G1096</f>
        <v/>
      </c>
      <c r="D1086" s="113">
        <f>+'Invullen groen'!M1096</f>
        <v/>
      </c>
      <c r="E1086" s="114">
        <f>+'Invullen groen'!H1096</f>
        <v/>
      </c>
      <c r="F1086" s="114">
        <f>+'Invullen groen'!I1096</f>
        <v/>
      </c>
      <c r="G1086" s="114">
        <f>+'Invullen groen'!J1096</f>
        <v/>
      </c>
      <c r="H1086" s="114">
        <f>+'Invullen groen'!K1096</f>
        <v/>
      </c>
      <c r="I1086" s="124">
        <f>+'Invullen groen'!AW1096</f>
        <v/>
      </c>
      <c r="J1086" s="124">
        <f>+'Invullen groen'!AX1096</f>
        <v/>
      </c>
      <c r="K1086" s="124">
        <f>+'Invullen groen'!AY1096</f>
        <v/>
      </c>
      <c r="L1086" s="124">
        <f>+'Invullen groen'!AZ1096</f>
        <v/>
      </c>
      <c r="M1086" s="124">
        <f>+'Invullen groen'!BA1096</f>
        <v/>
      </c>
      <c r="N1086" s="124">
        <f>+'Invullen groen'!BB1096</f>
        <v/>
      </c>
      <c r="O1086" s="124">
        <f>+'Invullen groen'!BC1096</f>
        <v/>
      </c>
      <c r="P1086" s="124">
        <f>+'Invullen groen'!BD1096</f>
        <v/>
      </c>
    </row>
    <row r="1087">
      <c r="A1087" s="113">
        <f>+'Invullen groen'!A1097</f>
        <v/>
      </c>
      <c r="B1087" s="154">
        <f>+'Invullen groen'!C1097</f>
        <v/>
      </c>
      <c r="C1087" s="124">
        <f>+'Invullen groen'!G1097</f>
        <v/>
      </c>
      <c r="D1087" s="113">
        <f>+'Invullen groen'!M1097</f>
        <v/>
      </c>
      <c r="E1087" s="114">
        <f>+'Invullen groen'!H1097</f>
        <v/>
      </c>
      <c r="F1087" s="114">
        <f>+'Invullen groen'!I1097</f>
        <v/>
      </c>
      <c r="G1087" s="114">
        <f>+'Invullen groen'!J1097</f>
        <v/>
      </c>
      <c r="H1087" s="114">
        <f>+'Invullen groen'!K1097</f>
        <v/>
      </c>
      <c r="I1087" s="124">
        <f>+'Invullen groen'!AW1097</f>
        <v/>
      </c>
      <c r="J1087" s="124">
        <f>+'Invullen groen'!AX1097</f>
        <v/>
      </c>
      <c r="K1087" s="124">
        <f>+'Invullen groen'!AY1097</f>
        <v/>
      </c>
      <c r="L1087" s="124">
        <f>+'Invullen groen'!AZ1097</f>
        <v/>
      </c>
      <c r="M1087" s="124">
        <f>+'Invullen groen'!BA1097</f>
        <v/>
      </c>
      <c r="N1087" s="124">
        <f>+'Invullen groen'!BB1097</f>
        <v/>
      </c>
      <c r="O1087" s="124">
        <f>+'Invullen groen'!BC1097</f>
        <v/>
      </c>
      <c r="P1087" s="124">
        <f>+'Invullen groen'!BD1097</f>
        <v/>
      </c>
    </row>
    <row r="1088">
      <c r="A1088" s="113">
        <f>+'Invullen groen'!A1098</f>
        <v/>
      </c>
      <c r="B1088" s="154">
        <f>+'Invullen groen'!C1098</f>
        <v/>
      </c>
      <c r="C1088" s="124">
        <f>+'Invullen groen'!G1098</f>
        <v/>
      </c>
      <c r="D1088" s="113">
        <f>+'Invullen groen'!M1098</f>
        <v/>
      </c>
      <c r="E1088" s="114">
        <f>+'Invullen groen'!H1098</f>
        <v/>
      </c>
      <c r="F1088" s="114">
        <f>+'Invullen groen'!I1098</f>
        <v/>
      </c>
      <c r="G1088" s="114">
        <f>+'Invullen groen'!J1098</f>
        <v/>
      </c>
      <c r="H1088" s="114">
        <f>+'Invullen groen'!K1098</f>
        <v/>
      </c>
      <c r="I1088" s="124">
        <f>+'Invullen groen'!AW1098</f>
        <v/>
      </c>
      <c r="J1088" s="124">
        <f>+'Invullen groen'!AX1098</f>
        <v/>
      </c>
      <c r="K1088" s="124">
        <f>+'Invullen groen'!AY1098</f>
        <v/>
      </c>
      <c r="L1088" s="124">
        <f>+'Invullen groen'!AZ1098</f>
        <v/>
      </c>
      <c r="M1088" s="124">
        <f>+'Invullen groen'!BA1098</f>
        <v/>
      </c>
      <c r="N1088" s="124">
        <f>+'Invullen groen'!BB1098</f>
        <v/>
      </c>
      <c r="O1088" s="124">
        <f>+'Invullen groen'!BC1098</f>
        <v/>
      </c>
      <c r="P1088" s="124">
        <f>+'Invullen groen'!BD1098</f>
        <v/>
      </c>
    </row>
    <row r="1089">
      <c r="A1089" s="113">
        <f>+'Invullen groen'!A1099</f>
        <v/>
      </c>
      <c r="B1089" s="154">
        <f>+'Invullen groen'!C1099</f>
        <v/>
      </c>
      <c r="C1089" s="124">
        <f>+'Invullen groen'!G1099</f>
        <v/>
      </c>
      <c r="D1089" s="113">
        <f>+'Invullen groen'!M1099</f>
        <v/>
      </c>
      <c r="E1089" s="114">
        <f>+'Invullen groen'!H1099</f>
        <v/>
      </c>
      <c r="F1089" s="114">
        <f>+'Invullen groen'!I1099</f>
        <v/>
      </c>
      <c r="G1089" s="114">
        <f>+'Invullen groen'!J1099</f>
        <v/>
      </c>
      <c r="H1089" s="114">
        <f>+'Invullen groen'!K1099</f>
        <v/>
      </c>
      <c r="I1089" s="124">
        <f>+'Invullen groen'!AW1099</f>
        <v/>
      </c>
      <c r="J1089" s="124">
        <f>+'Invullen groen'!AX1099</f>
        <v/>
      </c>
      <c r="K1089" s="124">
        <f>+'Invullen groen'!AY1099</f>
        <v/>
      </c>
      <c r="L1089" s="124">
        <f>+'Invullen groen'!AZ1099</f>
        <v/>
      </c>
      <c r="M1089" s="124">
        <f>+'Invullen groen'!BA1099</f>
        <v/>
      </c>
      <c r="N1089" s="124">
        <f>+'Invullen groen'!BB1099</f>
        <v/>
      </c>
      <c r="O1089" s="124">
        <f>+'Invullen groen'!BC1099</f>
        <v/>
      </c>
      <c r="P1089" s="124">
        <f>+'Invullen groen'!BD1099</f>
        <v/>
      </c>
    </row>
    <row r="1090">
      <c r="A1090" s="113">
        <f>+'Invullen groen'!A1100</f>
        <v/>
      </c>
      <c r="B1090" s="154">
        <f>+'Invullen groen'!C1100</f>
        <v/>
      </c>
      <c r="C1090" s="124">
        <f>+'Invullen groen'!G1100</f>
        <v/>
      </c>
      <c r="D1090" s="113">
        <f>+'Invullen groen'!M1100</f>
        <v/>
      </c>
      <c r="E1090" s="114">
        <f>+'Invullen groen'!H1100</f>
        <v/>
      </c>
      <c r="F1090" s="114">
        <f>+'Invullen groen'!I1100</f>
        <v/>
      </c>
      <c r="G1090" s="114">
        <f>+'Invullen groen'!J1100</f>
        <v/>
      </c>
      <c r="H1090" s="114">
        <f>+'Invullen groen'!K1100</f>
        <v/>
      </c>
      <c r="I1090" s="124">
        <f>+'Invullen groen'!AW1100</f>
        <v/>
      </c>
      <c r="J1090" s="124">
        <f>+'Invullen groen'!AX1100</f>
        <v/>
      </c>
      <c r="K1090" s="124">
        <f>+'Invullen groen'!AY1100</f>
        <v/>
      </c>
      <c r="L1090" s="124">
        <f>+'Invullen groen'!AZ1100</f>
        <v/>
      </c>
      <c r="M1090" s="124">
        <f>+'Invullen groen'!BA1100</f>
        <v/>
      </c>
      <c r="N1090" s="124">
        <f>+'Invullen groen'!BB1100</f>
        <v/>
      </c>
      <c r="O1090" s="124">
        <f>+'Invullen groen'!BC1100</f>
        <v/>
      </c>
      <c r="P1090" s="124">
        <f>+'Invullen groen'!BD1100</f>
        <v/>
      </c>
    </row>
    <row r="1091">
      <c r="A1091" s="113">
        <f>+'Invullen groen'!A1101</f>
        <v/>
      </c>
      <c r="B1091" s="154">
        <f>+'Invullen groen'!C1101</f>
        <v/>
      </c>
      <c r="C1091" s="124">
        <f>+'Invullen groen'!G1101</f>
        <v/>
      </c>
      <c r="D1091" s="113">
        <f>+'Invullen groen'!M1101</f>
        <v/>
      </c>
      <c r="E1091" s="114">
        <f>+'Invullen groen'!H1101</f>
        <v/>
      </c>
      <c r="F1091" s="114">
        <f>+'Invullen groen'!I1101</f>
        <v/>
      </c>
      <c r="G1091" s="114">
        <f>+'Invullen groen'!J1101</f>
        <v/>
      </c>
      <c r="H1091" s="114">
        <f>+'Invullen groen'!K1101</f>
        <v/>
      </c>
      <c r="I1091" s="124">
        <f>+'Invullen groen'!AW1101</f>
        <v/>
      </c>
      <c r="J1091" s="124">
        <f>+'Invullen groen'!AX1101</f>
        <v/>
      </c>
      <c r="K1091" s="124">
        <f>+'Invullen groen'!AY1101</f>
        <v/>
      </c>
      <c r="L1091" s="124">
        <f>+'Invullen groen'!AZ1101</f>
        <v/>
      </c>
      <c r="M1091" s="124">
        <f>+'Invullen groen'!BA1101</f>
        <v/>
      </c>
      <c r="N1091" s="124">
        <f>+'Invullen groen'!BB1101</f>
        <v/>
      </c>
      <c r="O1091" s="124">
        <f>+'Invullen groen'!BC1101</f>
        <v/>
      </c>
      <c r="P1091" s="124">
        <f>+'Invullen groen'!BD1101</f>
        <v/>
      </c>
    </row>
    <row r="1092">
      <c r="A1092" s="113">
        <f>+'Invullen groen'!A1102</f>
        <v/>
      </c>
      <c r="B1092" s="154">
        <f>+'Invullen groen'!C1102</f>
        <v/>
      </c>
      <c r="C1092" s="124">
        <f>+'Invullen groen'!G1102</f>
        <v/>
      </c>
      <c r="D1092" s="113">
        <f>+'Invullen groen'!M1102</f>
        <v/>
      </c>
      <c r="E1092" s="114">
        <f>+'Invullen groen'!H1102</f>
        <v/>
      </c>
      <c r="F1092" s="114">
        <f>+'Invullen groen'!I1102</f>
        <v/>
      </c>
      <c r="G1092" s="114">
        <f>+'Invullen groen'!J1102</f>
        <v/>
      </c>
      <c r="H1092" s="114">
        <f>+'Invullen groen'!K1102</f>
        <v/>
      </c>
      <c r="I1092" s="124">
        <f>+'Invullen groen'!AW1102</f>
        <v/>
      </c>
      <c r="J1092" s="124">
        <f>+'Invullen groen'!AX1102</f>
        <v/>
      </c>
      <c r="K1092" s="124">
        <f>+'Invullen groen'!AY1102</f>
        <v/>
      </c>
      <c r="L1092" s="124">
        <f>+'Invullen groen'!AZ1102</f>
        <v/>
      </c>
      <c r="M1092" s="124">
        <f>+'Invullen groen'!BA1102</f>
        <v/>
      </c>
      <c r="N1092" s="124">
        <f>+'Invullen groen'!BB1102</f>
        <v/>
      </c>
      <c r="O1092" s="124">
        <f>+'Invullen groen'!BC1102</f>
        <v/>
      </c>
      <c r="P1092" s="124">
        <f>+'Invullen groen'!BD1102</f>
        <v/>
      </c>
    </row>
    <row r="1093">
      <c r="A1093" s="113">
        <f>+'Invullen groen'!A1103</f>
        <v/>
      </c>
      <c r="B1093" s="154">
        <f>+'Invullen groen'!C1103</f>
        <v/>
      </c>
      <c r="C1093" s="124">
        <f>+'Invullen groen'!G1103</f>
        <v/>
      </c>
      <c r="D1093" s="113">
        <f>+'Invullen groen'!M1103</f>
        <v/>
      </c>
      <c r="E1093" s="114">
        <f>+'Invullen groen'!H1103</f>
        <v/>
      </c>
      <c r="F1093" s="114">
        <f>+'Invullen groen'!I1103</f>
        <v/>
      </c>
      <c r="G1093" s="114">
        <f>+'Invullen groen'!J1103</f>
        <v/>
      </c>
      <c r="H1093" s="114">
        <f>+'Invullen groen'!K1103</f>
        <v/>
      </c>
      <c r="I1093" s="124">
        <f>+'Invullen groen'!AW1103</f>
        <v/>
      </c>
      <c r="J1093" s="124">
        <f>+'Invullen groen'!AX1103</f>
        <v/>
      </c>
      <c r="K1093" s="124">
        <f>+'Invullen groen'!AY1103</f>
        <v/>
      </c>
      <c r="L1093" s="124">
        <f>+'Invullen groen'!AZ1103</f>
        <v/>
      </c>
      <c r="M1093" s="124">
        <f>+'Invullen groen'!BA1103</f>
        <v/>
      </c>
      <c r="N1093" s="124">
        <f>+'Invullen groen'!BB1103</f>
        <v/>
      </c>
      <c r="O1093" s="124">
        <f>+'Invullen groen'!BC1103</f>
        <v/>
      </c>
      <c r="P1093" s="124">
        <f>+'Invullen groen'!BD1103</f>
        <v/>
      </c>
    </row>
    <row r="1094">
      <c r="A1094" s="113">
        <f>+'Invullen groen'!A1104</f>
        <v/>
      </c>
      <c r="B1094" s="154">
        <f>+'Invullen groen'!C1104</f>
        <v/>
      </c>
      <c r="C1094" s="124">
        <f>+'Invullen groen'!G1104</f>
        <v/>
      </c>
      <c r="D1094" s="113">
        <f>+'Invullen groen'!M1104</f>
        <v/>
      </c>
      <c r="E1094" s="114">
        <f>+'Invullen groen'!H1104</f>
        <v/>
      </c>
      <c r="F1094" s="114">
        <f>+'Invullen groen'!I1104</f>
        <v/>
      </c>
      <c r="G1094" s="114">
        <f>+'Invullen groen'!J1104</f>
        <v/>
      </c>
      <c r="H1094" s="114">
        <f>+'Invullen groen'!K1104</f>
        <v/>
      </c>
      <c r="I1094" s="124">
        <f>+'Invullen groen'!AW1104</f>
        <v/>
      </c>
      <c r="J1094" s="124">
        <f>+'Invullen groen'!AX1104</f>
        <v/>
      </c>
      <c r="K1094" s="124">
        <f>+'Invullen groen'!AY1104</f>
        <v/>
      </c>
      <c r="L1094" s="124">
        <f>+'Invullen groen'!AZ1104</f>
        <v/>
      </c>
      <c r="M1094" s="124">
        <f>+'Invullen groen'!BA1104</f>
        <v/>
      </c>
      <c r="N1094" s="124">
        <f>+'Invullen groen'!BB1104</f>
        <v/>
      </c>
      <c r="O1094" s="124">
        <f>+'Invullen groen'!BC1104</f>
        <v/>
      </c>
      <c r="P1094" s="124">
        <f>+'Invullen groen'!BD1104</f>
        <v/>
      </c>
    </row>
    <row r="1095">
      <c r="A1095" s="113">
        <f>+'Invullen groen'!A1105</f>
        <v/>
      </c>
      <c r="B1095" s="154">
        <f>+'Invullen groen'!C1105</f>
        <v/>
      </c>
      <c r="C1095" s="124">
        <f>+'Invullen groen'!G1105</f>
        <v/>
      </c>
      <c r="D1095" s="113">
        <f>+'Invullen groen'!M1105</f>
        <v/>
      </c>
      <c r="E1095" s="114">
        <f>+'Invullen groen'!H1105</f>
        <v/>
      </c>
      <c r="F1095" s="114">
        <f>+'Invullen groen'!I1105</f>
        <v/>
      </c>
      <c r="G1095" s="114">
        <f>+'Invullen groen'!J1105</f>
        <v/>
      </c>
      <c r="H1095" s="114">
        <f>+'Invullen groen'!K1105</f>
        <v/>
      </c>
      <c r="I1095" s="124">
        <f>+'Invullen groen'!AW1105</f>
        <v/>
      </c>
      <c r="J1095" s="124">
        <f>+'Invullen groen'!AX1105</f>
        <v/>
      </c>
      <c r="K1095" s="124">
        <f>+'Invullen groen'!AY1105</f>
        <v/>
      </c>
      <c r="L1095" s="124">
        <f>+'Invullen groen'!AZ1105</f>
        <v/>
      </c>
      <c r="M1095" s="124">
        <f>+'Invullen groen'!BA1105</f>
        <v/>
      </c>
      <c r="N1095" s="124">
        <f>+'Invullen groen'!BB1105</f>
        <v/>
      </c>
      <c r="O1095" s="124">
        <f>+'Invullen groen'!BC1105</f>
        <v/>
      </c>
      <c r="P1095" s="124">
        <f>+'Invullen groen'!BD1105</f>
        <v/>
      </c>
    </row>
    <row r="1096">
      <c r="A1096" s="113">
        <f>+'Invullen groen'!A1106</f>
        <v/>
      </c>
      <c r="B1096" s="154">
        <f>+'Invullen groen'!C1106</f>
        <v/>
      </c>
      <c r="C1096" s="124">
        <f>+'Invullen groen'!G1106</f>
        <v/>
      </c>
      <c r="D1096" s="113">
        <f>+'Invullen groen'!M1106</f>
        <v/>
      </c>
      <c r="E1096" s="114">
        <f>+'Invullen groen'!H1106</f>
        <v/>
      </c>
      <c r="F1096" s="114">
        <f>+'Invullen groen'!I1106</f>
        <v/>
      </c>
      <c r="G1096" s="114">
        <f>+'Invullen groen'!J1106</f>
        <v/>
      </c>
      <c r="H1096" s="114">
        <f>+'Invullen groen'!K1106</f>
        <v/>
      </c>
      <c r="I1096" s="124">
        <f>+'Invullen groen'!AW1106</f>
        <v/>
      </c>
      <c r="J1096" s="124">
        <f>+'Invullen groen'!AX1106</f>
        <v/>
      </c>
      <c r="K1096" s="124">
        <f>+'Invullen groen'!AY1106</f>
        <v/>
      </c>
      <c r="L1096" s="124">
        <f>+'Invullen groen'!AZ1106</f>
        <v/>
      </c>
      <c r="M1096" s="124">
        <f>+'Invullen groen'!BA1106</f>
        <v/>
      </c>
      <c r="N1096" s="124">
        <f>+'Invullen groen'!BB1106</f>
        <v/>
      </c>
      <c r="O1096" s="124">
        <f>+'Invullen groen'!BC1106</f>
        <v/>
      </c>
      <c r="P1096" s="124">
        <f>+'Invullen groen'!BD1106</f>
        <v/>
      </c>
    </row>
    <row r="1097">
      <c r="A1097" s="113">
        <f>+'Invullen groen'!A1107</f>
        <v/>
      </c>
      <c r="B1097" s="154">
        <f>+'Invullen groen'!C1107</f>
        <v/>
      </c>
      <c r="C1097" s="124">
        <f>+'Invullen groen'!G1107</f>
        <v/>
      </c>
      <c r="D1097" s="113">
        <f>+'Invullen groen'!M1107</f>
        <v/>
      </c>
      <c r="E1097" s="114">
        <f>+'Invullen groen'!H1107</f>
        <v/>
      </c>
      <c r="F1097" s="114">
        <f>+'Invullen groen'!I1107</f>
        <v/>
      </c>
      <c r="G1097" s="114">
        <f>+'Invullen groen'!J1107</f>
        <v/>
      </c>
      <c r="H1097" s="114">
        <f>+'Invullen groen'!K1107</f>
        <v/>
      </c>
      <c r="I1097" s="124">
        <f>+'Invullen groen'!AW1107</f>
        <v/>
      </c>
      <c r="J1097" s="124">
        <f>+'Invullen groen'!AX1107</f>
        <v/>
      </c>
      <c r="K1097" s="124">
        <f>+'Invullen groen'!AY1107</f>
        <v/>
      </c>
      <c r="L1097" s="124">
        <f>+'Invullen groen'!AZ1107</f>
        <v/>
      </c>
      <c r="M1097" s="124">
        <f>+'Invullen groen'!BA1107</f>
        <v/>
      </c>
      <c r="N1097" s="124">
        <f>+'Invullen groen'!BB1107</f>
        <v/>
      </c>
      <c r="O1097" s="124">
        <f>+'Invullen groen'!BC1107</f>
        <v/>
      </c>
      <c r="P1097" s="124">
        <f>+'Invullen groen'!BD1107</f>
        <v/>
      </c>
    </row>
    <row r="1098">
      <c r="A1098" s="113">
        <f>+'Invullen groen'!A1108</f>
        <v/>
      </c>
      <c r="B1098" s="154">
        <f>+'Invullen groen'!C1108</f>
        <v/>
      </c>
      <c r="C1098" s="124">
        <f>+'Invullen groen'!G1108</f>
        <v/>
      </c>
      <c r="D1098" s="113">
        <f>+'Invullen groen'!M1108</f>
        <v/>
      </c>
      <c r="E1098" s="114">
        <f>+'Invullen groen'!H1108</f>
        <v/>
      </c>
      <c r="F1098" s="114">
        <f>+'Invullen groen'!I1108</f>
        <v/>
      </c>
      <c r="G1098" s="114">
        <f>+'Invullen groen'!J1108</f>
        <v/>
      </c>
      <c r="H1098" s="114">
        <f>+'Invullen groen'!K1108</f>
        <v/>
      </c>
      <c r="I1098" s="124">
        <f>+'Invullen groen'!AW1108</f>
        <v/>
      </c>
      <c r="J1098" s="124">
        <f>+'Invullen groen'!AX1108</f>
        <v/>
      </c>
      <c r="K1098" s="124">
        <f>+'Invullen groen'!AY1108</f>
        <v/>
      </c>
      <c r="L1098" s="124">
        <f>+'Invullen groen'!AZ1108</f>
        <v/>
      </c>
      <c r="M1098" s="124">
        <f>+'Invullen groen'!BA1108</f>
        <v/>
      </c>
      <c r="N1098" s="124">
        <f>+'Invullen groen'!BB1108</f>
        <v/>
      </c>
      <c r="O1098" s="124">
        <f>+'Invullen groen'!BC1108</f>
        <v/>
      </c>
      <c r="P1098" s="124">
        <f>+'Invullen groen'!BD1108</f>
        <v/>
      </c>
    </row>
    <row r="1099">
      <c r="A1099" s="113">
        <f>+'Invullen groen'!A1109</f>
        <v/>
      </c>
      <c r="B1099" s="154">
        <f>+'Invullen groen'!C1109</f>
        <v/>
      </c>
      <c r="C1099" s="124">
        <f>+'Invullen groen'!G1109</f>
        <v/>
      </c>
      <c r="D1099" s="113">
        <f>+'Invullen groen'!M1109</f>
        <v/>
      </c>
      <c r="E1099" s="114">
        <f>+'Invullen groen'!H1109</f>
        <v/>
      </c>
      <c r="F1099" s="114">
        <f>+'Invullen groen'!I1109</f>
        <v/>
      </c>
      <c r="G1099" s="114">
        <f>+'Invullen groen'!J1109</f>
        <v/>
      </c>
      <c r="H1099" s="114">
        <f>+'Invullen groen'!K1109</f>
        <v/>
      </c>
      <c r="I1099" s="124">
        <f>+'Invullen groen'!AW1109</f>
        <v/>
      </c>
      <c r="J1099" s="124">
        <f>+'Invullen groen'!AX1109</f>
        <v/>
      </c>
      <c r="K1099" s="124">
        <f>+'Invullen groen'!AY1109</f>
        <v/>
      </c>
      <c r="L1099" s="124">
        <f>+'Invullen groen'!AZ1109</f>
        <v/>
      </c>
      <c r="M1099" s="124">
        <f>+'Invullen groen'!BA1109</f>
        <v/>
      </c>
      <c r="N1099" s="124">
        <f>+'Invullen groen'!BB1109</f>
        <v/>
      </c>
      <c r="O1099" s="124">
        <f>+'Invullen groen'!BC1109</f>
        <v/>
      </c>
      <c r="P1099" s="124">
        <f>+'Invullen groen'!BD1109</f>
        <v/>
      </c>
    </row>
    <row r="1100">
      <c r="A1100" s="113">
        <f>+'Invullen groen'!A1110</f>
        <v/>
      </c>
      <c r="B1100" s="154">
        <f>+'Invullen groen'!C1110</f>
        <v/>
      </c>
      <c r="C1100" s="124">
        <f>+'Invullen groen'!G1110</f>
        <v/>
      </c>
      <c r="D1100" s="113">
        <f>+'Invullen groen'!M1110</f>
        <v/>
      </c>
      <c r="E1100" s="114">
        <f>+'Invullen groen'!H1110</f>
        <v/>
      </c>
      <c r="F1100" s="114">
        <f>+'Invullen groen'!I1110</f>
        <v/>
      </c>
      <c r="G1100" s="114">
        <f>+'Invullen groen'!J1110</f>
        <v/>
      </c>
      <c r="H1100" s="114">
        <f>+'Invullen groen'!K1110</f>
        <v/>
      </c>
      <c r="I1100" s="124">
        <f>+'Invullen groen'!AW1110</f>
        <v/>
      </c>
      <c r="J1100" s="124">
        <f>+'Invullen groen'!AX1110</f>
        <v/>
      </c>
      <c r="K1100" s="124">
        <f>+'Invullen groen'!AY1110</f>
        <v/>
      </c>
      <c r="L1100" s="124">
        <f>+'Invullen groen'!AZ1110</f>
        <v/>
      </c>
      <c r="M1100" s="124">
        <f>+'Invullen groen'!BA1110</f>
        <v/>
      </c>
      <c r="N1100" s="124">
        <f>+'Invullen groen'!BB1110</f>
        <v/>
      </c>
      <c r="O1100" s="124">
        <f>+'Invullen groen'!BC1110</f>
        <v/>
      </c>
      <c r="P1100" s="124">
        <f>+'Invullen groen'!BD1110</f>
        <v/>
      </c>
    </row>
    <row r="1101">
      <c r="A1101" s="113">
        <f>+'Invullen groen'!A1111</f>
        <v/>
      </c>
      <c r="B1101" s="154">
        <f>+'Invullen groen'!C1111</f>
        <v/>
      </c>
      <c r="C1101" s="124">
        <f>+'Invullen groen'!G1111</f>
        <v/>
      </c>
      <c r="D1101" s="113">
        <f>+'Invullen groen'!M1111</f>
        <v/>
      </c>
      <c r="E1101" s="114">
        <f>+'Invullen groen'!H1111</f>
        <v/>
      </c>
      <c r="F1101" s="114">
        <f>+'Invullen groen'!I1111</f>
        <v/>
      </c>
      <c r="G1101" s="114">
        <f>+'Invullen groen'!J1111</f>
        <v/>
      </c>
      <c r="H1101" s="114">
        <f>+'Invullen groen'!K1111</f>
        <v/>
      </c>
      <c r="I1101" s="124">
        <f>+'Invullen groen'!AW1111</f>
        <v/>
      </c>
      <c r="J1101" s="124">
        <f>+'Invullen groen'!AX1111</f>
        <v/>
      </c>
      <c r="K1101" s="124">
        <f>+'Invullen groen'!AY1111</f>
        <v/>
      </c>
      <c r="L1101" s="124">
        <f>+'Invullen groen'!AZ1111</f>
        <v/>
      </c>
      <c r="M1101" s="124">
        <f>+'Invullen groen'!BA1111</f>
        <v/>
      </c>
      <c r="N1101" s="124">
        <f>+'Invullen groen'!BB1111</f>
        <v/>
      </c>
      <c r="O1101" s="124">
        <f>+'Invullen groen'!BC1111</f>
        <v/>
      </c>
      <c r="P1101" s="124">
        <f>+'Invullen groen'!BD1111</f>
        <v/>
      </c>
    </row>
    <row r="1102">
      <c r="A1102" s="113">
        <f>+'Invullen groen'!A1112</f>
        <v/>
      </c>
      <c r="B1102" s="154">
        <f>+'Invullen groen'!C1112</f>
        <v/>
      </c>
      <c r="C1102" s="124">
        <f>+'Invullen groen'!G1112</f>
        <v/>
      </c>
      <c r="D1102" s="113">
        <f>+'Invullen groen'!M1112</f>
        <v/>
      </c>
      <c r="E1102" s="114">
        <f>+'Invullen groen'!H1112</f>
        <v/>
      </c>
      <c r="F1102" s="114">
        <f>+'Invullen groen'!I1112</f>
        <v/>
      </c>
      <c r="G1102" s="114">
        <f>+'Invullen groen'!J1112</f>
        <v/>
      </c>
      <c r="H1102" s="114">
        <f>+'Invullen groen'!K1112</f>
        <v/>
      </c>
      <c r="I1102" s="124">
        <f>+'Invullen groen'!AW1112</f>
        <v/>
      </c>
      <c r="J1102" s="124">
        <f>+'Invullen groen'!AX1112</f>
        <v/>
      </c>
      <c r="K1102" s="124">
        <f>+'Invullen groen'!AY1112</f>
        <v/>
      </c>
      <c r="L1102" s="124">
        <f>+'Invullen groen'!AZ1112</f>
        <v/>
      </c>
      <c r="M1102" s="124">
        <f>+'Invullen groen'!BA1112</f>
        <v/>
      </c>
      <c r="N1102" s="124">
        <f>+'Invullen groen'!BB1112</f>
        <v/>
      </c>
      <c r="O1102" s="124">
        <f>+'Invullen groen'!BC1112</f>
        <v/>
      </c>
      <c r="P1102" s="124">
        <f>+'Invullen groen'!BD1112</f>
        <v/>
      </c>
    </row>
    <row r="1103">
      <c r="A1103" s="113">
        <f>+'Invullen groen'!A1113</f>
        <v/>
      </c>
      <c r="B1103" s="154">
        <f>+'Invullen groen'!C1113</f>
        <v/>
      </c>
      <c r="C1103" s="124">
        <f>+'Invullen groen'!G1113</f>
        <v/>
      </c>
      <c r="D1103" s="113">
        <f>+'Invullen groen'!M1113</f>
        <v/>
      </c>
      <c r="E1103" s="114">
        <f>+'Invullen groen'!H1113</f>
        <v/>
      </c>
      <c r="F1103" s="114">
        <f>+'Invullen groen'!I1113</f>
        <v/>
      </c>
      <c r="G1103" s="114">
        <f>+'Invullen groen'!J1113</f>
        <v/>
      </c>
      <c r="H1103" s="114">
        <f>+'Invullen groen'!K1113</f>
        <v/>
      </c>
      <c r="I1103" s="124">
        <f>+'Invullen groen'!AW1113</f>
        <v/>
      </c>
      <c r="J1103" s="124">
        <f>+'Invullen groen'!AX1113</f>
        <v/>
      </c>
      <c r="K1103" s="124">
        <f>+'Invullen groen'!AY1113</f>
        <v/>
      </c>
      <c r="L1103" s="124">
        <f>+'Invullen groen'!AZ1113</f>
        <v/>
      </c>
      <c r="M1103" s="124">
        <f>+'Invullen groen'!BA1113</f>
        <v/>
      </c>
      <c r="N1103" s="124">
        <f>+'Invullen groen'!BB1113</f>
        <v/>
      </c>
      <c r="O1103" s="124">
        <f>+'Invullen groen'!BC1113</f>
        <v/>
      </c>
      <c r="P1103" s="124">
        <f>+'Invullen groen'!BD1113</f>
        <v/>
      </c>
    </row>
    <row r="1104">
      <c r="A1104" s="113">
        <f>+'Invullen groen'!A1114</f>
        <v/>
      </c>
      <c r="B1104" s="154">
        <f>+'Invullen groen'!C1114</f>
        <v/>
      </c>
      <c r="C1104" s="124">
        <f>+'Invullen groen'!G1114</f>
        <v/>
      </c>
      <c r="D1104" s="113">
        <f>+'Invullen groen'!M1114</f>
        <v/>
      </c>
      <c r="E1104" s="114">
        <f>+'Invullen groen'!H1114</f>
        <v/>
      </c>
      <c r="F1104" s="114">
        <f>+'Invullen groen'!I1114</f>
        <v/>
      </c>
      <c r="G1104" s="114">
        <f>+'Invullen groen'!J1114</f>
        <v/>
      </c>
      <c r="H1104" s="114">
        <f>+'Invullen groen'!K1114</f>
        <v/>
      </c>
      <c r="I1104" s="124">
        <f>+'Invullen groen'!AW1114</f>
        <v/>
      </c>
      <c r="J1104" s="124">
        <f>+'Invullen groen'!AX1114</f>
        <v/>
      </c>
      <c r="K1104" s="124">
        <f>+'Invullen groen'!AY1114</f>
        <v/>
      </c>
      <c r="L1104" s="124">
        <f>+'Invullen groen'!AZ1114</f>
        <v/>
      </c>
      <c r="M1104" s="124">
        <f>+'Invullen groen'!BA1114</f>
        <v/>
      </c>
      <c r="N1104" s="124">
        <f>+'Invullen groen'!BB1114</f>
        <v/>
      </c>
      <c r="O1104" s="124">
        <f>+'Invullen groen'!BC1114</f>
        <v/>
      </c>
      <c r="P1104" s="124">
        <f>+'Invullen groen'!BD1114</f>
        <v/>
      </c>
    </row>
    <row r="1105">
      <c r="A1105" s="113">
        <f>+'Invullen groen'!A1115</f>
        <v/>
      </c>
      <c r="B1105" s="154">
        <f>+'Invullen groen'!C1115</f>
        <v/>
      </c>
      <c r="C1105" s="124">
        <f>+'Invullen groen'!G1115</f>
        <v/>
      </c>
      <c r="D1105" s="113">
        <f>+'Invullen groen'!M1115</f>
        <v/>
      </c>
      <c r="E1105" s="114">
        <f>+'Invullen groen'!H1115</f>
        <v/>
      </c>
      <c r="F1105" s="114">
        <f>+'Invullen groen'!I1115</f>
        <v/>
      </c>
      <c r="G1105" s="114">
        <f>+'Invullen groen'!J1115</f>
        <v/>
      </c>
      <c r="H1105" s="114">
        <f>+'Invullen groen'!K1115</f>
        <v/>
      </c>
      <c r="I1105" s="124">
        <f>+'Invullen groen'!AW1115</f>
        <v/>
      </c>
      <c r="J1105" s="124">
        <f>+'Invullen groen'!AX1115</f>
        <v/>
      </c>
      <c r="K1105" s="124">
        <f>+'Invullen groen'!AY1115</f>
        <v/>
      </c>
      <c r="L1105" s="124">
        <f>+'Invullen groen'!AZ1115</f>
        <v/>
      </c>
      <c r="M1105" s="124">
        <f>+'Invullen groen'!BA1115</f>
        <v/>
      </c>
      <c r="N1105" s="124">
        <f>+'Invullen groen'!BB1115</f>
        <v/>
      </c>
      <c r="O1105" s="124">
        <f>+'Invullen groen'!BC1115</f>
        <v/>
      </c>
      <c r="P1105" s="124">
        <f>+'Invullen groen'!BD1115</f>
        <v/>
      </c>
    </row>
    <row r="1106">
      <c r="A1106" s="113">
        <f>+'Invullen groen'!A1116</f>
        <v/>
      </c>
      <c r="B1106" s="154">
        <f>+'Invullen groen'!C1116</f>
        <v/>
      </c>
      <c r="C1106" s="124">
        <f>+'Invullen groen'!G1116</f>
        <v/>
      </c>
      <c r="D1106" s="113">
        <f>+'Invullen groen'!M1116</f>
        <v/>
      </c>
      <c r="E1106" s="114">
        <f>+'Invullen groen'!H1116</f>
        <v/>
      </c>
      <c r="F1106" s="114">
        <f>+'Invullen groen'!I1116</f>
        <v/>
      </c>
      <c r="G1106" s="114">
        <f>+'Invullen groen'!J1116</f>
        <v/>
      </c>
      <c r="H1106" s="114">
        <f>+'Invullen groen'!K1116</f>
        <v/>
      </c>
      <c r="I1106" s="124">
        <f>+'Invullen groen'!AW1116</f>
        <v/>
      </c>
      <c r="J1106" s="124">
        <f>+'Invullen groen'!AX1116</f>
        <v/>
      </c>
      <c r="K1106" s="124">
        <f>+'Invullen groen'!AY1116</f>
        <v/>
      </c>
      <c r="L1106" s="124">
        <f>+'Invullen groen'!AZ1116</f>
        <v/>
      </c>
      <c r="M1106" s="124">
        <f>+'Invullen groen'!BA1116</f>
        <v/>
      </c>
      <c r="N1106" s="124">
        <f>+'Invullen groen'!BB1116</f>
        <v/>
      </c>
      <c r="O1106" s="124">
        <f>+'Invullen groen'!BC1116</f>
        <v/>
      </c>
      <c r="P1106" s="124">
        <f>+'Invullen groen'!BD1116</f>
        <v/>
      </c>
    </row>
    <row r="1107">
      <c r="A1107" s="113">
        <f>+'Invullen groen'!A1117</f>
        <v/>
      </c>
      <c r="B1107" s="154">
        <f>+'Invullen groen'!C1117</f>
        <v/>
      </c>
      <c r="C1107" s="124">
        <f>+'Invullen groen'!G1117</f>
        <v/>
      </c>
      <c r="D1107" s="113">
        <f>+'Invullen groen'!M1117</f>
        <v/>
      </c>
      <c r="E1107" s="114">
        <f>+'Invullen groen'!H1117</f>
        <v/>
      </c>
      <c r="F1107" s="114">
        <f>+'Invullen groen'!I1117</f>
        <v/>
      </c>
      <c r="G1107" s="114">
        <f>+'Invullen groen'!J1117</f>
        <v/>
      </c>
      <c r="H1107" s="114">
        <f>+'Invullen groen'!K1117</f>
        <v/>
      </c>
      <c r="I1107" s="124">
        <f>+'Invullen groen'!AW1117</f>
        <v/>
      </c>
      <c r="J1107" s="124">
        <f>+'Invullen groen'!AX1117</f>
        <v/>
      </c>
      <c r="K1107" s="124">
        <f>+'Invullen groen'!AY1117</f>
        <v/>
      </c>
      <c r="L1107" s="124">
        <f>+'Invullen groen'!AZ1117</f>
        <v/>
      </c>
      <c r="M1107" s="124">
        <f>+'Invullen groen'!BA1117</f>
        <v/>
      </c>
      <c r="N1107" s="124">
        <f>+'Invullen groen'!BB1117</f>
        <v/>
      </c>
      <c r="O1107" s="124">
        <f>+'Invullen groen'!BC1117</f>
        <v/>
      </c>
      <c r="P1107" s="124">
        <f>+'Invullen groen'!BD1117</f>
        <v/>
      </c>
    </row>
    <row r="1108">
      <c r="A1108" s="113">
        <f>+'Invullen groen'!A1118</f>
        <v/>
      </c>
      <c r="B1108" s="154">
        <f>+'Invullen groen'!C1118</f>
        <v/>
      </c>
      <c r="C1108" s="124">
        <f>+'Invullen groen'!G1118</f>
        <v/>
      </c>
      <c r="D1108" s="113">
        <f>+'Invullen groen'!M1118</f>
        <v/>
      </c>
      <c r="E1108" s="114">
        <f>+'Invullen groen'!H1118</f>
        <v/>
      </c>
      <c r="F1108" s="114">
        <f>+'Invullen groen'!I1118</f>
        <v/>
      </c>
      <c r="G1108" s="114">
        <f>+'Invullen groen'!J1118</f>
        <v/>
      </c>
      <c r="H1108" s="114">
        <f>+'Invullen groen'!K1118</f>
        <v/>
      </c>
      <c r="I1108" s="124">
        <f>+'Invullen groen'!AW1118</f>
        <v/>
      </c>
      <c r="J1108" s="124">
        <f>+'Invullen groen'!AX1118</f>
        <v/>
      </c>
      <c r="K1108" s="124">
        <f>+'Invullen groen'!AY1118</f>
        <v/>
      </c>
      <c r="L1108" s="124">
        <f>+'Invullen groen'!AZ1118</f>
        <v/>
      </c>
      <c r="M1108" s="124">
        <f>+'Invullen groen'!BA1118</f>
        <v/>
      </c>
      <c r="N1108" s="124">
        <f>+'Invullen groen'!BB1118</f>
        <v/>
      </c>
      <c r="O1108" s="124">
        <f>+'Invullen groen'!BC1118</f>
        <v/>
      </c>
      <c r="P1108" s="124">
        <f>+'Invullen groen'!BD1118</f>
        <v/>
      </c>
    </row>
    <row r="1109">
      <c r="A1109" s="113">
        <f>+'Invullen groen'!A1119</f>
        <v/>
      </c>
      <c r="B1109" s="154">
        <f>+'Invullen groen'!C1119</f>
        <v/>
      </c>
      <c r="C1109" s="124">
        <f>+'Invullen groen'!G1119</f>
        <v/>
      </c>
      <c r="D1109" s="113">
        <f>+'Invullen groen'!M1119</f>
        <v/>
      </c>
      <c r="E1109" s="114">
        <f>+'Invullen groen'!H1119</f>
        <v/>
      </c>
      <c r="F1109" s="114">
        <f>+'Invullen groen'!I1119</f>
        <v/>
      </c>
      <c r="G1109" s="114">
        <f>+'Invullen groen'!J1119</f>
        <v/>
      </c>
      <c r="H1109" s="114">
        <f>+'Invullen groen'!K1119</f>
        <v/>
      </c>
      <c r="I1109" s="124">
        <f>+'Invullen groen'!AW1119</f>
        <v/>
      </c>
      <c r="J1109" s="124">
        <f>+'Invullen groen'!AX1119</f>
        <v/>
      </c>
      <c r="K1109" s="124">
        <f>+'Invullen groen'!AY1119</f>
        <v/>
      </c>
      <c r="L1109" s="124">
        <f>+'Invullen groen'!AZ1119</f>
        <v/>
      </c>
      <c r="M1109" s="124">
        <f>+'Invullen groen'!BA1119</f>
        <v/>
      </c>
      <c r="N1109" s="124">
        <f>+'Invullen groen'!BB1119</f>
        <v/>
      </c>
      <c r="O1109" s="124">
        <f>+'Invullen groen'!BC1119</f>
        <v/>
      </c>
      <c r="P1109" s="124">
        <f>+'Invullen groen'!BD1119</f>
        <v/>
      </c>
    </row>
    <row r="1110">
      <c r="A1110" s="113">
        <f>+'Invullen groen'!A1120</f>
        <v/>
      </c>
      <c r="B1110" s="154">
        <f>+'Invullen groen'!C1120</f>
        <v/>
      </c>
      <c r="C1110" s="124">
        <f>+'Invullen groen'!G1120</f>
        <v/>
      </c>
      <c r="D1110" s="113">
        <f>+'Invullen groen'!M1120</f>
        <v/>
      </c>
      <c r="E1110" s="114">
        <f>+'Invullen groen'!H1120</f>
        <v/>
      </c>
      <c r="F1110" s="114">
        <f>+'Invullen groen'!I1120</f>
        <v/>
      </c>
      <c r="G1110" s="114">
        <f>+'Invullen groen'!J1120</f>
        <v/>
      </c>
      <c r="H1110" s="114">
        <f>+'Invullen groen'!K1120</f>
        <v/>
      </c>
      <c r="I1110" s="124">
        <f>+'Invullen groen'!AW1120</f>
        <v/>
      </c>
      <c r="J1110" s="124">
        <f>+'Invullen groen'!AX1120</f>
        <v/>
      </c>
      <c r="K1110" s="124">
        <f>+'Invullen groen'!AY1120</f>
        <v/>
      </c>
      <c r="L1110" s="124">
        <f>+'Invullen groen'!AZ1120</f>
        <v/>
      </c>
      <c r="M1110" s="124">
        <f>+'Invullen groen'!BA1120</f>
        <v/>
      </c>
      <c r="N1110" s="124">
        <f>+'Invullen groen'!BB1120</f>
        <v/>
      </c>
      <c r="O1110" s="124">
        <f>+'Invullen groen'!BC1120</f>
        <v/>
      </c>
      <c r="P1110" s="124">
        <f>+'Invullen groen'!BD1120</f>
        <v/>
      </c>
    </row>
    <row r="1111">
      <c r="A1111" s="113">
        <f>+'Invullen groen'!A1121</f>
        <v/>
      </c>
      <c r="B1111" s="154">
        <f>+'Invullen groen'!C1121</f>
        <v/>
      </c>
      <c r="C1111" s="124">
        <f>+'Invullen groen'!G1121</f>
        <v/>
      </c>
      <c r="D1111" s="113">
        <f>+'Invullen groen'!M1121</f>
        <v/>
      </c>
      <c r="E1111" s="114">
        <f>+'Invullen groen'!H1121</f>
        <v/>
      </c>
      <c r="F1111" s="114">
        <f>+'Invullen groen'!I1121</f>
        <v/>
      </c>
      <c r="G1111" s="114">
        <f>+'Invullen groen'!J1121</f>
        <v/>
      </c>
      <c r="H1111" s="114">
        <f>+'Invullen groen'!K1121</f>
        <v/>
      </c>
      <c r="I1111" s="124">
        <f>+'Invullen groen'!AW1121</f>
        <v/>
      </c>
      <c r="J1111" s="124">
        <f>+'Invullen groen'!AX1121</f>
        <v/>
      </c>
      <c r="K1111" s="124">
        <f>+'Invullen groen'!AY1121</f>
        <v/>
      </c>
      <c r="L1111" s="124">
        <f>+'Invullen groen'!AZ1121</f>
        <v/>
      </c>
      <c r="M1111" s="124">
        <f>+'Invullen groen'!BA1121</f>
        <v/>
      </c>
      <c r="N1111" s="124">
        <f>+'Invullen groen'!BB1121</f>
        <v/>
      </c>
      <c r="O1111" s="124">
        <f>+'Invullen groen'!BC1121</f>
        <v/>
      </c>
      <c r="P1111" s="124">
        <f>+'Invullen groen'!BD1121</f>
        <v/>
      </c>
    </row>
    <row r="1112">
      <c r="A1112" s="113">
        <f>+'Invullen groen'!A1122</f>
        <v/>
      </c>
      <c r="B1112" s="154">
        <f>+'Invullen groen'!C1122</f>
        <v/>
      </c>
      <c r="C1112" s="124">
        <f>+'Invullen groen'!G1122</f>
        <v/>
      </c>
      <c r="D1112" s="113">
        <f>+'Invullen groen'!M1122</f>
        <v/>
      </c>
      <c r="E1112" s="114">
        <f>+'Invullen groen'!H1122</f>
        <v/>
      </c>
      <c r="F1112" s="114">
        <f>+'Invullen groen'!I1122</f>
        <v/>
      </c>
      <c r="G1112" s="114">
        <f>+'Invullen groen'!J1122</f>
        <v/>
      </c>
      <c r="H1112" s="114">
        <f>+'Invullen groen'!K1122</f>
        <v/>
      </c>
      <c r="I1112" s="124">
        <f>+'Invullen groen'!AW1122</f>
        <v/>
      </c>
      <c r="J1112" s="124">
        <f>+'Invullen groen'!AX1122</f>
        <v/>
      </c>
      <c r="K1112" s="124">
        <f>+'Invullen groen'!AY1122</f>
        <v/>
      </c>
      <c r="L1112" s="124">
        <f>+'Invullen groen'!AZ1122</f>
        <v/>
      </c>
      <c r="M1112" s="124">
        <f>+'Invullen groen'!BA1122</f>
        <v/>
      </c>
      <c r="N1112" s="124">
        <f>+'Invullen groen'!BB1122</f>
        <v/>
      </c>
      <c r="O1112" s="124">
        <f>+'Invullen groen'!BC1122</f>
        <v/>
      </c>
      <c r="P1112" s="124">
        <f>+'Invullen groen'!BD1122</f>
        <v/>
      </c>
    </row>
    <row r="1113">
      <c r="A1113" s="113">
        <f>+'Invullen groen'!A1123</f>
        <v/>
      </c>
      <c r="B1113" s="154">
        <f>+'Invullen groen'!C1123</f>
        <v/>
      </c>
      <c r="C1113" s="124">
        <f>+'Invullen groen'!G1123</f>
        <v/>
      </c>
      <c r="D1113" s="113">
        <f>+'Invullen groen'!M1123</f>
        <v/>
      </c>
      <c r="E1113" s="114">
        <f>+'Invullen groen'!H1123</f>
        <v/>
      </c>
      <c r="F1113" s="114">
        <f>+'Invullen groen'!I1123</f>
        <v/>
      </c>
      <c r="G1113" s="114">
        <f>+'Invullen groen'!J1123</f>
        <v/>
      </c>
      <c r="H1113" s="114">
        <f>+'Invullen groen'!K1123</f>
        <v/>
      </c>
      <c r="I1113" s="124">
        <f>+'Invullen groen'!AW1123</f>
        <v/>
      </c>
      <c r="J1113" s="124">
        <f>+'Invullen groen'!AX1123</f>
        <v/>
      </c>
      <c r="K1113" s="124">
        <f>+'Invullen groen'!AY1123</f>
        <v/>
      </c>
      <c r="L1113" s="124">
        <f>+'Invullen groen'!AZ1123</f>
        <v/>
      </c>
      <c r="M1113" s="124">
        <f>+'Invullen groen'!BA1123</f>
        <v/>
      </c>
      <c r="N1113" s="124">
        <f>+'Invullen groen'!BB1123</f>
        <v/>
      </c>
      <c r="O1113" s="124">
        <f>+'Invullen groen'!BC1123</f>
        <v/>
      </c>
      <c r="P1113" s="124">
        <f>+'Invullen groen'!BD1123</f>
        <v/>
      </c>
    </row>
    <row r="1114">
      <c r="A1114" s="113">
        <f>+'Invullen groen'!A1124</f>
        <v/>
      </c>
      <c r="B1114" s="154">
        <f>+'Invullen groen'!C1124</f>
        <v/>
      </c>
      <c r="C1114" s="124">
        <f>+'Invullen groen'!G1124</f>
        <v/>
      </c>
      <c r="D1114" s="113">
        <f>+'Invullen groen'!M1124</f>
        <v/>
      </c>
      <c r="E1114" s="114">
        <f>+'Invullen groen'!H1124</f>
        <v/>
      </c>
      <c r="F1114" s="114">
        <f>+'Invullen groen'!I1124</f>
        <v/>
      </c>
      <c r="G1114" s="114">
        <f>+'Invullen groen'!J1124</f>
        <v/>
      </c>
      <c r="H1114" s="114">
        <f>+'Invullen groen'!K1124</f>
        <v/>
      </c>
      <c r="I1114" s="124">
        <f>+'Invullen groen'!AW1124</f>
        <v/>
      </c>
      <c r="J1114" s="124">
        <f>+'Invullen groen'!AX1124</f>
        <v/>
      </c>
      <c r="K1114" s="124">
        <f>+'Invullen groen'!AY1124</f>
        <v/>
      </c>
      <c r="L1114" s="124">
        <f>+'Invullen groen'!AZ1124</f>
        <v/>
      </c>
      <c r="M1114" s="124">
        <f>+'Invullen groen'!BA1124</f>
        <v/>
      </c>
      <c r="N1114" s="124">
        <f>+'Invullen groen'!BB1124</f>
        <v/>
      </c>
      <c r="O1114" s="124">
        <f>+'Invullen groen'!BC1124</f>
        <v/>
      </c>
      <c r="P1114" s="124">
        <f>+'Invullen groen'!BD1124</f>
        <v/>
      </c>
    </row>
    <row r="1115">
      <c r="A1115" s="113">
        <f>+'Invullen groen'!A1125</f>
        <v/>
      </c>
      <c r="B1115" s="154">
        <f>+'Invullen groen'!C1125</f>
        <v/>
      </c>
      <c r="C1115" s="124">
        <f>+'Invullen groen'!G1125</f>
        <v/>
      </c>
      <c r="D1115" s="113">
        <f>+'Invullen groen'!M1125</f>
        <v/>
      </c>
      <c r="E1115" s="114">
        <f>+'Invullen groen'!H1125</f>
        <v/>
      </c>
      <c r="F1115" s="114">
        <f>+'Invullen groen'!I1125</f>
        <v/>
      </c>
      <c r="G1115" s="114">
        <f>+'Invullen groen'!J1125</f>
        <v/>
      </c>
      <c r="H1115" s="114">
        <f>+'Invullen groen'!K1125</f>
        <v/>
      </c>
      <c r="I1115" s="124">
        <f>+'Invullen groen'!AW1125</f>
        <v/>
      </c>
      <c r="J1115" s="124">
        <f>+'Invullen groen'!AX1125</f>
        <v/>
      </c>
      <c r="K1115" s="124">
        <f>+'Invullen groen'!AY1125</f>
        <v/>
      </c>
      <c r="L1115" s="124">
        <f>+'Invullen groen'!AZ1125</f>
        <v/>
      </c>
      <c r="M1115" s="124">
        <f>+'Invullen groen'!BA1125</f>
        <v/>
      </c>
      <c r="N1115" s="124">
        <f>+'Invullen groen'!BB1125</f>
        <v/>
      </c>
      <c r="O1115" s="124">
        <f>+'Invullen groen'!BC1125</f>
        <v/>
      </c>
      <c r="P1115" s="124">
        <f>+'Invullen groen'!BD1125</f>
        <v/>
      </c>
    </row>
    <row r="1116">
      <c r="A1116" s="113">
        <f>+'Invullen groen'!A1126</f>
        <v/>
      </c>
      <c r="B1116" s="154">
        <f>+'Invullen groen'!C1126</f>
        <v/>
      </c>
      <c r="C1116" s="124">
        <f>+'Invullen groen'!G1126</f>
        <v/>
      </c>
      <c r="D1116" s="113">
        <f>+'Invullen groen'!M1126</f>
        <v/>
      </c>
      <c r="E1116" s="114">
        <f>+'Invullen groen'!H1126</f>
        <v/>
      </c>
      <c r="F1116" s="114">
        <f>+'Invullen groen'!I1126</f>
        <v/>
      </c>
      <c r="G1116" s="114">
        <f>+'Invullen groen'!J1126</f>
        <v/>
      </c>
      <c r="H1116" s="114">
        <f>+'Invullen groen'!K1126</f>
        <v/>
      </c>
      <c r="I1116" s="124">
        <f>+'Invullen groen'!AW1126</f>
        <v/>
      </c>
      <c r="J1116" s="124">
        <f>+'Invullen groen'!AX1126</f>
        <v/>
      </c>
      <c r="K1116" s="124">
        <f>+'Invullen groen'!AY1126</f>
        <v/>
      </c>
      <c r="L1116" s="124">
        <f>+'Invullen groen'!AZ1126</f>
        <v/>
      </c>
      <c r="M1116" s="124">
        <f>+'Invullen groen'!BA1126</f>
        <v/>
      </c>
      <c r="N1116" s="124">
        <f>+'Invullen groen'!BB1126</f>
        <v/>
      </c>
      <c r="O1116" s="124">
        <f>+'Invullen groen'!BC1126</f>
        <v/>
      </c>
      <c r="P1116" s="124">
        <f>+'Invullen groen'!BD1126</f>
        <v/>
      </c>
    </row>
    <row r="1117">
      <c r="A1117" s="113">
        <f>+'Invullen groen'!A1127</f>
        <v/>
      </c>
      <c r="B1117" s="154">
        <f>+'Invullen groen'!C1127</f>
        <v/>
      </c>
      <c r="C1117" s="124">
        <f>+'Invullen groen'!G1127</f>
        <v/>
      </c>
      <c r="D1117" s="113">
        <f>+'Invullen groen'!M1127</f>
        <v/>
      </c>
      <c r="E1117" s="114">
        <f>+'Invullen groen'!H1127</f>
        <v/>
      </c>
      <c r="F1117" s="114">
        <f>+'Invullen groen'!I1127</f>
        <v/>
      </c>
      <c r="G1117" s="114">
        <f>+'Invullen groen'!J1127</f>
        <v/>
      </c>
      <c r="H1117" s="114">
        <f>+'Invullen groen'!K1127</f>
        <v/>
      </c>
      <c r="I1117" s="124">
        <f>+'Invullen groen'!AW1127</f>
        <v/>
      </c>
      <c r="J1117" s="124">
        <f>+'Invullen groen'!AX1127</f>
        <v/>
      </c>
      <c r="K1117" s="124">
        <f>+'Invullen groen'!AY1127</f>
        <v/>
      </c>
      <c r="L1117" s="124">
        <f>+'Invullen groen'!AZ1127</f>
        <v/>
      </c>
      <c r="M1117" s="124">
        <f>+'Invullen groen'!BA1127</f>
        <v/>
      </c>
      <c r="N1117" s="124">
        <f>+'Invullen groen'!BB1127</f>
        <v/>
      </c>
      <c r="O1117" s="124">
        <f>+'Invullen groen'!BC1127</f>
        <v/>
      </c>
      <c r="P1117" s="124">
        <f>+'Invullen groen'!BD1127</f>
        <v/>
      </c>
    </row>
    <row r="1118">
      <c r="A1118" s="113">
        <f>+'Invullen groen'!A1128</f>
        <v/>
      </c>
      <c r="B1118" s="154">
        <f>+'Invullen groen'!C1128</f>
        <v/>
      </c>
      <c r="C1118" s="124">
        <f>+'Invullen groen'!G1128</f>
        <v/>
      </c>
      <c r="D1118" s="113">
        <f>+'Invullen groen'!M1128</f>
        <v/>
      </c>
      <c r="E1118" s="114">
        <f>+'Invullen groen'!H1128</f>
        <v/>
      </c>
      <c r="F1118" s="114">
        <f>+'Invullen groen'!I1128</f>
        <v/>
      </c>
      <c r="G1118" s="114">
        <f>+'Invullen groen'!J1128</f>
        <v/>
      </c>
      <c r="H1118" s="114">
        <f>+'Invullen groen'!K1128</f>
        <v/>
      </c>
      <c r="I1118" s="124">
        <f>+'Invullen groen'!AW1128</f>
        <v/>
      </c>
      <c r="J1118" s="124">
        <f>+'Invullen groen'!AX1128</f>
        <v/>
      </c>
      <c r="K1118" s="124">
        <f>+'Invullen groen'!AY1128</f>
        <v/>
      </c>
      <c r="L1118" s="124">
        <f>+'Invullen groen'!AZ1128</f>
        <v/>
      </c>
      <c r="M1118" s="124">
        <f>+'Invullen groen'!BA1128</f>
        <v/>
      </c>
      <c r="N1118" s="124">
        <f>+'Invullen groen'!BB1128</f>
        <v/>
      </c>
      <c r="O1118" s="124">
        <f>+'Invullen groen'!BC1128</f>
        <v/>
      </c>
      <c r="P1118" s="124">
        <f>+'Invullen groen'!BD1128</f>
        <v/>
      </c>
    </row>
    <row r="1119">
      <c r="A1119" s="113">
        <f>+'Invullen groen'!A1129</f>
        <v/>
      </c>
      <c r="B1119" s="154">
        <f>+'Invullen groen'!C1129</f>
        <v/>
      </c>
      <c r="C1119" s="124">
        <f>+'Invullen groen'!G1129</f>
        <v/>
      </c>
      <c r="D1119" s="113">
        <f>+'Invullen groen'!M1129</f>
        <v/>
      </c>
      <c r="E1119" s="114">
        <f>+'Invullen groen'!H1129</f>
        <v/>
      </c>
      <c r="F1119" s="114">
        <f>+'Invullen groen'!I1129</f>
        <v/>
      </c>
      <c r="G1119" s="114">
        <f>+'Invullen groen'!J1129</f>
        <v/>
      </c>
      <c r="H1119" s="114">
        <f>+'Invullen groen'!K1129</f>
        <v/>
      </c>
      <c r="I1119" s="124">
        <f>+'Invullen groen'!AW1129</f>
        <v/>
      </c>
      <c r="J1119" s="124">
        <f>+'Invullen groen'!AX1129</f>
        <v/>
      </c>
      <c r="K1119" s="124">
        <f>+'Invullen groen'!AY1129</f>
        <v/>
      </c>
      <c r="L1119" s="124">
        <f>+'Invullen groen'!AZ1129</f>
        <v/>
      </c>
      <c r="M1119" s="124">
        <f>+'Invullen groen'!BA1129</f>
        <v/>
      </c>
      <c r="N1119" s="124">
        <f>+'Invullen groen'!BB1129</f>
        <v/>
      </c>
      <c r="O1119" s="124">
        <f>+'Invullen groen'!BC1129</f>
        <v/>
      </c>
      <c r="P1119" s="124">
        <f>+'Invullen groen'!BD1129</f>
        <v/>
      </c>
    </row>
    <row r="1120">
      <c r="A1120" s="113">
        <f>+'Invullen groen'!A1130</f>
        <v/>
      </c>
      <c r="B1120" s="154">
        <f>+'Invullen groen'!C1130</f>
        <v/>
      </c>
      <c r="C1120" s="124">
        <f>+'Invullen groen'!G1130</f>
        <v/>
      </c>
      <c r="D1120" s="113">
        <f>+'Invullen groen'!M1130</f>
        <v/>
      </c>
      <c r="E1120" s="114">
        <f>+'Invullen groen'!H1130</f>
        <v/>
      </c>
      <c r="F1120" s="114">
        <f>+'Invullen groen'!I1130</f>
        <v/>
      </c>
      <c r="G1120" s="114">
        <f>+'Invullen groen'!J1130</f>
        <v/>
      </c>
      <c r="H1120" s="114">
        <f>+'Invullen groen'!K1130</f>
        <v/>
      </c>
      <c r="I1120" s="124">
        <f>+'Invullen groen'!AW1130</f>
        <v/>
      </c>
      <c r="J1120" s="124">
        <f>+'Invullen groen'!AX1130</f>
        <v/>
      </c>
      <c r="K1120" s="124">
        <f>+'Invullen groen'!AY1130</f>
        <v/>
      </c>
      <c r="L1120" s="124">
        <f>+'Invullen groen'!AZ1130</f>
        <v/>
      </c>
      <c r="M1120" s="124">
        <f>+'Invullen groen'!BA1130</f>
        <v/>
      </c>
      <c r="N1120" s="124">
        <f>+'Invullen groen'!BB1130</f>
        <v/>
      </c>
      <c r="O1120" s="124">
        <f>+'Invullen groen'!BC1130</f>
        <v/>
      </c>
      <c r="P1120" s="124">
        <f>+'Invullen groen'!BD1130</f>
        <v/>
      </c>
    </row>
    <row r="1121">
      <c r="A1121" s="113">
        <f>+'Invullen groen'!A1131</f>
        <v/>
      </c>
      <c r="B1121" s="154">
        <f>+'Invullen groen'!C1131</f>
        <v/>
      </c>
      <c r="C1121" s="124">
        <f>+'Invullen groen'!G1131</f>
        <v/>
      </c>
      <c r="D1121" s="113">
        <f>+'Invullen groen'!M1131</f>
        <v/>
      </c>
      <c r="E1121" s="114">
        <f>+'Invullen groen'!H1131</f>
        <v/>
      </c>
      <c r="F1121" s="114">
        <f>+'Invullen groen'!I1131</f>
        <v/>
      </c>
      <c r="G1121" s="114">
        <f>+'Invullen groen'!J1131</f>
        <v/>
      </c>
      <c r="H1121" s="114">
        <f>+'Invullen groen'!K1131</f>
        <v/>
      </c>
      <c r="I1121" s="124">
        <f>+'Invullen groen'!AW1131</f>
        <v/>
      </c>
      <c r="J1121" s="124">
        <f>+'Invullen groen'!AX1131</f>
        <v/>
      </c>
      <c r="K1121" s="124">
        <f>+'Invullen groen'!AY1131</f>
        <v/>
      </c>
      <c r="L1121" s="124">
        <f>+'Invullen groen'!AZ1131</f>
        <v/>
      </c>
      <c r="M1121" s="124">
        <f>+'Invullen groen'!BA1131</f>
        <v/>
      </c>
      <c r="N1121" s="124">
        <f>+'Invullen groen'!BB1131</f>
        <v/>
      </c>
      <c r="O1121" s="124">
        <f>+'Invullen groen'!BC1131</f>
        <v/>
      </c>
      <c r="P1121" s="124">
        <f>+'Invullen groen'!BD1131</f>
        <v/>
      </c>
    </row>
    <row r="1122">
      <c r="A1122" s="113">
        <f>+'Invullen groen'!A1132</f>
        <v/>
      </c>
      <c r="B1122" s="154">
        <f>+'Invullen groen'!C1132</f>
        <v/>
      </c>
      <c r="C1122" s="124">
        <f>+'Invullen groen'!G1132</f>
        <v/>
      </c>
      <c r="D1122" s="113">
        <f>+'Invullen groen'!M1132</f>
        <v/>
      </c>
      <c r="E1122" s="114">
        <f>+'Invullen groen'!H1132</f>
        <v/>
      </c>
      <c r="F1122" s="114">
        <f>+'Invullen groen'!I1132</f>
        <v/>
      </c>
      <c r="G1122" s="114">
        <f>+'Invullen groen'!J1132</f>
        <v/>
      </c>
      <c r="H1122" s="114">
        <f>+'Invullen groen'!K1132</f>
        <v/>
      </c>
      <c r="I1122" s="124">
        <f>+'Invullen groen'!AW1132</f>
        <v/>
      </c>
      <c r="J1122" s="124">
        <f>+'Invullen groen'!AX1132</f>
        <v/>
      </c>
      <c r="K1122" s="124">
        <f>+'Invullen groen'!AY1132</f>
        <v/>
      </c>
      <c r="L1122" s="124">
        <f>+'Invullen groen'!AZ1132</f>
        <v/>
      </c>
      <c r="M1122" s="124">
        <f>+'Invullen groen'!BA1132</f>
        <v/>
      </c>
      <c r="N1122" s="124">
        <f>+'Invullen groen'!BB1132</f>
        <v/>
      </c>
      <c r="O1122" s="124">
        <f>+'Invullen groen'!BC1132</f>
        <v/>
      </c>
      <c r="P1122" s="124">
        <f>+'Invullen groen'!BD1132</f>
        <v/>
      </c>
    </row>
    <row r="1123">
      <c r="A1123" s="113">
        <f>+'Invullen groen'!A1133</f>
        <v/>
      </c>
      <c r="B1123" s="154">
        <f>+'Invullen groen'!C1133</f>
        <v/>
      </c>
      <c r="C1123" s="124">
        <f>+'Invullen groen'!G1133</f>
        <v/>
      </c>
      <c r="D1123" s="113">
        <f>+'Invullen groen'!M1133</f>
        <v/>
      </c>
      <c r="E1123" s="114">
        <f>+'Invullen groen'!H1133</f>
        <v/>
      </c>
      <c r="F1123" s="114">
        <f>+'Invullen groen'!I1133</f>
        <v/>
      </c>
      <c r="G1123" s="114">
        <f>+'Invullen groen'!J1133</f>
        <v/>
      </c>
      <c r="H1123" s="114">
        <f>+'Invullen groen'!K1133</f>
        <v/>
      </c>
      <c r="I1123" s="124">
        <f>+'Invullen groen'!AW1133</f>
        <v/>
      </c>
      <c r="J1123" s="124">
        <f>+'Invullen groen'!AX1133</f>
        <v/>
      </c>
      <c r="K1123" s="124">
        <f>+'Invullen groen'!AY1133</f>
        <v/>
      </c>
      <c r="L1123" s="124">
        <f>+'Invullen groen'!AZ1133</f>
        <v/>
      </c>
      <c r="M1123" s="124">
        <f>+'Invullen groen'!BA1133</f>
        <v/>
      </c>
      <c r="N1123" s="124">
        <f>+'Invullen groen'!BB1133</f>
        <v/>
      </c>
      <c r="O1123" s="124">
        <f>+'Invullen groen'!BC1133</f>
        <v/>
      </c>
      <c r="P1123" s="124">
        <f>+'Invullen groen'!BD1133</f>
        <v/>
      </c>
    </row>
    <row r="1124">
      <c r="A1124" s="113">
        <f>+'Invullen groen'!A1134</f>
        <v/>
      </c>
      <c r="B1124" s="154">
        <f>+'Invullen groen'!C1134</f>
        <v/>
      </c>
      <c r="C1124" s="124">
        <f>+'Invullen groen'!G1134</f>
        <v/>
      </c>
      <c r="D1124" s="113">
        <f>+'Invullen groen'!M1134</f>
        <v/>
      </c>
      <c r="E1124" s="114">
        <f>+'Invullen groen'!H1134</f>
        <v/>
      </c>
      <c r="F1124" s="114">
        <f>+'Invullen groen'!I1134</f>
        <v/>
      </c>
      <c r="G1124" s="114">
        <f>+'Invullen groen'!J1134</f>
        <v/>
      </c>
      <c r="H1124" s="114">
        <f>+'Invullen groen'!K1134</f>
        <v/>
      </c>
      <c r="I1124" s="124">
        <f>+'Invullen groen'!AW1134</f>
        <v/>
      </c>
      <c r="J1124" s="124">
        <f>+'Invullen groen'!AX1134</f>
        <v/>
      </c>
      <c r="K1124" s="124">
        <f>+'Invullen groen'!AY1134</f>
        <v/>
      </c>
      <c r="L1124" s="124">
        <f>+'Invullen groen'!AZ1134</f>
        <v/>
      </c>
      <c r="M1124" s="124">
        <f>+'Invullen groen'!BA1134</f>
        <v/>
      </c>
      <c r="N1124" s="124">
        <f>+'Invullen groen'!BB1134</f>
        <v/>
      </c>
      <c r="O1124" s="124">
        <f>+'Invullen groen'!BC1134</f>
        <v/>
      </c>
      <c r="P1124" s="124">
        <f>+'Invullen groen'!BD1134</f>
        <v/>
      </c>
    </row>
    <row r="1125">
      <c r="A1125" s="113">
        <f>+'Invullen groen'!A1135</f>
        <v/>
      </c>
      <c r="B1125" s="154">
        <f>+'Invullen groen'!C1135</f>
        <v/>
      </c>
      <c r="C1125" s="124">
        <f>+'Invullen groen'!G1135</f>
        <v/>
      </c>
      <c r="D1125" s="113">
        <f>+'Invullen groen'!M1135</f>
        <v/>
      </c>
      <c r="E1125" s="114">
        <f>+'Invullen groen'!H1135</f>
        <v/>
      </c>
      <c r="F1125" s="114">
        <f>+'Invullen groen'!I1135</f>
        <v/>
      </c>
      <c r="G1125" s="114">
        <f>+'Invullen groen'!J1135</f>
        <v/>
      </c>
      <c r="H1125" s="114">
        <f>+'Invullen groen'!K1135</f>
        <v/>
      </c>
      <c r="I1125" s="124">
        <f>+'Invullen groen'!AW1135</f>
        <v/>
      </c>
      <c r="J1125" s="124">
        <f>+'Invullen groen'!AX1135</f>
        <v/>
      </c>
      <c r="K1125" s="124">
        <f>+'Invullen groen'!AY1135</f>
        <v/>
      </c>
      <c r="L1125" s="124">
        <f>+'Invullen groen'!AZ1135</f>
        <v/>
      </c>
      <c r="M1125" s="124">
        <f>+'Invullen groen'!BA1135</f>
        <v/>
      </c>
      <c r="N1125" s="124">
        <f>+'Invullen groen'!BB1135</f>
        <v/>
      </c>
      <c r="O1125" s="124">
        <f>+'Invullen groen'!BC1135</f>
        <v/>
      </c>
      <c r="P1125" s="124">
        <f>+'Invullen groen'!BD1135</f>
        <v/>
      </c>
    </row>
    <row r="1126">
      <c r="A1126" s="113">
        <f>+'Invullen groen'!A1136</f>
        <v/>
      </c>
      <c r="B1126" s="154">
        <f>+'Invullen groen'!C1136</f>
        <v/>
      </c>
      <c r="C1126" s="124">
        <f>+'Invullen groen'!G1136</f>
        <v/>
      </c>
      <c r="D1126" s="113">
        <f>+'Invullen groen'!M1136</f>
        <v/>
      </c>
      <c r="E1126" s="114">
        <f>+'Invullen groen'!H1136</f>
        <v/>
      </c>
      <c r="F1126" s="114">
        <f>+'Invullen groen'!I1136</f>
        <v/>
      </c>
      <c r="G1126" s="114">
        <f>+'Invullen groen'!J1136</f>
        <v/>
      </c>
      <c r="H1126" s="114">
        <f>+'Invullen groen'!K1136</f>
        <v/>
      </c>
      <c r="I1126" s="124">
        <f>+'Invullen groen'!AW1136</f>
        <v/>
      </c>
      <c r="J1126" s="124">
        <f>+'Invullen groen'!AX1136</f>
        <v/>
      </c>
      <c r="K1126" s="124">
        <f>+'Invullen groen'!AY1136</f>
        <v/>
      </c>
      <c r="L1126" s="124">
        <f>+'Invullen groen'!AZ1136</f>
        <v/>
      </c>
      <c r="M1126" s="124">
        <f>+'Invullen groen'!BA1136</f>
        <v/>
      </c>
      <c r="N1126" s="124">
        <f>+'Invullen groen'!BB1136</f>
        <v/>
      </c>
      <c r="O1126" s="124">
        <f>+'Invullen groen'!BC1136</f>
        <v/>
      </c>
      <c r="P1126" s="124">
        <f>+'Invullen groen'!BD1136</f>
        <v/>
      </c>
    </row>
    <row r="1127">
      <c r="A1127" s="113">
        <f>+'Invullen groen'!A1137</f>
        <v/>
      </c>
      <c r="B1127" s="154">
        <f>+'Invullen groen'!C1137</f>
        <v/>
      </c>
      <c r="C1127" s="124">
        <f>+'Invullen groen'!G1137</f>
        <v/>
      </c>
      <c r="D1127" s="113">
        <f>+'Invullen groen'!M1137</f>
        <v/>
      </c>
      <c r="E1127" s="114">
        <f>+'Invullen groen'!H1137</f>
        <v/>
      </c>
      <c r="F1127" s="114">
        <f>+'Invullen groen'!I1137</f>
        <v/>
      </c>
      <c r="G1127" s="114">
        <f>+'Invullen groen'!J1137</f>
        <v/>
      </c>
      <c r="H1127" s="114">
        <f>+'Invullen groen'!K1137</f>
        <v/>
      </c>
      <c r="I1127" s="124">
        <f>+'Invullen groen'!AW1137</f>
        <v/>
      </c>
      <c r="J1127" s="124">
        <f>+'Invullen groen'!AX1137</f>
        <v/>
      </c>
      <c r="K1127" s="124">
        <f>+'Invullen groen'!AY1137</f>
        <v/>
      </c>
      <c r="L1127" s="124">
        <f>+'Invullen groen'!AZ1137</f>
        <v/>
      </c>
      <c r="M1127" s="124">
        <f>+'Invullen groen'!BA1137</f>
        <v/>
      </c>
      <c r="N1127" s="124">
        <f>+'Invullen groen'!BB1137</f>
        <v/>
      </c>
      <c r="O1127" s="124">
        <f>+'Invullen groen'!BC1137</f>
        <v/>
      </c>
      <c r="P1127" s="124">
        <f>+'Invullen groen'!BD1137</f>
        <v/>
      </c>
    </row>
    <row r="1128">
      <c r="A1128" s="113">
        <f>+'Invullen groen'!A1138</f>
        <v/>
      </c>
      <c r="B1128" s="154">
        <f>+'Invullen groen'!C1138</f>
        <v/>
      </c>
      <c r="C1128" s="124">
        <f>+'Invullen groen'!G1138</f>
        <v/>
      </c>
      <c r="D1128" s="113">
        <f>+'Invullen groen'!M1138</f>
        <v/>
      </c>
      <c r="E1128" s="114">
        <f>+'Invullen groen'!H1138</f>
        <v/>
      </c>
      <c r="F1128" s="114">
        <f>+'Invullen groen'!I1138</f>
        <v/>
      </c>
      <c r="G1128" s="114">
        <f>+'Invullen groen'!J1138</f>
        <v/>
      </c>
      <c r="H1128" s="114">
        <f>+'Invullen groen'!K1138</f>
        <v/>
      </c>
      <c r="I1128" s="124">
        <f>+'Invullen groen'!AW1138</f>
        <v/>
      </c>
      <c r="J1128" s="124">
        <f>+'Invullen groen'!AX1138</f>
        <v/>
      </c>
      <c r="K1128" s="124">
        <f>+'Invullen groen'!AY1138</f>
        <v/>
      </c>
      <c r="L1128" s="124">
        <f>+'Invullen groen'!AZ1138</f>
        <v/>
      </c>
      <c r="M1128" s="124">
        <f>+'Invullen groen'!BA1138</f>
        <v/>
      </c>
      <c r="N1128" s="124">
        <f>+'Invullen groen'!BB1138</f>
        <v/>
      </c>
      <c r="O1128" s="124">
        <f>+'Invullen groen'!BC1138</f>
        <v/>
      </c>
      <c r="P1128" s="124">
        <f>+'Invullen groen'!BD1138</f>
        <v/>
      </c>
    </row>
    <row r="1129">
      <c r="A1129" s="113">
        <f>+'Invullen groen'!A1139</f>
        <v/>
      </c>
      <c r="B1129" s="154">
        <f>+'Invullen groen'!C1139</f>
        <v/>
      </c>
      <c r="C1129" s="124">
        <f>+'Invullen groen'!G1139</f>
        <v/>
      </c>
      <c r="D1129" s="113">
        <f>+'Invullen groen'!M1139</f>
        <v/>
      </c>
      <c r="E1129" s="114">
        <f>+'Invullen groen'!H1139</f>
        <v/>
      </c>
      <c r="F1129" s="114">
        <f>+'Invullen groen'!I1139</f>
        <v/>
      </c>
      <c r="G1129" s="114">
        <f>+'Invullen groen'!J1139</f>
        <v/>
      </c>
      <c r="H1129" s="114">
        <f>+'Invullen groen'!K1139</f>
        <v/>
      </c>
      <c r="I1129" s="124">
        <f>+'Invullen groen'!AW1139</f>
        <v/>
      </c>
      <c r="J1129" s="124">
        <f>+'Invullen groen'!AX1139</f>
        <v/>
      </c>
      <c r="K1129" s="124">
        <f>+'Invullen groen'!AY1139</f>
        <v/>
      </c>
      <c r="L1129" s="124">
        <f>+'Invullen groen'!AZ1139</f>
        <v/>
      </c>
      <c r="M1129" s="124">
        <f>+'Invullen groen'!BA1139</f>
        <v/>
      </c>
      <c r="N1129" s="124">
        <f>+'Invullen groen'!BB1139</f>
        <v/>
      </c>
      <c r="O1129" s="124">
        <f>+'Invullen groen'!BC1139</f>
        <v/>
      </c>
      <c r="P1129" s="124">
        <f>+'Invullen groen'!BD1139</f>
        <v/>
      </c>
    </row>
    <row r="1130">
      <c r="A1130" s="113">
        <f>+'Invullen groen'!A1140</f>
        <v/>
      </c>
      <c r="B1130" s="154">
        <f>+'Invullen groen'!C1140</f>
        <v/>
      </c>
      <c r="C1130" s="124">
        <f>+'Invullen groen'!G1140</f>
        <v/>
      </c>
      <c r="D1130" s="113">
        <f>+'Invullen groen'!M1140</f>
        <v/>
      </c>
      <c r="E1130" s="114">
        <f>+'Invullen groen'!H1140</f>
        <v/>
      </c>
      <c r="F1130" s="114">
        <f>+'Invullen groen'!I1140</f>
        <v/>
      </c>
      <c r="G1130" s="114">
        <f>+'Invullen groen'!J1140</f>
        <v/>
      </c>
      <c r="H1130" s="114">
        <f>+'Invullen groen'!K1140</f>
        <v/>
      </c>
      <c r="I1130" s="124">
        <f>+'Invullen groen'!AW1140</f>
        <v/>
      </c>
      <c r="J1130" s="124">
        <f>+'Invullen groen'!AX1140</f>
        <v/>
      </c>
      <c r="K1130" s="124">
        <f>+'Invullen groen'!AY1140</f>
        <v/>
      </c>
      <c r="L1130" s="124">
        <f>+'Invullen groen'!AZ1140</f>
        <v/>
      </c>
      <c r="M1130" s="124">
        <f>+'Invullen groen'!BA1140</f>
        <v/>
      </c>
      <c r="N1130" s="124">
        <f>+'Invullen groen'!BB1140</f>
        <v/>
      </c>
      <c r="O1130" s="124">
        <f>+'Invullen groen'!BC1140</f>
        <v/>
      </c>
      <c r="P1130" s="124">
        <f>+'Invullen groen'!BD1140</f>
        <v/>
      </c>
    </row>
    <row r="1131">
      <c r="A1131" s="113">
        <f>+'Invullen groen'!A1141</f>
        <v/>
      </c>
      <c r="B1131" s="154">
        <f>+'Invullen groen'!C1141</f>
        <v/>
      </c>
      <c r="C1131" s="124">
        <f>+'Invullen groen'!G1141</f>
        <v/>
      </c>
      <c r="D1131" s="113">
        <f>+'Invullen groen'!M1141</f>
        <v/>
      </c>
      <c r="E1131" s="114">
        <f>+'Invullen groen'!H1141</f>
        <v/>
      </c>
      <c r="F1131" s="114">
        <f>+'Invullen groen'!I1141</f>
        <v/>
      </c>
      <c r="G1131" s="114">
        <f>+'Invullen groen'!J1141</f>
        <v/>
      </c>
      <c r="H1131" s="114">
        <f>+'Invullen groen'!K1141</f>
        <v/>
      </c>
      <c r="I1131" s="124">
        <f>+'Invullen groen'!AW1141</f>
        <v/>
      </c>
      <c r="J1131" s="124">
        <f>+'Invullen groen'!AX1141</f>
        <v/>
      </c>
      <c r="K1131" s="124">
        <f>+'Invullen groen'!AY1141</f>
        <v/>
      </c>
      <c r="L1131" s="124">
        <f>+'Invullen groen'!AZ1141</f>
        <v/>
      </c>
      <c r="M1131" s="124">
        <f>+'Invullen groen'!BA1141</f>
        <v/>
      </c>
      <c r="N1131" s="124">
        <f>+'Invullen groen'!BB1141</f>
        <v/>
      </c>
      <c r="O1131" s="124">
        <f>+'Invullen groen'!BC1141</f>
        <v/>
      </c>
      <c r="P1131" s="124">
        <f>+'Invullen groen'!BD1141</f>
        <v/>
      </c>
    </row>
    <row r="1132">
      <c r="A1132" s="113">
        <f>+'Invullen groen'!A1142</f>
        <v/>
      </c>
      <c r="B1132" s="154">
        <f>+'Invullen groen'!C1142</f>
        <v/>
      </c>
      <c r="C1132" s="124">
        <f>+'Invullen groen'!G1142</f>
        <v/>
      </c>
      <c r="D1132" s="113">
        <f>+'Invullen groen'!M1142</f>
        <v/>
      </c>
      <c r="E1132" s="114">
        <f>+'Invullen groen'!H1142</f>
        <v/>
      </c>
      <c r="F1132" s="114">
        <f>+'Invullen groen'!I1142</f>
        <v/>
      </c>
      <c r="G1132" s="114">
        <f>+'Invullen groen'!J1142</f>
        <v/>
      </c>
      <c r="H1132" s="114">
        <f>+'Invullen groen'!K1142</f>
        <v/>
      </c>
      <c r="I1132" s="124">
        <f>+'Invullen groen'!AW1142</f>
        <v/>
      </c>
      <c r="J1132" s="124">
        <f>+'Invullen groen'!AX1142</f>
        <v/>
      </c>
      <c r="K1132" s="124">
        <f>+'Invullen groen'!AY1142</f>
        <v/>
      </c>
      <c r="L1132" s="124">
        <f>+'Invullen groen'!AZ1142</f>
        <v/>
      </c>
      <c r="M1132" s="124">
        <f>+'Invullen groen'!BA1142</f>
        <v/>
      </c>
      <c r="N1132" s="124">
        <f>+'Invullen groen'!BB1142</f>
        <v/>
      </c>
      <c r="O1132" s="124">
        <f>+'Invullen groen'!BC1142</f>
        <v/>
      </c>
      <c r="P1132" s="124">
        <f>+'Invullen groen'!BD1142</f>
        <v/>
      </c>
    </row>
    <row r="1133">
      <c r="A1133" s="113">
        <f>+'Invullen groen'!A1143</f>
        <v/>
      </c>
      <c r="B1133" s="154">
        <f>+'Invullen groen'!C1143</f>
        <v/>
      </c>
      <c r="C1133" s="124">
        <f>+'Invullen groen'!G1143</f>
        <v/>
      </c>
      <c r="D1133" s="113">
        <f>+'Invullen groen'!M1143</f>
        <v/>
      </c>
      <c r="E1133" s="114">
        <f>+'Invullen groen'!H1143</f>
        <v/>
      </c>
      <c r="F1133" s="114">
        <f>+'Invullen groen'!I1143</f>
        <v/>
      </c>
      <c r="G1133" s="114">
        <f>+'Invullen groen'!J1143</f>
        <v/>
      </c>
      <c r="H1133" s="114">
        <f>+'Invullen groen'!K1143</f>
        <v/>
      </c>
      <c r="I1133" s="124">
        <f>+'Invullen groen'!AW1143</f>
        <v/>
      </c>
      <c r="J1133" s="124">
        <f>+'Invullen groen'!AX1143</f>
        <v/>
      </c>
      <c r="K1133" s="124">
        <f>+'Invullen groen'!AY1143</f>
        <v/>
      </c>
      <c r="L1133" s="124">
        <f>+'Invullen groen'!AZ1143</f>
        <v/>
      </c>
      <c r="M1133" s="124">
        <f>+'Invullen groen'!BA1143</f>
        <v/>
      </c>
      <c r="N1133" s="124">
        <f>+'Invullen groen'!BB1143</f>
        <v/>
      </c>
      <c r="O1133" s="124">
        <f>+'Invullen groen'!BC1143</f>
        <v/>
      </c>
      <c r="P1133" s="124">
        <f>+'Invullen groen'!BD1143</f>
        <v/>
      </c>
    </row>
    <row r="1134">
      <c r="A1134" s="113">
        <f>+'Invullen groen'!A1144</f>
        <v/>
      </c>
      <c r="B1134" s="154">
        <f>+'Invullen groen'!C1144</f>
        <v/>
      </c>
      <c r="C1134" s="124">
        <f>+'Invullen groen'!G1144</f>
        <v/>
      </c>
      <c r="D1134" s="113">
        <f>+'Invullen groen'!M1144</f>
        <v/>
      </c>
      <c r="E1134" s="114">
        <f>+'Invullen groen'!H1144</f>
        <v/>
      </c>
      <c r="F1134" s="114">
        <f>+'Invullen groen'!I1144</f>
        <v/>
      </c>
      <c r="G1134" s="114">
        <f>+'Invullen groen'!J1144</f>
        <v/>
      </c>
      <c r="H1134" s="114">
        <f>+'Invullen groen'!K1144</f>
        <v/>
      </c>
      <c r="I1134" s="124">
        <f>+'Invullen groen'!AW1144</f>
        <v/>
      </c>
      <c r="J1134" s="124">
        <f>+'Invullen groen'!AX1144</f>
        <v/>
      </c>
      <c r="K1134" s="124">
        <f>+'Invullen groen'!AY1144</f>
        <v/>
      </c>
      <c r="L1134" s="124">
        <f>+'Invullen groen'!AZ1144</f>
        <v/>
      </c>
      <c r="M1134" s="124">
        <f>+'Invullen groen'!BA1144</f>
        <v/>
      </c>
      <c r="N1134" s="124">
        <f>+'Invullen groen'!BB1144</f>
        <v/>
      </c>
      <c r="O1134" s="124">
        <f>+'Invullen groen'!BC1144</f>
        <v/>
      </c>
      <c r="P1134" s="124">
        <f>+'Invullen groen'!BD1144</f>
        <v/>
      </c>
    </row>
    <row r="1135">
      <c r="A1135" s="113">
        <f>+'Invullen groen'!A1145</f>
        <v/>
      </c>
      <c r="B1135" s="154">
        <f>+'Invullen groen'!C1145</f>
        <v/>
      </c>
      <c r="C1135" s="124">
        <f>+'Invullen groen'!G1145</f>
        <v/>
      </c>
      <c r="D1135" s="113">
        <f>+'Invullen groen'!M1145</f>
        <v/>
      </c>
      <c r="E1135" s="114">
        <f>+'Invullen groen'!H1145</f>
        <v/>
      </c>
      <c r="F1135" s="114">
        <f>+'Invullen groen'!I1145</f>
        <v/>
      </c>
      <c r="G1135" s="114">
        <f>+'Invullen groen'!J1145</f>
        <v/>
      </c>
      <c r="H1135" s="114">
        <f>+'Invullen groen'!K1145</f>
        <v/>
      </c>
      <c r="I1135" s="124">
        <f>+'Invullen groen'!AW1145</f>
        <v/>
      </c>
      <c r="J1135" s="124">
        <f>+'Invullen groen'!AX1145</f>
        <v/>
      </c>
      <c r="K1135" s="124">
        <f>+'Invullen groen'!AY1145</f>
        <v/>
      </c>
      <c r="L1135" s="124">
        <f>+'Invullen groen'!AZ1145</f>
        <v/>
      </c>
      <c r="M1135" s="124">
        <f>+'Invullen groen'!BA1145</f>
        <v/>
      </c>
      <c r="N1135" s="124">
        <f>+'Invullen groen'!BB1145</f>
        <v/>
      </c>
      <c r="O1135" s="124">
        <f>+'Invullen groen'!BC1145</f>
        <v/>
      </c>
      <c r="P1135" s="124">
        <f>+'Invullen groen'!BD1145</f>
        <v/>
      </c>
    </row>
  </sheetData>
  <pageMargins left="1.102362204724409" right="0.7086614173228347" top="0.3543307086614174" bottom="0.1574803149606299" header="0.3149606299212598" footer="0.3149606299212598"/>
  <pageSetup orientation="landscape" paperSize="8" scale="85"/>
  <colBreaks count="1" manualBreakCount="1">
    <brk id="8" min="0" max="1048575" man="1"/>
  </colBreaks>
</worksheet>
</file>

<file path=xl/worksheets/sheet4.xml><?xml version="1.0" encoding="utf-8"?>
<worksheet xmlns="http://schemas.openxmlformats.org/spreadsheetml/2006/main">
  <sheetPr codeName="Blad5">
    <tabColor rgb="FF0D1E35"/>
    <outlinePr summaryBelow="1" summaryRight="1"/>
    <pageSetUpPr/>
  </sheetPr>
  <dimension ref="A1:J245"/>
  <sheetViews>
    <sheetView workbookViewId="0">
      <selection activeCell="A1" sqref="A1:I1"/>
    </sheetView>
  </sheetViews>
  <sheetFormatPr baseColWidth="8" defaultRowHeight="15"/>
  <cols>
    <col width="4" customWidth="1" style="402" min="1" max="1"/>
    <col width="28" customWidth="1" style="402" min="2" max="2"/>
    <col width="9" customWidth="1" style="402" min="3" max="3"/>
    <col width="30" customWidth="1" style="402" min="4" max="5"/>
    <col width="16" customWidth="1" style="402" min="6" max="6"/>
    <col width="14" customWidth="1" style="402" min="7" max="9"/>
    <col hidden="1" width="5" customWidth="1" style="402" min="10" max="10"/>
  </cols>
  <sheetData>
    <row r="1" ht="24" customHeight="1" s="402">
      <c r="A1" s="401" t="inlineStr">
        <is>
          <t>Totaaloverzicht begrotingswijziging</t>
        </is>
      </c>
      <c r="J1" s="83" t="n"/>
    </row>
    <row r="2" ht="18" customHeight="1" s="402">
      <c r="A2" s="403">
        <f>'Invullen groen'!A4</f>
        <v/>
      </c>
      <c r="G2" s="155" t="inlineStr">
        <is>
          <t>Corsanr.:</t>
        </is>
      </c>
      <c r="H2" s="155" t="n"/>
      <c r="I2" s="155" t="n"/>
      <c r="J2" s="83" t="n"/>
    </row>
    <row r="3" ht="6" customHeight="1" s="402">
      <c r="A3" s="156" t="n"/>
      <c r="B3" s="156" t="n"/>
      <c r="C3" s="156" t="n"/>
      <c r="D3" s="156" t="n"/>
      <c r="E3" s="156" t="n"/>
      <c r="F3" s="157" t="n"/>
      <c r="G3" s="157" t="n"/>
      <c r="H3" s="157" t="n"/>
      <c r="I3" s="157" t="n"/>
      <c r="J3" s="83" t="n"/>
    </row>
    <row r="4" ht="18" customHeight="1" s="402">
      <c r="A4" s="158" t="inlineStr">
        <is>
          <t>Nr.</t>
        </is>
      </c>
      <c r="B4" s="159" t="inlineStr">
        <is>
          <t>Programma</t>
        </is>
      </c>
      <c r="C4" s="159" t="inlineStr">
        <is>
          <t>Taakveld</t>
        </is>
      </c>
      <c r="D4" s="159" t="inlineStr">
        <is>
          <t>Omschrijving taakveld</t>
        </is>
      </c>
      <c r="E4" s="159" t="inlineStr">
        <is>
          <t>Omschrijving grootboek</t>
        </is>
      </c>
      <c r="F4" s="68" t="inlineStr">
        <is>
          <t>Bgr.jaar</t>
        </is>
      </c>
      <c r="G4" s="160" t="inlineStr">
        <is>
          <t>MJR 2027</t>
        </is>
      </c>
      <c r="H4" s="160" t="inlineStr">
        <is>
          <t>MJR 2028</t>
        </is>
      </c>
      <c r="I4" s="160" t="inlineStr">
        <is>
          <t>MJR 2029</t>
        </is>
      </c>
      <c r="J4" s="83" t="n"/>
    </row>
    <row r="5" ht="15" customHeight="1" s="402">
      <c r="A5" s="161">
        <f>IFERROR(IF($J5&gt;0,ROW()-4,""),"")</f>
        <v/>
      </c>
      <c r="B5" s="161">
        <f>IFERROR(IF($J5&gt;0,INDEX('Invullen groen'!$A:$A,$J5),""),"")</f>
        <v/>
      </c>
      <c r="C5" s="161">
        <f>IFERROR(IF($J5&gt;0,INDEX('Invullen groen'!$C:$C,$J5),""),"")</f>
        <v/>
      </c>
      <c r="D5" s="161">
        <f>IFERROR(IF($J5&gt;0,INDEX('Invullen groen'!$D:$D,$J5),""),"")</f>
        <v/>
      </c>
      <c r="E5" s="161">
        <f>IFERROR(IF($J5&gt;0,INDEX('Invullen groen'!$G:$G,$J5),""),"")</f>
        <v/>
      </c>
      <c r="F5" s="162">
        <f>IFERROR(IF($J5&gt;0,IF(INDEX('Invullen groen'!$H:$H,$J5)&lt;&gt;0,INDEX('Invullen groen'!$H:$H,$J5),""),""),"")</f>
        <v/>
      </c>
      <c r="G5" s="162">
        <f>IFERROR(IF($J5&gt;0,IF(INDEX('Invullen groen'!$I:$I,$J5)&lt;&gt;0,INDEX('Invullen groen'!$I:$I,$J5),""),""),"")</f>
        <v/>
      </c>
      <c r="H5" s="162">
        <f>IFERROR(IF($J5&gt;0,IF(INDEX('Invullen groen'!$J:$J,$J5)&lt;&gt;0,INDEX('Invullen groen'!$J:$J,$J5),""),""),"")</f>
        <v/>
      </c>
      <c r="I5" s="162">
        <f>IFERROR(IF($J5&gt;0,IF(INDEX('Invullen groen'!$K:$K,$J5)&lt;&gt;0,INDEX('Invullen groen'!$K:$K,$J5),""),""),"")</f>
        <v/>
      </c>
      <c r="J5" s="83">
        <f>IFERROR(MATCH(ROW()-4,'Invullen groen'!$P$17:$P$272,0)+16,0)</f>
        <v/>
      </c>
    </row>
    <row r="6" ht="15" customHeight="1" s="402">
      <c r="A6" s="163">
        <f>IFERROR(IF($J6&gt;0,ROW()-4,""),"")</f>
        <v/>
      </c>
      <c r="B6" s="163">
        <f>IFERROR(IF($J6&gt;0,INDEX('Invullen groen'!$A:$A,$J6),""),"")</f>
        <v/>
      </c>
      <c r="C6" s="163">
        <f>IFERROR(IF($J6&gt;0,INDEX('Invullen groen'!$C:$C,$J6),""),"")</f>
        <v/>
      </c>
      <c r="D6" s="163">
        <f>IFERROR(IF($J6&gt;0,INDEX('Invullen groen'!$D:$D,$J6),""),"")</f>
        <v/>
      </c>
      <c r="E6" s="163">
        <f>IFERROR(IF($J6&gt;0,INDEX('Invullen groen'!$G:$G,$J6),""),"")</f>
        <v/>
      </c>
      <c r="F6" s="164">
        <f>IFERROR(IF($J6&gt;0,IF(INDEX('Invullen groen'!$H:$H,$J6)&lt;&gt;0,INDEX('Invullen groen'!$H:$H,$J6),""),""),"")</f>
        <v/>
      </c>
      <c r="G6" s="164">
        <f>IFERROR(IF($J6&gt;0,IF(INDEX('Invullen groen'!$I:$I,$J6)&lt;&gt;0,INDEX('Invullen groen'!$I:$I,$J6),""),""),"")</f>
        <v/>
      </c>
      <c r="H6" s="164">
        <f>IFERROR(IF($J6&gt;0,IF(INDEX('Invullen groen'!$J:$J,$J6)&lt;&gt;0,INDEX('Invullen groen'!$J:$J,$J6),""),""),"")</f>
        <v/>
      </c>
      <c r="I6" s="164">
        <f>IFERROR(IF($J6&gt;0,IF(INDEX('Invullen groen'!$K:$K,$J6)&lt;&gt;0,INDEX('Invullen groen'!$K:$K,$J6),""),""),"")</f>
        <v/>
      </c>
      <c r="J6" s="83">
        <f>IFERROR(MATCH(ROW()-4,'Invullen groen'!$P$17:$P$272,0)+16,0)</f>
        <v/>
      </c>
    </row>
    <row r="7" ht="15" customHeight="1" s="402">
      <c r="A7" s="161">
        <f>IFERROR(IF($J7&gt;0,ROW()-4,""),"")</f>
        <v/>
      </c>
      <c r="B7" s="161">
        <f>IFERROR(IF($J7&gt;0,INDEX('Invullen groen'!$A:$A,$J7),""),"")</f>
        <v/>
      </c>
      <c r="C7" s="161">
        <f>IFERROR(IF($J7&gt;0,INDEX('Invullen groen'!$C:$C,$J7),""),"")</f>
        <v/>
      </c>
      <c r="D7" s="161">
        <f>IFERROR(IF($J7&gt;0,INDEX('Invullen groen'!$D:$D,$J7),""),"")</f>
        <v/>
      </c>
      <c r="E7" s="161">
        <f>IFERROR(IF($J7&gt;0,INDEX('Invullen groen'!$G:$G,$J7),""),"")</f>
        <v/>
      </c>
      <c r="F7" s="162">
        <f>IFERROR(IF($J7&gt;0,IF(INDEX('Invullen groen'!$H:$H,$J7)&lt;&gt;0,INDEX('Invullen groen'!$H:$H,$J7),""),""),"")</f>
        <v/>
      </c>
      <c r="G7" s="162">
        <f>IFERROR(IF($J7&gt;0,IF(INDEX('Invullen groen'!$I:$I,$J7)&lt;&gt;0,INDEX('Invullen groen'!$I:$I,$J7),""),""),"")</f>
        <v/>
      </c>
      <c r="H7" s="162">
        <f>IFERROR(IF($J7&gt;0,IF(INDEX('Invullen groen'!$J:$J,$J7)&lt;&gt;0,INDEX('Invullen groen'!$J:$J,$J7),""),""),"")</f>
        <v/>
      </c>
      <c r="I7" s="162">
        <f>IFERROR(IF($J7&gt;0,IF(INDEX('Invullen groen'!$K:$K,$J7)&lt;&gt;0,INDEX('Invullen groen'!$K:$K,$J7),""),""),"")</f>
        <v/>
      </c>
      <c r="J7" s="83">
        <f>IFERROR(MATCH(ROW()-4,'Invullen groen'!$P$17:$P$272,0)+16,0)</f>
        <v/>
      </c>
    </row>
    <row r="8" ht="15" customHeight="1" s="402">
      <c r="A8" s="163">
        <f>IFERROR(IF($J8&gt;0,ROW()-4,""),"")</f>
        <v/>
      </c>
      <c r="B8" s="163">
        <f>IFERROR(IF($J8&gt;0,INDEX('Invullen groen'!$A:$A,$J8),""),"")</f>
        <v/>
      </c>
      <c r="C8" s="163">
        <f>IFERROR(IF($J8&gt;0,INDEX('Invullen groen'!$C:$C,$J8),""),"")</f>
        <v/>
      </c>
      <c r="D8" s="163">
        <f>IFERROR(IF($J8&gt;0,INDEX('Invullen groen'!$D:$D,$J8),""),"")</f>
        <v/>
      </c>
      <c r="E8" s="163">
        <f>IFERROR(IF($J8&gt;0,INDEX('Invullen groen'!$G:$G,$J8),""),"")</f>
        <v/>
      </c>
      <c r="F8" s="164">
        <f>IFERROR(IF($J8&gt;0,IF(INDEX('Invullen groen'!$H:$H,$J8)&lt;&gt;0,INDEX('Invullen groen'!$H:$H,$J8),""),""),"")</f>
        <v/>
      </c>
      <c r="G8" s="164">
        <f>IFERROR(IF($J8&gt;0,IF(INDEX('Invullen groen'!$I:$I,$J8)&lt;&gt;0,INDEX('Invullen groen'!$I:$I,$J8),""),""),"")</f>
        <v/>
      </c>
      <c r="H8" s="164">
        <f>IFERROR(IF($J8&gt;0,IF(INDEX('Invullen groen'!$J:$J,$J8)&lt;&gt;0,INDEX('Invullen groen'!$J:$J,$J8),""),""),"")</f>
        <v/>
      </c>
      <c r="I8" s="164">
        <f>IFERROR(IF($J8&gt;0,IF(INDEX('Invullen groen'!$K:$K,$J8)&lt;&gt;0,INDEX('Invullen groen'!$K:$K,$J8),""),""),"")</f>
        <v/>
      </c>
      <c r="J8" s="83">
        <f>IFERROR(MATCH(ROW()-4,'Invullen groen'!$P$17:$P$272,0)+16,0)</f>
        <v/>
      </c>
    </row>
    <row r="9" ht="15" customHeight="1" s="402">
      <c r="A9" s="161">
        <f>IFERROR(IF($J9&gt;0,ROW()-4,""),"")</f>
        <v/>
      </c>
      <c r="B9" s="161">
        <f>IFERROR(IF($J9&gt;0,INDEX('Invullen groen'!$A:$A,$J9),""),"")</f>
        <v/>
      </c>
      <c r="C9" s="161">
        <f>IFERROR(IF($J9&gt;0,INDEX('Invullen groen'!$C:$C,$J9),""),"")</f>
        <v/>
      </c>
      <c r="D9" s="161">
        <f>IFERROR(IF($J9&gt;0,INDEX('Invullen groen'!$D:$D,$J9),""),"")</f>
        <v/>
      </c>
      <c r="E9" s="161">
        <f>IFERROR(IF($J9&gt;0,INDEX('Invullen groen'!$G:$G,$J9),""),"")</f>
        <v/>
      </c>
      <c r="F9" s="162">
        <f>IFERROR(IF($J9&gt;0,IF(INDEX('Invullen groen'!$H:$H,$J9)&lt;&gt;0,INDEX('Invullen groen'!$H:$H,$J9),""),""),"")</f>
        <v/>
      </c>
      <c r="G9" s="162">
        <f>IFERROR(IF($J9&gt;0,IF(INDEX('Invullen groen'!$I:$I,$J9)&lt;&gt;0,INDEX('Invullen groen'!$I:$I,$J9),""),""),"")</f>
        <v/>
      </c>
      <c r="H9" s="162">
        <f>IFERROR(IF($J9&gt;0,IF(INDEX('Invullen groen'!$J:$J,$J9)&lt;&gt;0,INDEX('Invullen groen'!$J:$J,$J9),""),""),"")</f>
        <v/>
      </c>
      <c r="I9" s="162">
        <f>IFERROR(IF($J9&gt;0,IF(INDEX('Invullen groen'!$K:$K,$J9)&lt;&gt;0,INDEX('Invullen groen'!$K:$K,$J9),""),""),"")</f>
        <v/>
      </c>
      <c r="J9" s="83">
        <f>IFERROR(MATCH(ROW()-4,'Invullen groen'!$P$17:$P$272,0)+16,0)</f>
        <v/>
      </c>
    </row>
    <row r="10" ht="15" customHeight="1" s="402">
      <c r="A10" s="163">
        <f>IFERROR(IF($J10&gt;0,ROW()-4,""),"")</f>
        <v/>
      </c>
      <c r="B10" s="163">
        <f>IFERROR(IF($J10&gt;0,INDEX('Invullen groen'!$A:$A,$J10),""),"")</f>
        <v/>
      </c>
      <c r="C10" s="163">
        <f>IFERROR(IF($J10&gt;0,INDEX('Invullen groen'!$C:$C,$J10),""),"")</f>
        <v/>
      </c>
      <c r="D10" s="163">
        <f>IFERROR(IF($J10&gt;0,INDEX('Invullen groen'!$D:$D,$J10),""),"")</f>
        <v/>
      </c>
      <c r="E10" s="163">
        <f>IFERROR(IF($J10&gt;0,INDEX('Invullen groen'!$G:$G,$J10),""),"")</f>
        <v/>
      </c>
      <c r="F10" s="164">
        <f>IFERROR(IF($J10&gt;0,IF(INDEX('Invullen groen'!$H:$H,$J10)&lt;&gt;0,INDEX('Invullen groen'!$H:$H,$J10),""),""),"")</f>
        <v/>
      </c>
      <c r="G10" s="164">
        <f>IFERROR(IF($J10&gt;0,IF(INDEX('Invullen groen'!$I:$I,$J10)&lt;&gt;0,INDEX('Invullen groen'!$I:$I,$J10),""),""),"")</f>
        <v/>
      </c>
      <c r="H10" s="164">
        <f>IFERROR(IF($J10&gt;0,IF(INDEX('Invullen groen'!$J:$J,$J10)&lt;&gt;0,INDEX('Invullen groen'!$J:$J,$J10),""),""),"")</f>
        <v/>
      </c>
      <c r="I10" s="164">
        <f>IFERROR(IF($J10&gt;0,IF(INDEX('Invullen groen'!$K:$K,$J10)&lt;&gt;0,INDEX('Invullen groen'!$K:$K,$J10),""),""),"")</f>
        <v/>
      </c>
      <c r="J10" s="83">
        <f>IFERROR(MATCH(ROW()-4,'Invullen groen'!$P$17:$P$272,0)+16,0)</f>
        <v/>
      </c>
    </row>
    <row r="11" ht="15" customHeight="1" s="402">
      <c r="A11" s="161">
        <f>IFERROR(IF($J11&gt;0,ROW()-4,""),"")</f>
        <v/>
      </c>
      <c r="B11" s="161">
        <f>IFERROR(IF($J11&gt;0,INDEX('Invullen groen'!$A:$A,$J11),""),"")</f>
        <v/>
      </c>
      <c r="C11" s="161">
        <f>IFERROR(IF($J11&gt;0,INDEX('Invullen groen'!$C:$C,$J11),""),"")</f>
        <v/>
      </c>
      <c r="D11" s="161">
        <f>IFERROR(IF($J11&gt;0,INDEX('Invullen groen'!$D:$D,$J11),""),"")</f>
        <v/>
      </c>
      <c r="E11" s="161">
        <f>IFERROR(IF($J11&gt;0,INDEX('Invullen groen'!$G:$G,$J11),""),"")</f>
        <v/>
      </c>
      <c r="F11" s="162">
        <f>IFERROR(IF($J11&gt;0,IF(INDEX('Invullen groen'!$H:$H,$J11)&lt;&gt;0,INDEX('Invullen groen'!$H:$H,$J11),""),""),"")</f>
        <v/>
      </c>
      <c r="G11" s="162">
        <f>IFERROR(IF($J11&gt;0,IF(INDEX('Invullen groen'!$I:$I,$J11)&lt;&gt;0,INDEX('Invullen groen'!$I:$I,$J11),""),""),"")</f>
        <v/>
      </c>
      <c r="H11" s="162">
        <f>IFERROR(IF($J11&gt;0,IF(INDEX('Invullen groen'!$J:$J,$J11)&lt;&gt;0,INDEX('Invullen groen'!$J:$J,$J11),""),""),"")</f>
        <v/>
      </c>
      <c r="I11" s="162">
        <f>IFERROR(IF($J11&gt;0,IF(INDEX('Invullen groen'!$K:$K,$J11)&lt;&gt;0,INDEX('Invullen groen'!$K:$K,$J11),""),""),"")</f>
        <v/>
      </c>
      <c r="J11" s="83">
        <f>IFERROR(MATCH(ROW()-4,'Invullen groen'!$P$17:$P$272,0)+16,0)</f>
        <v/>
      </c>
    </row>
    <row r="12" ht="15" customHeight="1" s="402">
      <c r="A12" s="163">
        <f>IFERROR(IF($J12&gt;0,ROW()-4,""),"")</f>
        <v/>
      </c>
      <c r="B12" s="163">
        <f>IFERROR(IF($J12&gt;0,INDEX('Invullen groen'!$A:$A,$J12),""),"")</f>
        <v/>
      </c>
      <c r="C12" s="163">
        <f>IFERROR(IF($J12&gt;0,INDEX('Invullen groen'!$C:$C,$J12),""),"")</f>
        <v/>
      </c>
      <c r="D12" s="163">
        <f>IFERROR(IF($J12&gt;0,INDEX('Invullen groen'!$D:$D,$J12),""),"")</f>
        <v/>
      </c>
      <c r="E12" s="163">
        <f>IFERROR(IF($J12&gt;0,INDEX('Invullen groen'!$G:$G,$J12),""),"")</f>
        <v/>
      </c>
      <c r="F12" s="164">
        <f>IFERROR(IF($J12&gt;0,IF(INDEX('Invullen groen'!$H:$H,$J12)&lt;&gt;0,INDEX('Invullen groen'!$H:$H,$J12),""),""),"")</f>
        <v/>
      </c>
      <c r="G12" s="164">
        <f>IFERROR(IF($J12&gt;0,IF(INDEX('Invullen groen'!$I:$I,$J12)&lt;&gt;0,INDEX('Invullen groen'!$I:$I,$J12),""),""),"")</f>
        <v/>
      </c>
      <c r="H12" s="164">
        <f>IFERROR(IF($J12&gt;0,IF(INDEX('Invullen groen'!$J:$J,$J12)&lt;&gt;0,INDEX('Invullen groen'!$J:$J,$J12),""),""),"")</f>
        <v/>
      </c>
      <c r="I12" s="164">
        <f>IFERROR(IF($J12&gt;0,IF(INDEX('Invullen groen'!$K:$K,$J12)&lt;&gt;0,INDEX('Invullen groen'!$K:$K,$J12),""),""),"")</f>
        <v/>
      </c>
      <c r="J12" s="83">
        <f>IFERROR(MATCH(ROW()-4,'Invullen groen'!$P$17:$P$272,0)+16,0)</f>
        <v/>
      </c>
    </row>
    <row r="13" ht="15" customHeight="1" s="402">
      <c r="A13" s="161">
        <f>IFERROR(IF($J13&gt;0,ROW()-4,""),"")</f>
        <v/>
      </c>
      <c r="B13" s="161">
        <f>IFERROR(IF($J13&gt;0,INDEX('Invullen groen'!$A:$A,$J13),""),"")</f>
        <v/>
      </c>
      <c r="C13" s="161">
        <f>IFERROR(IF($J13&gt;0,INDEX('Invullen groen'!$C:$C,$J13),""),"")</f>
        <v/>
      </c>
      <c r="D13" s="161">
        <f>IFERROR(IF($J13&gt;0,INDEX('Invullen groen'!$D:$D,$J13),""),"")</f>
        <v/>
      </c>
      <c r="E13" s="161">
        <f>IFERROR(IF($J13&gt;0,INDEX('Invullen groen'!$G:$G,$J13),""),"")</f>
        <v/>
      </c>
      <c r="F13" s="162">
        <f>IFERROR(IF($J13&gt;0,IF(INDEX('Invullen groen'!$H:$H,$J13)&lt;&gt;0,INDEX('Invullen groen'!$H:$H,$J13),""),""),"")</f>
        <v/>
      </c>
      <c r="G13" s="162">
        <f>IFERROR(IF($J13&gt;0,IF(INDEX('Invullen groen'!$I:$I,$J13)&lt;&gt;0,INDEX('Invullen groen'!$I:$I,$J13),""),""),"")</f>
        <v/>
      </c>
      <c r="H13" s="162">
        <f>IFERROR(IF($J13&gt;0,IF(INDEX('Invullen groen'!$J:$J,$J13)&lt;&gt;0,INDEX('Invullen groen'!$J:$J,$J13),""),""),"")</f>
        <v/>
      </c>
      <c r="I13" s="162">
        <f>IFERROR(IF($J13&gt;0,IF(INDEX('Invullen groen'!$K:$K,$J13)&lt;&gt;0,INDEX('Invullen groen'!$K:$K,$J13),""),""),"")</f>
        <v/>
      </c>
      <c r="J13" s="83">
        <f>IFERROR(MATCH(ROW()-4,'Invullen groen'!$P$17:$P$272,0)+16,0)</f>
        <v/>
      </c>
    </row>
    <row r="14" ht="15" customHeight="1" s="402">
      <c r="A14" s="163">
        <f>IFERROR(IF($J14&gt;0,ROW()-4,""),"")</f>
        <v/>
      </c>
      <c r="B14" s="163">
        <f>IFERROR(IF($J14&gt;0,INDEX('Invullen groen'!$A:$A,$J14),""),"")</f>
        <v/>
      </c>
      <c r="C14" s="163">
        <f>IFERROR(IF($J14&gt;0,INDEX('Invullen groen'!$C:$C,$J14),""),"")</f>
        <v/>
      </c>
      <c r="D14" s="163">
        <f>IFERROR(IF($J14&gt;0,INDEX('Invullen groen'!$D:$D,$J14),""),"")</f>
        <v/>
      </c>
      <c r="E14" s="163">
        <f>IFERROR(IF($J14&gt;0,INDEX('Invullen groen'!$G:$G,$J14),""),"")</f>
        <v/>
      </c>
      <c r="F14" s="164">
        <f>IFERROR(IF($J14&gt;0,IF(INDEX('Invullen groen'!$H:$H,$J14)&lt;&gt;0,INDEX('Invullen groen'!$H:$H,$J14),""),""),"")</f>
        <v/>
      </c>
      <c r="G14" s="164">
        <f>IFERROR(IF($J14&gt;0,IF(INDEX('Invullen groen'!$I:$I,$J14)&lt;&gt;0,INDEX('Invullen groen'!$I:$I,$J14),""),""),"")</f>
        <v/>
      </c>
      <c r="H14" s="164">
        <f>IFERROR(IF($J14&gt;0,IF(INDEX('Invullen groen'!$J:$J,$J14)&lt;&gt;0,INDEX('Invullen groen'!$J:$J,$J14),""),""),"")</f>
        <v/>
      </c>
      <c r="I14" s="164">
        <f>IFERROR(IF($J14&gt;0,IF(INDEX('Invullen groen'!$K:$K,$J14)&lt;&gt;0,INDEX('Invullen groen'!$K:$K,$J14),""),""),"")</f>
        <v/>
      </c>
      <c r="J14" s="83">
        <f>IFERROR(MATCH(ROW()-4,'Invullen groen'!$P$17:$P$272,0)+16,0)</f>
        <v/>
      </c>
    </row>
    <row r="15" ht="15" customHeight="1" s="402">
      <c r="A15" s="161">
        <f>IFERROR(IF($J15&gt;0,ROW()-4,""),"")</f>
        <v/>
      </c>
      <c r="B15" s="161">
        <f>IFERROR(IF($J15&gt;0,INDEX('Invullen groen'!$A:$A,$J15),""),"")</f>
        <v/>
      </c>
      <c r="C15" s="161">
        <f>IFERROR(IF($J15&gt;0,INDEX('Invullen groen'!$C:$C,$J15),""),"")</f>
        <v/>
      </c>
      <c r="D15" s="161">
        <f>IFERROR(IF($J15&gt;0,INDEX('Invullen groen'!$D:$D,$J15),""),"")</f>
        <v/>
      </c>
      <c r="E15" s="161">
        <f>IFERROR(IF($J15&gt;0,INDEX('Invullen groen'!$G:$G,$J15),""),"")</f>
        <v/>
      </c>
      <c r="F15" s="162">
        <f>IFERROR(IF($J15&gt;0,IF(INDEX('Invullen groen'!$H:$H,$J15)&lt;&gt;0,INDEX('Invullen groen'!$H:$H,$J15),""),""),"")</f>
        <v/>
      </c>
      <c r="G15" s="162">
        <f>IFERROR(IF($J15&gt;0,IF(INDEX('Invullen groen'!$I:$I,$J15)&lt;&gt;0,INDEX('Invullen groen'!$I:$I,$J15),""),""),"")</f>
        <v/>
      </c>
      <c r="H15" s="162">
        <f>IFERROR(IF($J15&gt;0,IF(INDEX('Invullen groen'!$J:$J,$J15)&lt;&gt;0,INDEX('Invullen groen'!$J:$J,$J15),""),""),"")</f>
        <v/>
      </c>
      <c r="I15" s="162">
        <f>IFERROR(IF($J15&gt;0,IF(INDEX('Invullen groen'!$K:$K,$J15)&lt;&gt;0,INDEX('Invullen groen'!$K:$K,$J15),""),""),"")</f>
        <v/>
      </c>
      <c r="J15" s="83">
        <f>IFERROR(MATCH(ROW()-4,'Invullen groen'!$P$17:$P$272,0)+16,0)</f>
        <v/>
      </c>
    </row>
    <row r="16" ht="15" customHeight="1" s="402">
      <c r="A16" s="163">
        <f>IFERROR(IF($J16&gt;0,ROW()-4,""),"")</f>
        <v/>
      </c>
      <c r="B16" s="163">
        <f>IFERROR(IF($J16&gt;0,INDEX('Invullen groen'!$A:$A,$J16),""),"")</f>
        <v/>
      </c>
      <c r="C16" s="163">
        <f>IFERROR(IF($J16&gt;0,INDEX('Invullen groen'!$C:$C,$J16),""),"")</f>
        <v/>
      </c>
      <c r="D16" s="163">
        <f>IFERROR(IF($J16&gt;0,INDEX('Invullen groen'!$D:$D,$J16),""),"")</f>
        <v/>
      </c>
      <c r="E16" s="163">
        <f>IFERROR(IF($J16&gt;0,INDEX('Invullen groen'!$G:$G,$J16),""),"")</f>
        <v/>
      </c>
      <c r="F16" s="164">
        <f>IFERROR(IF($J16&gt;0,IF(INDEX('Invullen groen'!$H:$H,$J16)&lt;&gt;0,INDEX('Invullen groen'!$H:$H,$J16),""),""),"")</f>
        <v/>
      </c>
      <c r="G16" s="164">
        <f>IFERROR(IF($J16&gt;0,IF(INDEX('Invullen groen'!$I:$I,$J16)&lt;&gt;0,INDEX('Invullen groen'!$I:$I,$J16),""),""),"")</f>
        <v/>
      </c>
      <c r="H16" s="164">
        <f>IFERROR(IF($J16&gt;0,IF(INDEX('Invullen groen'!$J:$J,$J16)&lt;&gt;0,INDEX('Invullen groen'!$J:$J,$J16),""),""),"")</f>
        <v/>
      </c>
      <c r="I16" s="164">
        <f>IFERROR(IF($J16&gt;0,IF(INDEX('Invullen groen'!$K:$K,$J16)&lt;&gt;0,INDEX('Invullen groen'!$K:$K,$J16),""),""),"")</f>
        <v/>
      </c>
      <c r="J16" s="83">
        <f>IFERROR(MATCH(ROW()-4,'Invullen groen'!$P$17:$P$272,0)+16,0)</f>
        <v/>
      </c>
    </row>
    <row r="17" ht="15" customHeight="1" s="402">
      <c r="A17" s="161">
        <f>IFERROR(IF($J17&gt;0,ROW()-4,""),"")</f>
        <v/>
      </c>
      <c r="B17" s="161">
        <f>IFERROR(IF($J17&gt;0,INDEX('Invullen groen'!$A:$A,$J17),""),"")</f>
        <v/>
      </c>
      <c r="C17" s="161">
        <f>IFERROR(IF($J17&gt;0,INDEX('Invullen groen'!$C:$C,$J17),""),"")</f>
        <v/>
      </c>
      <c r="D17" s="161">
        <f>IFERROR(IF($J17&gt;0,INDEX('Invullen groen'!$D:$D,$J17),""),"")</f>
        <v/>
      </c>
      <c r="E17" s="161">
        <f>IFERROR(IF($J17&gt;0,INDEX('Invullen groen'!$G:$G,$J17),""),"")</f>
        <v/>
      </c>
      <c r="F17" s="162">
        <f>IFERROR(IF($J17&gt;0,IF(INDEX('Invullen groen'!$H:$H,$J17)&lt;&gt;0,INDEX('Invullen groen'!$H:$H,$J17),""),""),"")</f>
        <v/>
      </c>
      <c r="G17" s="162">
        <f>IFERROR(IF($J17&gt;0,IF(INDEX('Invullen groen'!$I:$I,$J17)&lt;&gt;0,INDEX('Invullen groen'!$I:$I,$J17),""),""),"")</f>
        <v/>
      </c>
      <c r="H17" s="162">
        <f>IFERROR(IF($J17&gt;0,IF(INDEX('Invullen groen'!$J:$J,$J17)&lt;&gt;0,INDEX('Invullen groen'!$J:$J,$J17),""),""),"")</f>
        <v/>
      </c>
      <c r="I17" s="162">
        <f>IFERROR(IF($J17&gt;0,IF(INDEX('Invullen groen'!$K:$K,$J17)&lt;&gt;0,INDEX('Invullen groen'!$K:$K,$J17),""),""),"")</f>
        <v/>
      </c>
      <c r="J17" s="83">
        <f>IFERROR(MATCH(ROW()-4,'Invullen groen'!$P$17:$P$272,0)+16,0)</f>
        <v/>
      </c>
    </row>
    <row r="18" ht="15" customHeight="1" s="402">
      <c r="A18" s="163">
        <f>IFERROR(IF($J18&gt;0,ROW()-4,""),"")</f>
        <v/>
      </c>
      <c r="B18" s="163">
        <f>IFERROR(IF($J18&gt;0,INDEX('Invullen groen'!$A:$A,$J18),""),"")</f>
        <v/>
      </c>
      <c r="C18" s="163">
        <f>IFERROR(IF($J18&gt;0,INDEX('Invullen groen'!$C:$C,$J18),""),"")</f>
        <v/>
      </c>
      <c r="D18" s="163">
        <f>IFERROR(IF($J18&gt;0,INDEX('Invullen groen'!$D:$D,$J18),""),"")</f>
        <v/>
      </c>
      <c r="E18" s="163">
        <f>IFERROR(IF($J18&gt;0,INDEX('Invullen groen'!$G:$G,$J18),""),"")</f>
        <v/>
      </c>
      <c r="F18" s="164">
        <f>IFERROR(IF($J18&gt;0,IF(INDEX('Invullen groen'!$H:$H,$J18)&lt;&gt;0,INDEX('Invullen groen'!$H:$H,$J18),""),""),"")</f>
        <v/>
      </c>
      <c r="G18" s="164">
        <f>IFERROR(IF($J18&gt;0,IF(INDEX('Invullen groen'!$I:$I,$J18)&lt;&gt;0,INDEX('Invullen groen'!$I:$I,$J18),""),""),"")</f>
        <v/>
      </c>
      <c r="H18" s="164">
        <f>IFERROR(IF($J18&gt;0,IF(INDEX('Invullen groen'!$J:$J,$J18)&lt;&gt;0,INDEX('Invullen groen'!$J:$J,$J18),""),""),"")</f>
        <v/>
      </c>
      <c r="I18" s="164">
        <f>IFERROR(IF($J18&gt;0,IF(INDEX('Invullen groen'!$K:$K,$J18)&lt;&gt;0,INDEX('Invullen groen'!$K:$K,$J18),""),""),"")</f>
        <v/>
      </c>
      <c r="J18" s="83">
        <f>IFERROR(MATCH(ROW()-4,'Invullen groen'!$P$17:$P$272,0)+16,0)</f>
        <v/>
      </c>
    </row>
    <row r="19" ht="15" customHeight="1" s="402">
      <c r="A19" s="161">
        <f>IFERROR(IF($J19&gt;0,ROW()-4,""),"")</f>
        <v/>
      </c>
      <c r="B19" s="161">
        <f>IFERROR(IF($J19&gt;0,INDEX('Invullen groen'!$A:$A,$J19),""),"")</f>
        <v/>
      </c>
      <c r="C19" s="161">
        <f>IFERROR(IF($J19&gt;0,INDEX('Invullen groen'!$C:$C,$J19),""),"")</f>
        <v/>
      </c>
      <c r="D19" s="161">
        <f>IFERROR(IF($J19&gt;0,INDEX('Invullen groen'!$D:$D,$J19),""),"")</f>
        <v/>
      </c>
      <c r="E19" s="161">
        <f>IFERROR(IF($J19&gt;0,INDEX('Invullen groen'!$G:$G,$J19),""),"")</f>
        <v/>
      </c>
      <c r="F19" s="162">
        <f>IFERROR(IF($J19&gt;0,IF(INDEX('Invullen groen'!$H:$H,$J19)&lt;&gt;0,INDEX('Invullen groen'!$H:$H,$J19),""),""),"")</f>
        <v/>
      </c>
      <c r="G19" s="162">
        <f>IFERROR(IF($J19&gt;0,IF(INDEX('Invullen groen'!$I:$I,$J19)&lt;&gt;0,INDEX('Invullen groen'!$I:$I,$J19),""),""),"")</f>
        <v/>
      </c>
      <c r="H19" s="162">
        <f>IFERROR(IF($J19&gt;0,IF(INDEX('Invullen groen'!$J:$J,$J19)&lt;&gt;0,INDEX('Invullen groen'!$J:$J,$J19),""),""),"")</f>
        <v/>
      </c>
      <c r="I19" s="162">
        <f>IFERROR(IF($J19&gt;0,IF(INDEX('Invullen groen'!$K:$K,$J19)&lt;&gt;0,INDEX('Invullen groen'!$K:$K,$J19),""),""),"")</f>
        <v/>
      </c>
      <c r="J19" s="83">
        <f>IFERROR(MATCH(ROW()-4,'Invullen groen'!$P$17:$P$272,0)+16,0)</f>
        <v/>
      </c>
    </row>
    <row r="20" ht="15" customHeight="1" s="402">
      <c r="A20" s="163">
        <f>IFERROR(IF($J20&gt;0,ROW()-4,""),"")</f>
        <v/>
      </c>
      <c r="B20" s="163">
        <f>IFERROR(IF($J20&gt;0,INDEX('Invullen groen'!$A:$A,$J20),""),"")</f>
        <v/>
      </c>
      <c r="C20" s="163">
        <f>IFERROR(IF($J20&gt;0,INDEX('Invullen groen'!$C:$C,$J20),""),"")</f>
        <v/>
      </c>
      <c r="D20" s="163">
        <f>IFERROR(IF($J20&gt;0,INDEX('Invullen groen'!$D:$D,$J20),""),"")</f>
        <v/>
      </c>
      <c r="E20" s="163">
        <f>IFERROR(IF($J20&gt;0,INDEX('Invullen groen'!$G:$G,$J20),""),"")</f>
        <v/>
      </c>
      <c r="F20" s="164">
        <f>IFERROR(IF($J20&gt;0,IF(INDEX('Invullen groen'!$H:$H,$J20)&lt;&gt;0,INDEX('Invullen groen'!$H:$H,$J20),""),""),"")</f>
        <v/>
      </c>
      <c r="G20" s="164">
        <f>IFERROR(IF($J20&gt;0,IF(INDEX('Invullen groen'!$I:$I,$J20)&lt;&gt;0,INDEX('Invullen groen'!$I:$I,$J20),""),""),"")</f>
        <v/>
      </c>
      <c r="H20" s="164">
        <f>IFERROR(IF($J20&gt;0,IF(INDEX('Invullen groen'!$J:$J,$J20)&lt;&gt;0,INDEX('Invullen groen'!$J:$J,$J20),""),""),"")</f>
        <v/>
      </c>
      <c r="I20" s="164">
        <f>IFERROR(IF($J20&gt;0,IF(INDEX('Invullen groen'!$K:$K,$J20)&lt;&gt;0,INDEX('Invullen groen'!$K:$K,$J20),""),""),"")</f>
        <v/>
      </c>
      <c r="J20" s="83">
        <f>IFERROR(MATCH(ROW()-4,'Invullen groen'!$P$17:$P$272,0)+16,0)</f>
        <v/>
      </c>
    </row>
    <row r="21" ht="15" customHeight="1" s="402">
      <c r="A21" s="161">
        <f>IFERROR(IF($J21&gt;0,ROW()-4,""),"")</f>
        <v/>
      </c>
      <c r="B21" s="161">
        <f>IFERROR(IF($J21&gt;0,INDEX('Invullen groen'!$A:$A,$J21),""),"")</f>
        <v/>
      </c>
      <c r="C21" s="161">
        <f>IFERROR(IF($J21&gt;0,INDEX('Invullen groen'!$C:$C,$J21),""),"")</f>
        <v/>
      </c>
      <c r="D21" s="161">
        <f>IFERROR(IF($J21&gt;0,INDEX('Invullen groen'!$D:$D,$J21),""),"")</f>
        <v/>
      </c>
      <c r="E21" s="161">
        <f>IFERROR(IF($J21&gt;0,INDEX('Invullen groen'!$G:$G,$J21),""),"")</f>
        <v/>
      </c>
      <c r="F21" s="162">
        <f>IFERROR(IF($J21&gt;0,IF(INDEX('Invullen groen'!$H:$H,$J21)&lt;&gt;0,INDEX('Invullen groen'!$H:$H,$J21),""),""),"")</f>
        <v/>
      </c>
      <c r="G21" s="162">
        <f>IFERROR(IF($J21&gt;0,IF(INDEX('Invullen groen'!$I:$I,$J21)&lt;&gt;0,INDEX('Invullen groen'!$I:$I,$J21),""),""),"")</f>
        <v/>
      </c>
      <c r="H21" s="162">
        <f>IFERROR(IF($J21&gt;0,IF(INDEX('Invullen groen'!$J:$J,$J21)&lt;&gt;0,INDEX('Invullen groen'!$J:$J,$J21),""),""),"")</f>
        <v/>
      </c>
      <c r="I21" s="162">
        <f>IFERROR(IF($J21&gt;0,IF(INDEX('Invullen groen'!$K:$K,$J21)&lt;&gt;0,INDEX('Invullen groen'!$K:$K,$J21),""),""),"")</f>
        <v/>
      </c>
      <c r="J21" s="83">
        <f>IFERROR(MATCH(ROW()-4,'Invullen groen'!$P$17:$P$272,0)+16,0)</f>
        <v/>
      </c>
    </row>
    <row r="22" ht="15" customHeight="1" s="402">
      <c r="A22" s="163">
        <f>IFERROR(IF($J22&gt;0,ROW()-4,""),"")</f>
        <v/>
      </c>
      <c r="B22" s="163">
        <f>IFERROR(IF($J22&gt;0,INDEX('Invullen groen'!$A:$A,$J22),""),"")</f>
        <v/>
      </c>
      <c r="C22" s="163">
        <f>IFERROR(IF($J22&gt;0,INDEX('Invullen groen'!$C:$C,$J22),""),"")</f>
        <v/>
      </c>
      <c r="D22" s="163">
        <f>IFERROR(IF($J22&gt;0,INDEX('Invullen groen'!$D:$D,$J22),""),"")</f>
        <v/>
      </c>
      <c r="E22" s="163">
        <f>IFERROR(IF($J22&gt;0,INDEX('Invullen groen'!$G:$G,$J22),""),"")</f>
        <v/>
      </c>
      <c r="F22" s="164">
        <f>IFERROR(IF($J22&gt;0,IF(INDEX('Invullen groen'!$H:$H,$J22)&lt;&gt;0,INDEX('Invullen groen'!$H:$H,$J22),""),""),"")</f>
        <v/>
      </c>
      <c r="G22" s="164">
        <f>IFERROR(IF($J22&gt;0,IF(INDEX('Invullen groen'!$I:$I,$J22)&lt;&gt;0,INDEX('Invullen groen'!$I:$I,$J22),""),""),"")</f>
        <v/>
      </c>
      <c r="H22" s="164">
        <f>IFERROR(IF($J22&gt;0,IF(INDEX('Invullen groen'!$J:$J,$J22)&lt;&gt;0,INDEX('Invullen groen'!$J:$J,$J22),""),""),"")</f>
        <v/>
      </c>
      <c r="I22" s="164">
        <f>IFERROR(IF($J22&gt;0,IF(INDEX('Invullen groen'!$K:$K,$J22)&lt;&gt;0,INDEX('Invullen groen'!$K:$K,$J22),""),""),"")</f>
        <v/>
      </c>
      <c r="J22" s="83">
        <f>IFERROR(MATCH(ROW()-4,'Invullen groen'!$P$17:$P$272,0)+16,0)</f>
        <v/>
      </c>
    </row>
    <row r="23" ht="15" customHeight="1" s="402">
      <c r="A23" s="161">
        <f>IFERROR(IF($J23&gt;0,ROW()-4,""),"")</f>
        <v/>
      </c>
      <c r="B23" s="161">
        <f>IFERROR(IF($J23&gt;0,INDEX('Invullen groen'!$A:$A,$J23),""),"")</f>
        <v/>
      </c>
      <c r="C23" s="161">
        <f>IFERROR(IF($J23&gt;0,INDEX('Invullen groen'!$C:$C,$J23),""),"")</f>
        <v/>
      </c>
      <c r="D23" s="161">
        <f>IFERROR(IF($J23&gt;0,INDEX('Invullen groen'!$D:$D,$J23),""),"")</f>
        <v/>
      </c>
      <c r="E23" s="161">
        <f>IFERROR(IF($J23&gt;0,INDEX('Invullen groen'!$G:$G,$J23),""),"")</f>
        <v/>
      </c>
      <c r="F23" s="162">
        <f>IFERROR(IF($J23&gt;0,IF(INDEX('Invullen groen'!$H:$H,$J23)&lt;&gt;0,INDEX('Invullen groen'!$H:$H,$J23),""),""),"")</f>
        <v/>
      </c>
      <c r="G23" s="162">
        <f>IFERROR(IF($J23&gt;0,IF(INDEX('Invullen groen'!$I:$I,$J23)&lt;&gt;0,INDEX('Invullen groen'!$I:$I,$J23),""),""),"")</f>
        <v/>
      </c>
      <c r="H23" s="162">
        <f>IFERROR(IF($J23&gt;0,IF(INDEX('Invullen groen'!$J:$J,$J23)&lt;&gt;0,INDEX('Invullen groen'!$J:$J,$J23),""),""),"")</f>
        <v/>
      </c>
      <c r="I23" s="162">
        <f>IFERROR(IF($J23&gt;0,IF(INDEX('Invullen groen'!$K:$K,$J23)&lt;&gt;0,INDEX('Invullen groen'!$K:$K,$J23),""),""),"")</f>
        <v/>
      </c>
      <c r="J23" s="83">
        <f>IFERROR(MATCH(ROW()-4,'Invullen groen'!$P$17:$P$272,0)+16,0)</f>
        <v/>
      </c>
    </row>
    <row r="24" ht="15" customHeight="1" s="402">
      <c r="A24" s="163">
        <f>IFERROR(IF($J24&gt;0,ROW()-4,""),"")</f>
        <v/>
      </c>
      <c r="B24" s="163">
        <f>IFERROR(IF($J24&gt;0,INDEX('Invullen groen'!$A:$A,$J24),""),"")</f>
        <v/>
      </c>
      <c r="C24" s="163">
        <f>IFERROR(IF($J24&gt;0,INDEX('Invullen groen'!$C:$C,$J24),""),"")</f>
        <v/>
      </c>
      <c r="D24" s="163">
        <f>IFERROR(IF($J24&gt;0,INDEX('Invullen groen'!$D:$D,$J24),""),"")</f>
        <v/>
      </c>
      <c r="E24" s="163">
        <f>IFERROR(IF($J24&gt;0,INDEX('Invullen groen'!$G:$G,$J24),""),"")</f>
        <v/>
      </c>
      <c r="F24" s="164">
        <f>IFERROR(IF($J24&gt;0,IF(INDEX('Invullen groen'!$H:$H,$J24)&lt;&gt;0,INDEX('Invullen groen'!$H:$H,$J24),""),""),"")</f>
        <v/>
      </c>
      <c r="G24" s="164">
        <f>IFERROR(IF($J24&gt;0,IF(INDEX('Invullen groen'!$I:$I,$J24)&lt;&gt;0,INDEX('Invullen groen'!$I:$I,$J24),""),""),"")</f>
        <v/>
      </c>
      <c r="H24" s="164">
        <f>IFERROR(IF($J24&gt;0,IF(INDEX('Invullen groen'!$J:$J,$J24)&lt;&gt;0,INDEX('Invullen groen'!$J:$J,$J24),""),""),"")</f>
        <v/>
      </c>
      <c r="I24" s="164">
        <f>IFERROR(IF($J24&gt;0,IF(INDEX('Invullen groen'!$K:$K,$J24)&lt;&gt;0,INDEX('Invullen groen'!$K:$K,$J24),""),""),"")</f>
        <v/>
      </c>
      <c r="J24" s="83">
        <f>IFERROR(MATCH(ROW()-4,'Invullen groen'!$P$17:$P$272,0)+16,0)</f>
        <v/>
      </c>
    </row>
    <row r="25" ht="15" customHeight="1" s="402">
      <c r="A25" s="161">
        <f>IFERROR(IF($J25&gt;0,ROW()-4,""),"")</f>
        <v/>
      </c>
      <c r="B25" s="161">
        <f>IFERROR(IF($J25&gt;0,INDEX('Invullen groen'!$A:$A,$J25),""),"")</f>
        <v/>
      </c>
      <c r="C25" s="161">
        <f>IFERROR(IF($J25&gt;0,INDEX('Invullen groen'!$C:$C,$J25),""),"")</f>
        <v/>
      </c>
      <c r="D25" s="161">
        <f>IFERROR(IF($J25&gt;0,INDEX('Invullen groen'!$D:$D,$J25),""),"")</f>
        <v/>
      </c>
      <c r="E25" s="161">
        <f>IFERROR(IF($J25&gt;0,INDEX('Invullen groen'!$G:$G,$J25),""),"")</f>
        <v/>
      </c>
      <c r="F25" s="162">
        <f>IFERROR(IF($J25&gt;0,IF(INDEX('Invullen groen'!$H:$H,$J25)&lt;&gt;0,INDEX('Invullen groen'!$H:$H,$J25),""),""),"")</f>
        <v/>
      </c>
      <c r="G25" s="162">
        <f>IFERROR(IF($J25&gt;0,IF(INDEX('Invullen groen'!$I:$I,$J25)&lt;&gt;0,INDEX('Invullen groen'!$I:$I,$J25),""),""),"")</f>
        <v/>
      </c>
      <c r="H25" s="162">
        <f>IFERROR(IF($J25&gt;0,IF(INDEX('Invullen groen'!$J:$J,$J25)&lt;&gt;0,INDEX('Invullen groen'!$J:$J,$J25),""),""),"")</f>
        <v/>
      </c>
      <c r="I25" s="162">
        <f>IFERROR(IF($J25&gt;0,IF(INDEX('Invullen groen'!$K:$K,$J25)&lt;&gt;0,INDEX('Invullen groen'!$K:$K,$J25),""),""),"")</f>
        <v/>
      </c>
      <c r="J25" s="83">
        <f>IFERROR(MATCH(ROW()-4,'Invullen groen'!$P$17:$P$272,0)+16,0)</f>
        <v/>
      </c>
    </row>
    <row r="26" ht="15" customHeight="1" s="402">
      <c r="A26" s="163">
        <f>IFERROR(IF($J26&gt;0,ROW()-4,""),"")</f>
        <v/>
      </c>
      <c r="B26" s="163">
        <f>IFERROR(IF($J26&gt;0,INDEX('Invullen groen'!$A:$A,$J26),""),"")</f>
        <v/>
      </c>
      <c r="C26" s="163">
        <f>IFERROR(IF($J26&gt;0,INDEX('Invullen groen'!$C:$C,$J26),""),"")</f>
        <v/>
      </c>
      <c r="D26" s="163">
        <f>IFERROR(IF($J26&gt;0,INDEX('Invullen groen'!$D:$D,$J26),""),"")</f>
        <v/>
      </c>
      <c r="E26" s="163">
        <f>IFERROR(IF($J26&gt;0,INDEX('Invullen groen'!$G:$G,$J26),""),"")</f>
        <v/>
      </c>
      <c r="F26" s="164">
        <f>IFERROR(IF($J26&gt;0,IF(INDEX('Invullen groen'!$H:$H,$J26)&lt;&gt;0,INDEX('Invullen groen'!$H:$H,$J26),""),""),"")</f>
        <v/>
      </c>
      <c r="G26" s="164">
        <f>IFERROR(IF($J26&gt;0,IF(INDEX('Invullen groen'!$I:$I,$J26)&lt;&gt;0,INDEX('Invullen groen'!$I:$I,$J26),""),""),"")</f>
        <v/>
      </c>
      <c r="H26" s="164">
        <f>IFERROR(IF($J26&gt;0,IF(INDEX('Invullen groen'!$J:$J,$J26)&lt;&gt;0,INDEX('Invullen groen'!$J:$J,$J26),""),""),"")</f>
        <v/>
      </c>
      <c r="I26" s="164">
        <f>IFERROR(IF($J26&gt;0,IF(INDEX('Invullen groen'!$K:$K,$J26)&lt;&gt;0,INDEX('Invullen groen'!$K:$K,$J26),""),""),"")</f>
        <v/>
      </c>
      <c r="J26" s="83">
        <f>IFERROR(MATCH(ROW()-4,'Invullen groen'!$P$17:$P$272,0)+16,0)</f>
        <v/>
      </c>
    </row>
    <row r="27" ht="15" customHeight="1" s="402">
      <c r="A27" s="161">
        <f>IFERROR(IF($J27&gt;0,ROW()-4,""),"")</f>
        <v/>
      </c>
      <c r="B27" s="161">
        <f>IFERROR(IF($J27&gt;0,INDEX('Invullen groen'!$A:$A,$J27),""),"")</f>
        <v/>
      </c>
      <c r="C27" s="161">
        <f>IFERROR(IF($J27&gt;0,INDEX('Invullen groen'!$C:$C,$J27),""),"")</f>
        <v/>
      </c>
      <c r="D27" s="161">
        <f>IFERROR(IF($J27&gt;0,INDEX('Invullen groen'!$D:$D,$J27),""),"")</f>
        <v/>
      </c>
      <c r="E27" s="161">
        <f>IFERROR(IF($J27&gt;0,INDEX('Invullen groen'!$G:$G,$J27),""),"")</f>
        <v/>
      </c>
      <c r="F27" s="162">
        <f>IFERROR(IF($J27&gt;0,IF(INDEX('Invullen groen'!$H:$H,$J27)&lt;&gt;0,INDEX('Invullen groen'!$H:$H,$J27),""),""),"")</f>
        <v/>
      </c>
      <c r="G27" s="162">
        <f>IFERROR(IF($J27&gt;0,IF(INDEX('Invullen groen'!$I:$I,$J27)&lt;&gt;0,INDEX('Invullen groen'!$I:$I,$J27),""),""),"")</f>
        <v/>
      </c>
      <c r="H27" s="162">
        <f>IFERROR(IF($J27&gt;0,IF(INDEX('Invullen groen'!$J:$J,$J27)&lt;&gt;0,INDEX('Invullen groen'!$J:$J,$J27),""),""),"")</f>
        <v/>
      </c>
      <c r="I27" s="162">
        <f>IFERROR(IF($J27&gt;0,IF(INDEX('Invullen groen'!$K:$K,$J27)&lt;&gt;0,INDEX('Invullen groen'!$K:$K,$J27),""),""),"")</f>
        <v/>
      </c>
      <c r="J27" s="83">
        <f>IFERROR(MATCH(ROW()-4,'Invullen groen'!$P$17:$P$272,0)+16,0)</f>
        <v/>
      </c>
    </row>
    <row r="28" ht="15" customHeight="1" s="402">
      <c r="A28" s="163">
        <f>IFERROR(IF($J28&gt;0,ROW()-4,""),"")</f>
        <v/>
      </c>
      <c r="B28" s="163">
        <f>IFERROR(IF($J28&gt;0,INDEX('Invullen groen'!$A:$A,$J28),""),"")</f>
        <v/>
      </c>
      <c r="C28" s="163">
        <f>IFERROR(IF($J28&gt;0,INDEX('Invullen groen'!$C:$C,$J28),""),"")</f>
        <v/>
      </c>
      <c r="D28" s="163">
        <f>IFERROR(IF($J28&gt;0,INDEX('Invullen groen'!$D:$D,$J28),""),"")</f>
        <v/>
      </c>
      <c r="E28" s="163">
        <f>IFERROR(IF($J28&gt;0,INDEX('Invullen groen'!$G:$G,$J28),""),"")</f>
        <v/>
      </c>
      <c r="F28" s="164">
        <f>IFERROR(IF($J28&gt;0,IF(INDEX('Invullen groen'!$H:$H,$J28)&lt;&gt;0,INDEX('Invullen groen'!$H:$H,$J28),""),""),"")</f>
        <v/>
      </c>
      <c r="G28" s="164">
        <f>IFERROR(IF($J28&gt;0,IF(INDEX('Invullen groen'!$I:$I,$J28)&lt;&gt;0,INDEX('Invullen groen'!$I:$I,$J28),""),""),"")</f>
        <v/>
      </c>
      <c r="H28" s="164">
        <f>IFERROR(IF($J28&gt;0,IF(INDEX('Invullen groen'!$J:$J,$J28)&lt;&gt;0,INDEX('Invullen groen'!$J:$J,$J28),""),""),"")</f>
        <v/>
      </c>
      <c r="I28" s="164">
        <f>IFERROR(IF($J28&gt;0,IF(INDEX('Invullen groen'!$K:$K,$J28)&lt;&gt;0,INDEX('Invullen groen'!$K:$K,$J28),""),""),"")</f>
        <v/>
      </c>
      <c r="J28" s="83">
        <f>IFERROR(MATCH(ROW()-4,'Invullen groen'!$P$17:$P$272,0)+16,0)</f>
        <v/>
      </c>
    </row>
    <row r="29" ht="15" customHeight="1" s="402">
      <c r="A29" s="161">
        <f>IFERROR(IF($J29&gt;0,ROW()-4,""),"")</f>
        <v/>
      </c>
      <c r="B29" s="161">
        <f>IFERROR(IF($J29&gt;0,INDEX('Invullen groen'!$A:$A,$J29),""),"")</f>
        <v/>
      </c>
      <c r="C29" s="161">
        <f>IFERROR(IF($J29&gt;0,INDEX('Invullen groen'!$C:$C,$J29),""),"")</f>
        <v/>
      </c>
      <c r="D29" s="161">
        <f>IFERROR(IF($J29&gt;0,INDEX('Invullen groen'!$D:$D,$J29),""),"")</f>
        <v/>
      </c>
      <c r="E29" s="161">
        <f>IFERROR(IF($J29&gt;0,INDEX('Invullen groen'!$G:$G,$J29),""),"")</f>
        <v/>
      </c>
      <c r="F29" s="162">
        <f>IFERROR(IF($J29&gt;0,IF(INDEX('Invullen groen'!$H:$H,$J29)&lt;&gt;0,INDEX('Invullen groen'!$H:$H,$J29),""),""),"")</f>
        <v/>
      </c>
      <c r="G29" s="162">
        <f>IFERROR(IF($J29&gt;0,IF(INDEX('Invullen groen'!$I:$I,$J29)&lt;&gt;0,INDEX('Invullen groen'!$I:$I,$J29),""),""),"")</f>
        <v/>
      </c>
      <c r="H29" s="162">
        <f>IFERROR(IF($J29&gt;0,IF(INDEX('Invullen groen'!$J:$J,$J29)&lt;&gt;0,INDEX('Invullen groen'!$J:$J,$J29),""),""),"")</f>
        <v/>
      </c>
      <c r="I29" s="162">
        <f>IFERROR(IF($J29&gt;0,IF(INDEX('Invullen groen'!$K:$K,$J29)&lt;&gt;0,INDEX('Invullen groen'!$K:$K,$J29),""),""),"")</f>
        <v/>
      </c>
      <c r="J29" s="83">
        <f>IFERROR(MATCH(ROW()-4,'Invullen groen'!$P$17:$P$272,0)+16,0)</f>
        <v/>
      </c>
    </row>
    <row r="30" ht="15" customHeight="1" s="402">
      <c r="A30" s="163">
        <f>IFERROR(IF($J30&gt;0,ROW()-4,""),"")</f>
        <v/>
      </c>
      <c r="B30" s="163">
        <f>IFERROR(IF($J30&gt;0,INDEX('Invullen groen'!$A:$A,$J30),""),"")</f>
        <v/>
      </c>
      <c r="C30" s="163">
        <f>IFERROR(IF($J30&gt;0,INDEX('Invullen groen'!$C:$C,$J30),""),"")</f>
        <v/>
      </c>
      <c r="D30" s="163">
        <f>IFERROR(IF($J30&gt;0,INDEX('Invullen groen'!$D:$D,$J30),""),"")</f>
        <v/>
      </c>
      <c r="E30" s="163">
        <f>IFERROR(IF($J30&gt;0,INDEX('Invullen groen'!$G:$G,$J30),""),"")</f>
        <v/>
      </c>
      <c r="F30" s="164">
        <f>IFERROR(IF($J30&gt;0,IF(INDEX('Invullen groen'!$H:$H,$J30)&lt;&gt;0,INDEX('Invullen groen'!$H:$H,$J30),""),""),"")</f>
        <v/>
      </c>
      <c r="G30" s="164">
        <f>IFERROR(IF($J30&gt;0,IF(INDEX('Invullen groen'!$I:$I,$J30)&lt;&gt;0,INDEX('Invullen groen'!$I:$I,$J30),""),""),"")</f>
        <v/>
      </c>
      <c r="H30" s="164">
        <f>IFERROR(IF($J30&gt;0,IF(INDEX('Invullen groen'!$J:$J,$J30)&lt;&gt;0,INDEX('Invullen groen'!$J:$J,$J30),""),""),"")</f>
        <v/>
      </c>
      <c r="I30" s="164">
        <f>IFERROR(IF($J30&gt;0,IF(INDEX('Invullen groen'!$K:$K,$J30)&lt;&gt;0,INDEX('Invullen groen'!$K:$K,$J30),""),""),"")</f>
        <v/>
      </c>
      <c r="J30" s="83">
        <f>IFERROR(MATCH(ROW()-4,'Invullen groen'!$P$17:$P$272,0)+16,0)</f>
        <v/>
      </c>
    </row>
    <row r="31" ht="15" customHeight="1" s="402">
      <c r="A31" s="161">
        <f>IFERROR(IF($J31&gt;0,ROW()-4,""),"")</f>
        <v/>
      </c>
      <c r="B31" s="161">
        <f>IFERROR(IF($J31&gt;0,INDEX('Invullen groen'!$A:$A,$J31),""),"")</f>
        <v/>
      </c>
      <c r="C31" s="161">
        <f>IFERROR(IF($J31&gt;0,INDEX('Invullen groen'!$C:$C,$J31),""),"")</f>
        <v/>
      </c>
      <c r="D31" s="161">
        <f>IFERROR(IF($J31&gt;0,INDEX('Invullen groen'!$D:$D,$J31),""),"")</f>
        <v/>
      </c>
      <c r="E31" s="161">
        <f>IFERROR(IF($J31&gt;0,INDEX('Invullen groen'!$G:$G,$J31),""),"")</f>
        <v/>
      </c>
      <c r="F31" s="162">
        <f>IFERROR(IF($J31&gt;0,IF(INDEX('Invullen groen'!$H:$H,$J31)&lt;&gt;0,INDEX('Invullen groen'!$H:$H,$J31),""),""),"")</f>
        <v/>
      </c>
      <c r="G31" s="162">
        <f>IFERROR(IF($J31&gt;0,IF(INDEX('Invullen groen'!$I:$I,$J31)&lt;&gt;0,INDEX('Invullen groen'!$I:$I,$J31),""),""),"")</f>
        <v/>
      </c>
      <c r="H31" s="162">
        <f>IFERROR(IF($J31&gt;0,IF(INDEX('Invullen groen'!$J:$J,$J31)&lt;&gt;0,INDEX('Invullen groen'!$J:$J,$J31),""),""),"")</f>
        <v/>
      </c>
      <c r="I31" s="162">
        <f>IFERROR(IF($J31&gt;0,IF(INDEX('Invullen groen'!$K:$K,$J31)&lt;&gt;0,INDEX('Invullen groen'!$K:$K,$J31),""),""),"")</f>
        <v/>
      </c>
      <c r="J31" s="83">
        <f>IFERROR(MATCH(ROW()-4,'Invullen groen'!$P$17:$P$272,0)+16,0)</f>
        <v/>
      </c>
    </row>
    <row r="32" ht="15" customHeight="1" s="402">
      <c r="A32" s="163">
        <f>IFERROR(IF($J32&gt;0,ROW()-4,""),"")</f>
        <v/>
      </c>
      <c r="B32" s="163">
        <f>IFERROR(IF($J32&gt;0,INDEX('Invullen groen'!$A:$A,$J32),""),"")</f>
        <v/>
      </c>
      <c r="C32" s="163">
        <f>IFERROR(IF($J32&gt;0,INDEX('Invullen groen'!$C:$C,$J32),""),"")</f>
        <v/>
      </c>
      <c r="D32" s="163">
        <f>IFERROR(IF($J32&gt;0,INDEX('Invullen groen'!$D:$D,$J32),""),"")</f>
        <v/>
      </c>
      <c r="E32" s="163">
        <f>IFERROR(IF($J32&gt;0,INDEX('Invullen groen'!$G:$G,$J32),""),"")</f>
        <v/>
      </c>
      <c r="F32" s="164">
        <f>IFERROR(IF($J32&gt;0,IF(INDEX('Invullen groen'!$H:$H,$J32)&lt;&gt;0,INDEX('Invullen groen'!$H:$H,$J32),""),""),"")</f>
        <v/>
      </c>
      <c r="G32" s="164">
        <f>IFERROR(IF($J32&gt;0,IF(INDEX('Invullen groen'!$I:$I,$J32)&lt;&gt;0,INDEX('Invullen groen'!$I:$I,$J32),""),""),"")</f>
        <v/>
      </c>
      <c r="H32" s="164">
        <f>IFERROR(IF($J32&gt;0,IF(INDEX('Invullen groen'!$J:$J,$J32)&lt;&gt;0,INDEX('Invullen groen'!$J:$J,$J32),""),""),"")</f>
        <v/>
      </c>
      <c r="I32" s="164">
        <f>IFERROR(IF($J32&gt;0,IF(INDEX('Invullen groen'!$K:$K,$J32)&lt;&gt;0,INDEX('Invullen groen'!$K:$K,$J32),""),""),"")</f>
        <v/>
      </c>
      <c r="J32" s="83">
        <f>IFERROR(MATCH(ROW()-4,'Invullen groen'!$P$17:$P$272,0)+16,0)</f>
        <v/>
      </c>
    </row>
    <row r="33" ht="15" customHeight="1" s="402">
      <c r="A33" s="161">
        <f>IFERROR(IF($J33&gt;0,ROW()-4,""),"")</f>
        <v/>
      </c>
      <c r="B33" s="161">
        <f>IFERROR(IF($J33&gt;0,INDEX('Invullen groen'!$A:$A,$J33),""),"")</f>
        <v/>
      </c>
      <c r="C33" s="161">
        <f>IFERROR(IF($J33&gt;0,INDEX('Invullen groen'!$C:$C,$J33),""),"")</f>
        <v/>
      </c>
      <c r="D33" s="161">
        <f>IFERROR(IF($J33&gt;0,INDEX('Invullen groen'!$D:$D,$J33),""),"")</f>
        <v/>
      </c>
      <c r="E33" s="161">
        <f>IFERROR(IF($J33&gt;0,INDEX('Invullen groen'!$G:$G,$J33),""),"")</f>
        <v/>
      </c>
      <c r="F33" s="162">
        <f>IFERROR(IF($J33&gt;0,IF(INDEX('Invullen groen'!$H:$H,$J33)&lt;&gt;0,INDEX('Invullen groen'!$H:$H,$J33),""),""),"")</f>
        <v/>
      </c>
      <c r="G33" s="162">
        <f>IFERROR(IF($J33&gt;0,IF(INDEX('Invullen groen'!$I:$I,$J33)&lt;&gt;0,INDEX('Invullen groen'!$I:$I,$J33),""),""),"")</f>
        <v/>
      </c>
      <c r="H33" s="162">
        <f>IFERROR(IF($J33&gt;0,IF(INDEX('Invullen groen'!$J:$J,$J33)&lt;&gt;0,INDEX('Invullen groen'!$J:$J,$J33),""),""),"")</f>
        <v/>
      </c>
      <c r="I33" s="162">
        <f>IFERROR(IF($J33&gt;0,IF(INDEX('Invullen groen'!$K:$K,$J33)&lt;&gt;0,INDEX('Invullen groen'!$K:$K,$J33),""),""),"")</f>
        <v/>
      </c>
      <c r="J33" s="83">
        <f>IFERROR(MATCH(ROW()-4,'Invullen groen'!$P$17:$P$272,0)+16,0)</f>
        <v/>
      </c>
    </row>
    <row r="34" ht="15" customHeight="1" s="402">
      <c r="A34" s="163">
        <f>IFERROR(IF($J34&gt;0,ROW()-4,""),"")</f>
        <v/>
      </c>
      <c r="B34" s="163">
        <f>IFERROR(IF($J34&gt;0,INDEX('Invullen groen'!$A:$A,$J34),""),"")</f>
        <v/>
      </c>
      <c r="C34" s="163">
        <f>IFERROR(IF($J34&gt;0,INDEX('Invullen groen'!$C:$C,$J34),""),"")</f>
        <v/>
      </c>
      <c r="D34" s="163">
        <f>IFERROR(IF($J34&gt;0,INDEX('Invullen groen'!$D:$D,$J34),""),"")</f>
        <v/>
      </c>
      <c r="E34" s="163">
        <f>IFERROR(IF($J34&gt;0,INDEX('Invullen groen'!$G:$G,$J34),""),"")</f>
        <v/>
      </c>
      <c r="F34" s="164">
        <f>IFERROR(IF($J34&gt;0,IF(INDEX('Invullen groen'!$H:$H,$J34)&lt;&gt;0,INDEX('Invullen groen'!$H:$H,$J34),""),""),"")</f>
        <v/>
      </c>
      <c r="G34" s="164">
        <f>IFERROR(IF($J34&gt;0,IF(INDEX('Invullen groen'!$I:$I,$J34)&lt;&gt;0,INDEX('Invullen groen'!$I:$I,$J34),""),""),"")</f>
        <v/>
      </c>
      <c r="H34" s="164">
        <f>IFERROR(IF($J34&gt;0,IF(INDEX('Invullen groen'!$J:$J,$J34)&lt;&gt;0,INDEX('Invullen groen'!$J:$J,$J34),""),""),"")</f>
        <v/>
      </c>
      <c r="I34" s="164">
        <f>IFERROR(IF($J34&gt;0,IF(INDEX('Invullen groen'!$K:$K,$J34)&lt;&gt;0,INDEX('Invullen groen'!$K:$K,$J34),""),""),"")</f>
        <v/>
      </c>
      <c r="J34" s="83">
        <f>IFERROR(MATCH(ROW()-4,'Invullen groen'!$P$17:$P$272,0)+16,0)</f>
        <v/>
      </c>
    </row>
    <row r="35" hidden="1" ht="15" customHeight="1" s="402">
      <c r="A35" s="161">
        <f>IFERROR(IF($J35&gt;0,ROW()-4,""),"")</f>
        <v/>
      </c>
      <c r="B35" s="161">
        <f>IFERROR(IF($J35&gt;0,INDEX('Invullen groen'!$A:$A,$J35),""),"")</f>
        <v/>
      </c>
      <c r="C35" s="161">
        <f>IFERROR(IF($J35&gt;0,INDEX('Invullen groen'!$C:$C,$J35),""),"")</f>
        <v/>
      </c>
      <c r="D35" s="161">
        <f>IFERROR(IF($J35&gt;0,INDEX('Invullen groen'!$D:$D,$J35),""),"")</f>
        <v/>
      </c>
      <c r="E35" s="161">
        <f>IFERROR(IF($J35&gt;0,INDEX('Invullen groen'!$G:$G,$J35),""),"")</f>
        <v/>
      </c>
      <c r="F35" s="162">
        <f>IFERROR(IF($J35&gt;0,IF(INDEX('Invullen groen'!$H:$H,$J35)&lt;&gt;0,INDEX('Invullen groen'!$H:$H,$J35),""),""),"")</f>
        <v/>
      </c>
      <c r="G35" s="162">
        <f>IFERROR(IF($J35&gt;0,IF(INDEX('Invullen groen'!$I:$I,$J35)&lt;&gt;0,INDEX('Invullen groen'!$I:$I,$J35),""),""),"")</f>
        <v/>
      </c>
      <c r="H35" s="162">
        <f>IFERROR(IF($J35&gt;0,IF(INDEX('Invullen groen'!$J:$J,$J35)&lt;&gt;0,INDEX('Invullen groen'!$J:$J,$J35),""),""),"")</f>
        <v/>
      </c>
      <c r="I35" s="162">
        <f>IFERROR(IF($J35&gt;0,IF(INDEX('Invullen groen'!$K:$K,$J35)&lt;&gt;0,INDEX('Invullen groen'!$K:$K,$J35),""),""),"")</f>
        <v/>
      </c>
      <c r="J35" s="83">
        <f>IFERROR(MATCH(ROW()-4,'Invullen groen'!$P$17:$P$272,0)+16,0)</f>
        <v/>
      </c>
    </row>
    <row r="36" hidden="1" ht="15" customHeight="1" s="402">
      <c r="A36" s="163">
        <f>IFERROR(IF($J36&gt;0,ROW()-4,""),"")</f>
        <v/>
      </c>
      <c r="B36" s="163">
        <f>IFERROR(IF($J36&gt;0,INDEX('Invullen groen'!$A:$A,$J36),""),"")</f>
        <v/>
      </c>
      <c r="C36" s="163">
        <f>IFERROR(IF($J36&gt;0,INDEX('Invullen groen'!$C:$C,$J36),""),"")</f>
        <v/>
      </c>
      <c r="D36" s="163">
        <f>IFERROR(IF($J36&gt;0,INDEX('Invullen groen'!$D:$D,$J36),""),"")</f>
        <v/>
      </c>
      <c r="E36" s="163">
        <f>IFERROR(IF($J36&gt;0,INDEX('Invullen groen'!$G:$G,$J36),""),"")</f>
        <v/>
      </c>
      <c r="F36" s="164">
        <f>IFERROR(IF($J36&gt;0,IF(INDEX('Invullen groen'!$H:$H,$J36)&lt;&gt;0,INDEX('Invullen groen'!$H:$H,$J36),""),""),"")</f>
        <v/>
      </c>
      <c r="G36" s="164">
        <f>IFERROR(IF($J36&gt;0,IF(INDEX('Invullen groen'!$I:$I,$J36)&lt;&gt;0,INDEX('Invullen groen'!$I:$I,$J36),""),""),"")</f>
        <v/>
      </c>
      <c r="H36" s="164">
        <f>IFERROR(IF($J36&gt;0,IF(INDEX('Invullen groen'!$J:$J,$J36)&lt;&gt;0,INDEX('Invullen groen'!$J:$J,$J36),""),""),"")</f>
        <v/>
      </c>
      <c r="I36" s="164">
        <f>IFERROR(IF($J36&gt;0,IF(INDEX('Invullen groen'!$K:$K,$J36)&lt;&gt;0,INDEX('Invullen groen'!$K:$K,$J36),""),""),"")</f>
        <v/>
      </c>
      <c r="J36" s="83">
        <f>IFERROR(MATCH(ROW()-4,'Invullen groen'!$P$17:$P$272,0)+16,0)</f>
        <v/>
      </c>
    </row>
    <row r="37" hidden="1" ht="15" customHeight="1" s="402">
      <c r="A37" s="161">
        <f>IFERROR(IF($J37&gt;0,ROW()-4,""),"")</f>
        <v/>
      </c>
      <c r="B37" s="161">
        <f>IFERROR(IF($J37&gt;0,INDEX('Invullen groen'!$A:$A,$J37),""),"")</f>
        <v/>
      </c>
      <c r="C37" s="161">
        <f>IFERROR(IF($J37&gt;0,INDEX('Invullen groen'!$C:$C,$J37),""),"")</f>
        <v/>
      </c>
      <c r="D37" s="161">
        <f>IFERROR(IF($J37&gt;0,INDEX('Invullen groen'!$D:$D,$J37),""),"")</f>
        <v/>
      </c>
      <c r="E37" s="161">
        <f>IFERROR(IF($J37&gt;0,INDEX('Invullen groen'!$G:$G,$J37),""),"")</f>
        <v/>
      </c>
      <c r="F37" s="162">
        <f>IFERROR(IF($J37&gt;0,IF(INDEX('Invullen groen'!$H:$H,$J37)&lt;&gt;0,INDEX('Invullen groen'!$H:$H,$J37),""),""),"")</f>
        <v/>
      </c>
      <c r="G37" s="162">
        <f>IFERROR(IF($J37&gt;0,IF(INDEX('Invullen groen'!$I:$I,$J37)&lt;&gt;0,INDEX('Invullen groen'!$I:$I,$J37),""),""),"")</f>
        <v/>
      </c>
      <c r="H37" s="162">
        <f>IFERROR(IF($J37&gt;0,IF(INDEX('Invullen groen'!$J:$J,$J37)&lt;&gt;0,INDEX('Invullen groen'!$J:$J,$J37),""),""),"")</f>
        <v/>
      </c>
      <c r="I37" s="162">
        <f>IFERROR(IF($J37&gt;0,IF(INDEX('Invullen groen'!$K:$K,$J37)&lt;&gt;0,INDEX('Invullen groen'!$K:$K,$J37),""),""),"")</f>
        <v/>
      </c>
      <c r="J37" s="83">
        <f>IFERROR(MATCH(ROW()-4,'Invullen groen'!$P$17:$P$272,0)+16,0)</f>
        <v/>
      </c>
    </row>
    <row r="38" hidden="1" ht="15" customHeight="1" s="402">
      <c r="A38" s="163">
        <f>IFERROR(IF($J38&gt;0,ROW()-4,""),"")</f>
        <v/>
      </c>
      <c r="B38" s="163">
        <f>IFERROR(IF($J38&gt;0,INDEX('Invullen groen'!$A:$A,$J38),""),"")</f>
        <v/>
      </c>
      <c r="C38" s="163">
        <f>IFERROR(IF($J38&gt;0,INDEX('Invullen groen'!$C:$C,$J38),""),"")</f>
        <v/>
      </c>
      <c r="D38" s="163">
        <f>IFERROR(IF($J38&gt;0,INDEX('Invullen groen'!$D:$D,$J38),""),"")</f>
        <v/>
      </c>
      <c r="E38" s="163">
        <f>IFERROR(IF($J38&gt;0,INDEX('Invullen groen'!$G:$G,$J38),""),"")</f>
        <v/>
      </c>
      <c r="F38" s="164">
        <f>IFERROR(IF($J38&gt;0,IF(INDEX('Invullen groen'!$H:$H,$J38)&lt;&gt;0,INDEX('Invullen groen'!$H:$H,$J38),""),""),"")</f>
        <v/>
      </c>
      <c r="G38" s="164">
        <f>IFERROR(IF($J38&gt;0,IF(INDEX('Invullen groen'!$I:$I,$J38)&lt;&gt;0,INDEX('Invullen groen'!$I:$I,$J38),""),""),"")</f>
        <v/>
      </c>
      <c r="H38" s="164">
        <f>IFERROR(IF($J38&gt;0,IF(INDEX('Invullen groen'!$J:$J,$J38)&lt;&gt;0,INDEX('Invullen groen'!$J:$J,$J38),""),""),"")</f>
        <v/>
      </c>
      <c r="I38" s="164">
        <f>IFERROR(IF($J38&gt;0,IF(INDEX('Invullen groen'!$K:$K,$J38)&lt;&gt;0,INDEX('Invullen groen'!$K:$K,$J38),""),""),"")</f>
        <v/>
      </c>
      <c r="J38" s="83">
        <f>IFERROR(MATCH(ROW()-4,'Invullen groen'!$P$17:$P$272,0)+16,0)</f>
        <v/>
      </c>
    </row>
    <row r="39" hidden="1" ht="15" customHeight="1" s="402">
      <c r="A39" s="161">
        <f>IFERROR(IF($J39&gt;0,ROW()-4,""),"")</f>
        <v/>
      </c>
      <c r="B39" s="161">
        <f>IFERROR(IF($J39&gt;0,INDEX('Invullen groen'!$A:$A,$J39),""),"")</f>
        <v/>
      </c>
      <c r="C39" s="161">
        <f>IFERROR(IF($J39&gt;0,INDEX('Invullen groen'!$C:$C,$J39),""),"")</f>
        <v/>
      </c>
      <c r="D39" s="161">
        <f>IFERROR(IF($J39&gt;0,INDEX('Invullen groen'!$D:$D,$J39),""),"")</f>
        <v/>
      </c>
      <c r="E39" s="161">
        <f>IFERROR(IF($J39&gt;0,INDEX('Invullen groen'!$G:$G,$J39),""),"")</f>
        <v/>
      </c>
      <c r="F39" s="162">
        <f>IFERROR(IF($J39&gt;0,IF(INDEX('Invullen groen'!$H:$H,$J39)&lt;&gt;0,INDEX('Invullen groen'!$H:$H,$J39),""),""),"")</f>
        <v/>
      </c>
      <c r="G39" s="162">
        <f>IFERROR(IF($J39&gt;0,IF(INDEX('Invullen groen'!$I:$I,$J39)&lt;&gt;0,INDEX('Invullen groen'!$I:$I,$J39),""),""),"")</f>
        <v/>
      </c>
      <c r="H39" s="162">
        <f>IFERROR(IF($J39&gt;0,IF(INDEX('Invullen groen'!$J:$J,$J39)&lt;&gt;0,INDEX('Invullen groen'!$J:$J,$J39),""),""),"")</f>
        <v/>
      </c>
      <c r="I39" s="162">
        <f>IFERROR(IF($J39&gt;0,IF(INDEX('Invullen groen'!$K:$K,$J39)&lt;&gt;0,INDEX('Invullen groen'!$K:$K,$J39),""),""),"")</f>
        <v/>
      </c>
      <c r="J39" s="83">
        <f>IFERROR(MATCH(ROW()-4,'Invullen groen'!$P$17:$P$272,0)+16,0)</f>
        <v/>
      </c>
    </row>
    <row r="40" hidden="1" ht="15" customHeight="1" s="402">
      <c r="A40" s="163">
        <f>IFERROR(IF($J40&gt;0,ROW()-4,""),"")</f>
        <v/>
      </c>
      <c r="B40" s="163">
        <f>IFERROR(IF($J40&gt;0,INDEX('Invullen groen'!$A:$A,$J40),""),"")</f>
        <v/>
      </c>
      <c r="C40" s="163">
        <f>IFERROR(IF($J40&gt;0,INDEX('Invullen groen'!$C:$C,$J40),""),"")</f>
        <v/>
      </c>
      <c r="D40" s="163">
        <f>IFERROR(IF($J40&gt;0,INDEX('Invullen groen'!$D:$D,$J40),""),"")</f>
        <v/>
      </c>
      <c r="E40" s="163">
        <f>IFERROR(IF($J40&gt;0,INDEX('Invullen groen'!$G:$G,$J40),""),"")</f>
        <v/>
      </c>
      <c r="F40" s="164">
        <f>IFERROR(IF($J40&gt;0,IF(INDEX('Invullen groen'!$H:$H,$J40)&lt;&gt;0,INDEX('Invullen groen'!$H:$H,$J40),""),""),"")</f>
        <v/>
      </c>
      <c r="G40" s="164">
        <f>IFERROR(IF($J40&gt;0,IF(INDEX('Invullen groen'!$I:$I,$J40)&lt;&gt;0,INDEX('Invullen groen'!$I:$I,$J40),""),""),"")</f>
        <v/>
      </c>
      <c r="H40" s="164">
        <f>IFERROR(IF($J40&gt;0,IF(INDEX('Invullen groen'!$J:$J,$J40)&lt;&gt;0,INDEX('Invullen groen'!$J:$J,$J40),""),""),"")</f>
        <v/>
      </c>
      <c r="I40" s="164">
        <f>IFERROR(IF($J40&gt;0,IF(INDEX('Invullen groen'!$K:$K,$J40)&lt;&gt;0,INDEX('Invullen groen'!$K:$K,$J40),""),""),"")</f>
        <v/>
      </c>
      <c r="J40" s="83">
        <f>IFERROR(MATCH(ROW()-4,'Invullen groen'!$P$17:$P$272,0)+16,0)</f>
        <v/>
      </c>
    </row>
    <row r="41" hidden="1" ht="15" customHeight="1" s="402">
      <c r="A41" s="161">
        <f>IFERROR(IF($J41&gt;0,ROW()-4,""),"")</f>
        <v/>
      </c>
      <c r="B41" s="161">
        <f>IFERROR(IF($J41&gt;0,INDEX('Invullen groen'!$A:$A,$J41),""),"")</f>
        <v/>
      </c>
      <c r="C41" s="161">
        <f>IFERROR(IF($J41&gt;0,INDEX('Invullen groen'!$C:$C,$J41),""),"")</f>
        <v/>
      </c>
      <c r="D41" s="161">
        <f>IFERROR(IF($J41&gt;0,INDEX('Invullen groen'!$D:$D,$J41),""),"")</f>
        <v/>
      </c>
      <c r="E41" s="161">
        <f>IFERROR(IF($J41&gt;0,INDEX('Invullen groen'!$G:$G,$J41),""),"")</f>
        <v/>
      </c>
      <c r="F41" s="162">
        <f>IFERROR(IF($J41&gt;0,IF(INDEX('Invullen groen'!$H:$H,$J41)&lt;&gt;0,INDEX('Invullen groen'!$H:$H,$J41),""),""),"")</f>
        <v/>
      </c>
      <c r="G41" s="162">
        <f>IFERROR(IF($J41&gt;0,IF(INDEX('Invullen groen'!$I:$I,$J41)&lt;&gt;0,INDEX('Invullen groen'!$I:$I,$J41),""),""),"")</f>
        <v/>
      </c>
      <c r="H41" s="162">
        <f>IFERROR(IF($J41&gt;0,IF(INDEX('Invullen groen'!$J:$J,$J41)&lt;&gt;0,INDEX('Invullen groen'!$J:$J,$J41),""),""),"")</f>
        <v/>
      </c>
      <c r="I41" s="162">
        <f>IFERROR(IF($J41&gt;0,IF(INDEX('Invullen groen'!$K:$K,$J41)&lt;&gt;0,INDEX('Invullen groen'!$K:$K,$J41),""),""),"")</f>
        <v/>
      </c>
      <c r="J41" s="83">
        <f>IFERROR(MATCH(ROW()-4,'Invullen groen'!$P$17:$P$272,0)+16,0)</f>
        <v/>
      </c>
    </row>
    <row r="42" hidden="1" ht="15" customHeight="1" s="402">
      <c r="A42" s="163">
        <f>IFERROR(IF($J42&gt;0,ROW()-4,""),"")</f>
        <v/>
      </c>
      <c r="B42" s="163">
        <f>IFERROR(IF($J42&gt;0,INDEX('Invullen groen'!$A:$A,$J42),""),"")</f>
        <v/>
      </c>
      <c r="C42" s="163">
        <f>IFERROR(IF($J42&gt;0,INDEX('Invullen groen'!$C:$C,$J42),""),"")</f>
        <v/>
      </c>
      <c r="D42" s="163">
        <f>IFERROR(IF($J42&gt;0,INDEX('Invullen groen'!$D:$D,$J42),""),"")</f>
        <v/>
      </c>
      <c r="E42" s="163">
        <f>IFERROR(IF($J42&gt;0,INDEX('Invullen groen'!$G:$G,$J42),""),"")</f>
        <v/>
      </c>
      <c r="F42" s="164">
        <f>IFERROR(IF($J42&gt;0,IF(INDEX('Invullen groen'!$H:$H,$J42)&lt;&gt;0,INDEX('Invullen groen'!$H:$H,$J42),""),""),"")</f>
        <v/>
      </c>
      <c r="G42" s="164">
        <f>IFERROR(IF($J42&gt;0,IF(INDEX('Invullen groen'!$I:$I,$J42)&lt;&gt;0,INDEX('Invullen groen'!$I:$I,$J42),""),""),"")</f>
        <v/>
      </c>
      <c r="H42" s="164">
        <f>IFERROR(IF($J42&gt;0,IF(INDEX('Invullen groen'!$J:$J,$J42)&lt;&gt;0,INDEX('Invullen groen'!$J:$J,$J42),""),""),"")</f>
        <v/>
      </c>
      <c r="I42" s="164">
        <f>IFERROR(IF($J42&gt;0,IF(INDEX('Invullen groen'!$K:$K,$J42)&lt;&gt;0,INDEX('Invullen groen'!$K:$K,$J42),""),""),"")</f>
        <v/>
      </c>
      <c r="J42" s="83">
        <f>IFERROR(MATCH(ROW()-4,'Invullen groen'!$P$17:$P$272,0)+16,0)</f>
        <v/>
      </c>
    </row>
    <row r="43" hidden="1" ht="15" customHeight="1" s="402">
      <c r="A43" s="161">
        <f>IFERROR(IF($J43&gt;0,ROW()-4,""),"")</f>
        <v/>
      </c>
      <c r="B43" s="161">
        <f>IFERROR(IF($J43&gt;0,INDEX('Invullen groen'!$A:$A,$J43),""),"")</f>
        <v/>
      </c>
      <c r="C43" s="161">
        <f>IFERROR(IF($J43&gt;0,INDEX('Invullen groen'!$C:$C,$J43),""),"")</f>
        <v/>
      </c>
      <c r="D43" s="161">
        <f>IFERROR(IF($J43&gt;0,INDEX('Invullen groen'!$D:$D,$J43),""),"")</f>
        <v/>
      </c>
      <c r="E43" s="161">
        <f>IFERROR(IF($J43&gt;0,INDEX('Invullen groen'!$G:$G,$J43),""),"")</f>
        <v/>
      </c>
      <c r="F43" s="162">
        <f>IFERROR(IF($J43&gt;0,IF(INDEX('Invullen groen'!$H:$H,$J43)&lt;&gt;0,INDEX('Invullen groen'!$H:$H,$J43),""),""),"")</f>
        <v/>
      </c>
      <c r="G43" s="162">
        <f>IFERROR(IF($J43&gt;0,IF(INDEX('Invullen groen'!$I:$I,$J43)&lt;&gt;0,INDEX('Invullen groen'!$I:$I,$J43),""),""),"")</f>
        <v/>
      </c>
      <c r="H43" s="162">
        <f>IFERROR(IF($J43&gt;0,IF(INDEX('Invullen groen'!$J:$J,$J43)&lt;&gt;0,INDEX('Invullen groen'!$J:$J,$J43),""),""),"")</f>
        <v/>
      </c>
      <c r="I43" s="162">
        <f>IFERROR(IF($J43&gt;0,IF(INDEX('Invullen groen'!$K:$K,$J43)&lt;&gt;0,INDEX('Invullen groen'!$K:$K,$J43),""),""),"")</f>
        <v/>
      </c>
      <c r="J43" s="83">
        <f>IFERROR(MATCH(ROW()-4,'Invullen groen'!$P$17:$P$272,0)+16,0)</f>
        <v/>
      </c>
    </row>
    <row r="44" hidden="1" ht="15" customHeight="1" s="402">
      <c r="A44" s="163">
        <f>IFERROR(IF($J44&gt;0,ROW()-4,""),"")</f>
        <v/>
      </c>
      <c r="B44" s="163">
        <f>IFERROR(IF($J44&gt;0,INDEX('Invullen groen'!$A:$A,$J44),""),"")</f>
        <v/>
      </c>
      <c r="C44" s="163">
        <f>IFERROR(IF($J44&gt;0,INDEX('Invullen groen'!$C:$C,$J44),""),"")</f>
        <v/>
      </c>
      <c r="D44" s="163">
        <f>IFERROR(IF($J44&gt;0,INDEX('Invullen groen'!$D:$D,$J44),""),"")</f>
        <v/>
      </c>
      <c r="E44" s="163">
        <f>IFERROR(IF($J44&gt;0,INDEX('Invullen groen'!$G:$G,$J44),""),"")</f>
        <v/>
      </c>
      <c r="F44" s="164">
        <f>IFERROR(IF($J44&gt;0,IF(INDEX('Invullen groen'!$H:$H,$J44)&lt;&gt;0,INDEX('Invullen groen'!$H:$H,$J44),""),""),"")</f>
        <v/>
      </c>
      <c r="G44" s="164">
        <f>IFERROR(IF($J44&gt;0,IF(INDEX('Invullen groen'!$I:$I,$J44)&lt;&gt;0,INDEX('Invullen groen'!$I:$I,$J44),""),""),"")</f>
        <v/>
      </c>
      <c r="H44" s="164">
        <f>IFERROR(IF($J44&gt;0,IF(INDEX('Invullen groen'!$J:$J,$J44)&lt;&gt;0,INDEX('Invullen groen'!$J:$J,$J44),""),""),"")</f>
        <v/>
      </c>
      <c r="I44" s="164">
        <f>IFERROR(IF($J44&gt;0,IF(INDEX('Invullen groen'!$K:$K,$J44)&lt;&gt;0,INDEX('Invullen groen'!$K:$K,$J44),""),""),"")</f>
        <v/>
      </c>
      <c r="J44" s="83">
        <f>IFERROR(MATCH(ROW()-4,'Invullen groen'!$P$17:$P$272,0)+16,0)</f>
        <v/>
      </c>
    </row>
    <row r="45" hidden="1" ht="15" customHeight="1" s="402">
      <c r="A45" s="161">
        <f>IFERROR(IF($J45&gt;0,ROW()-4,""),"")</f>
        <v/>
      </c>
      <c r="B45" s="161">
        <f>IFERROR(IF($J45&gt;0,INDEX('Invullen groen'!$A:$A,$J45),""),"")</f>
        <v/>
      </c>
      <c r="C45" s="161">
        <f>IFERROR(IF($J45&gt;0,INDEX('Invullen groen'!$C:$C,$J45),""),"")</f>
        <v/>
      </c>
      <c r="D45" s="161">
        <f>IFERROR(IF($J45&gt;0,INDEX('Invullen groen'!$D:$D,$J45),""),"")</f>
        <v/>
      </c>
      <c r="E45" s="161">
        <f>IFERROR(IF($J45&gt;0,INDEX('Invullen groen'!$G:$G,$J45),""),"")</f>
        <v/>
      </c>
      <c r="F45" s="162">
        <f>IFERROR(IF($J45&gt;0,IF(INDEX('Invullen groen'!$H:$H,$J45)&lt;&gt;0,INDEX('Invullen groen'!$H:$H,$J45),""),""),"")</f>
        <v/>
      </c>
      <c r="G45" s="162">
        <f>IFERROR(IF($J45&gt;0,IF(INDEX('Invullen groen'!$I:$I,$J45)&lt;&gt;0,INDEX('Invullen groen'!$I:$I,$J45),""),""),"")</f>
        <v/>
      </c>
      <c r="H45" s="162">
        <f>IFERROR(IF($J45&gt;0,IF(INDEX('Invullen groen'!$J:$J,$J45)&lt;&gt;0,INDEX('Invullen groen'!$J:$J,$J45),""),""),"")</f>
        <v/>
      </c>
      <c r="I45" s="162">
        <f>IFERROR(IF($J45&gt;0,IF(INDEX('Invullen groen'!$K:$K,$J45)&lt;&gt;0,INDEX('Invullen groen'!$K:$K,$J45),""),""),"")</f>
        <v/>
      </c>
      <c r="J45" s="83">
        <f>IFERROR(MATCH(ROW()-4,'Invullen groen'!$P$17:$P$272,0)+16,0)</f>
        <v/>
      </c>
    </row>
    <row r="46" hidden="1" ht="15" customHeight="1" s="402">
      <c r="A46" s="163">
        <f>IFERROR(IF($J46&gt;0,ROW()-4,""),"")</f>
        <v/>
      </c>
      <c r="B46" s="163">
        <f>IFERROR(IF($J46&gt;0,INDEX('Invullen groen'!$A:$A,$J46),""),"")</f>
        <v/>
      </c>
      <c r="C46" s="163">
        <f>IFERROR(IF($J46&gt;0,INDEX('Invullen groen'!$C:$C,$J46),""),"")</f>
        <v/>
      </c>
      <c r="D46" s="163">
        <f>IFERROR(IF($J46&gt;0,INDEX('Invullen groen'!$D:$D,$J46),""),"")</f>
        <v/>
      </c>
      <c r="E46" s="163">
        <f>IFERROR(IF($J46&gt;0,INDEX('Invullen groen'!$G:$G,$J46),""),"")</f>
        <v/>
      </c>
      <c r="F46" s="164">
        <f>IFERROR(IF($J46&gt;0,IF(INDEX('Invullen groen'!$H:$H,$J46)&lt;&gt;0,INDEX('Invullen groen'!$H:$H,$J46),""),""),"")</f>
        <v/>
      </c>
      <c r="G46" s="164">
        <f>IFERROR(IF($J46&gt;0,IF(INDEX('Invullen groen'!$I:$I,$J46)&lt;&gt;0,INDEX('Invullen groen'!$I:$I,$J46),""),""),"")</f>
        <v/>
      </c>
      <c r="H46" s="164">
        <f>IFERROR(IF($J46&gt;0,IF(INDEX('Invullen groen'!$J:$J,$J46)&lt;&gt;0,INDEX('Invullen groen'!$J:$J,$J46),""),""),"")</f>
        <v/>
      </c>
      <c r="I46" s="164">
        <f>IFERROR(IF($J46&gt;0,IF(INDEX('Invullen groen'!$K:$K,$J46)&lt;&gt;0,INDEX('Invullen groen'!$K:$K,$J46),""),""),"")</f>
        <v/>
      </c>
      <c r="J46" s="83">
        <f>IFERROR(MATCH(ROW()-4,'Invullen groen'!$P$17:$P$272,0)+16,0)</f>
        <v/>
      </c>
    </row>
    <row r="47" hidden="1" ht="15" customHeight="1" s="402">
      <c r="A47" s="161">
        <f>IFERROR(IF($J47&gt;0,ROW()-4,""),"")</f>
        <v/>
      </c>
      <c r="B47" s="161">
        <f>IFERROR(IF($J47&gt;0,INDEX('Invullen groen'!$A:$A,$J47),""),"")</f>
        <v/>
      </c>
      <c r="C47" s="161">
        <f>IFERROR(IF($J47&gt;0,INDEX('Invullen groen'!$C:$C,$J47),""),"")</f>
        <v/>
      </c>
      <c r="D47" s="161">
        <f>IFERROR(IF($J47&gt;0,INDEX('Invullen groen'!$D:$D,$J47),""),"")</f>
        <v/>
      </c>
      <c r="E47" s="161">
        <f>IFERROR(IF($J47&gt;0,INDEX('Invullen groen'!$G:$G,$J47),""),"")</f>
        <v/>
      </c>
      <c r="F47" s="162">
        <f>IFERROR(IF($J47&gt;0,IF(INDEX('Invullen groen'!$H:$H,$J47)&lt;&gt;0,INDEX('Invullen groen'!$H:$H,$J47),""),""),"")</f>
        <v/>
      </c>
      <c r="G47" s="162">
        <f>IFERROR(IF($J47&gt;0,IF(INDEX('Invullen groen'!$I:$I,$J47)&lt;&gt;0,INDEX('Invullen groen'!$I:$I,$J47),""),""),"")</f>
        <v/>
      </c>
      <c r="H47" s="162">
        <f>IFERROR(IF($J47&gt;0,IF(INDEX('Invullen groen'!$J:$J,$J47)&lt;&gt;0,INDEX('Invullen groen'!$J:$J,$J47),""),""),"")</f>
        <v/>
      </c>
      <c r="I47" s="162">
        <f>IFERROR(IF($J47&gt;0,IF(INDEX('Invullen groen'!$K:$K,$J47)&lt;&gt;0,INDEX('Invullen groen'!$K:$K,$J47),""),""),"")</f>
        <v/>
      </c>
      <c r="J47" s="83">
        <f>IFERROR(MATCH(ROW()-4,'Invullen groen'!$P$17:$P$272,0)+16,0)</f>
        <v/>
      </c>
    </row>
    <row r="48" hidden="1" ht="15" customHeight="1" s="402">
      <c r="A48" s="163">
        <f>IFERROR(IF($J48&gt;0,ROW()-4,""),"")</f>
        <v/>
      </c>
      <c r="B48" s="163">
        <f>IFERROR(IF($J48&gt;0,INDEX('Invullen groen'!$A:$A,$J48),""),"")</f>
        <v/>
      </c>
      <c r="C48" s="163">
        <f>IFERROR(IF($J48&gt;0,INDEX('Invullen groen'!$C:$C,$J48),""),"")</f>
        <v/>
      </c>
      <c r="D48" s="163">
        <f>IFERROR(IF($J48&gt;0,INDEX('Invullen groen'!$D:$D,$J48),""),"")</f>
        <v/>
      </c>
      <c r="E48" s="163">
        <f>IFERROR(IF($J48&gt;0,INDEX('Invullen groen'!$G:$G,$J48),""),"")</f>
        <v/>
      </c>
      <c r="F48" s="164">
        <f>IFERROR(IF($J48&gt;0,IF(INDEX('Invullen groen'!$H:$H,$J48)&lt;&gt;0,INDEX('Invullen groen'!$H:$H,$J48),""),""),"")</f>
        <v/>
      </c>
      <c r="G48" s="164">
        <f>IFERROR(IF($J48&gt;0,IF(INDEX('Invullen groen'!$I:$I,$J48)&lt;&gt;0,INDEX('Invullen groen'!$I:$I,$J48),""),""),"")</f>
        <v/>
      </c>
      <c r="H48" s="164">
        <f>IFERROR(IF($J48&gt;0,IF(INDEX('Invullen groen'!$J:$J,$J48)&lt;&gt;0,INDEX('Invullen groen'!$J:$J,$J48),""),""),"")</f>
        <v/>
      </c>
      <c r="I48" s="164">
        <f>IFERROR(IF($J48&gt;0,IF(INDEX('Invullen groen'!$K:$K,$J48)&lt;&gt;0,INDEX('Invullen groen'!$K:$K,$J48),""),""),"")</f>
        <v/>
      </c>
      <c r="J48" s="83">
        <f>IFERROR(MATCH(ROW()-4,'Invullen groen'!$P$17:$P$272,0)+16,0)</f>
        <v/>
      </c>
    </row>
    <row r="49" hidden="1" ht="15" customHeight="1" s="402">
      <c r="A49" s="161">
        <f>IFERROR(IF($J49&gt;0,ROW()-4,""),"")</f>
        <v/>
      </c>
      <c r="B49" s="161">
        <f>IFERROR(IF($J49&gt;0,INDEX('Invullen groen'!$A:$A,$J49),""),"")</f>
        <v/>
      </c>
      <c r="C49" s="161">
        <f>IFERROR(IF($J49&gt;0,INDEX('Invullen groen'!$C:$C,$J49),""),"")</f>
        <v/>
      </c>
      <c r="D49" s="161">
        <f>IFERROR(IF($J49&gt;0,INDEX('Invullen groen'!$D:$D,$J49),""),"")</f>
        <v/>
      </c>
      <c r="E49" s="161">
        <f>IFERROR(IF($J49&gt;0,INDEX('Invullen groen'!$G:$G,$J49),""),"")</f>
        <v/>
      </c>
      <c r="F49" s="162">
        <f>IFERROR(IF($J49&gt;0,IF(INDEX('Invullen groen'!$H:$H,$J49)&lt;&gt;0,INDEX('Invullen groen'!$H:$H,$J49),""),""),"")</f>
        <v/>
      </c>
      <c r="G49" s="162">
        <f>IFERROR(IF($J49&gt;0,IF(INDEX('Invullen groen'!$I:$I,$J49)&lt;&gt;0,INDEX('Invullen groen'!$I:$I,$J49),""),""),"")</f>
        <v/>
      </c>
      <c r="H49" s="162">
        <f>IFERROR(IF($J49&gt;0,IF(INDEX('Invullen groen'!$J:$J,$J49)&lt;&gt;0,INDEX('Invullen groen'!$J:$J,$J49),""),""),"")</f>
        <v/>
      </c>
      <c r="I49" s="162">
        <f>IFERROR(IF($J49&gt;0,IF(INDEX('Invullen groen'!$K:$K,$J49)&lt;&gt;0,INDEX('Invullen groen'!$K:$K,$J49),""),""),"")</f>
        <v/>
      </c>
      <c r="J49" s="83">
        <f>IFERROR(MATCH(ROW()-4,'Invullen groen'!$P$17:$P$272,0)+16,0)</f>
        <v/>
      </c>
    </row>
    <row r="50" hidden="1" ht="15" customHeight="1" s="402">
      <c r="A50" s="163">
        <f>IFERROR(IF($J50&gt;0,ROW()-4,""),"")</f>
        <v/>
      </c>
      <c r="B50" s="163">
        <f>IFERROR(IF($J50&gt;0,INDEX('Invullen groen'!$A:$A,$J50),""),"")</f>
        <v/>
      </c>
      <c r="C50" s="163">
        <f>IFERROR(IF($J50&gt;0,INDEX('Invullen groen'!$C:$C,$J50),""),"")</f>
        <v/>
      </c>
      <c r="D50" s="163">
        <f>IFERROR(IF($J50&gt;0,INDEX('Invullen groen'!$D:$D,$J50),""),"")</f>
        <v/>
      </c>
      <c r="E50" s="163">
        <f>IFERROR(IF($J50&gt;0,INDEX('Invullen groen'!$G:$G,$J50),""),"")</f>
        <v/>
      </c>
      <c r="F50" s="164">
        <f>IFERROR(IF($J50&gt;0,IF(INDEX('Invullen groen'!$H:$H,$J50)&lt;&gt;0,INDEX('Invullen groen'!$H:$H,$J50),""),""),"")</f>
        <v/>
      </c>
      <c r="G50" s="164">
        <f>IFERROR(IF($J50&gt;0,IF(INDEX('Invullen groen'!$I:$I,$J50)&lt;&gt;0,INDEX('Invullen groen'!$I:$I,$J50),""),""),"")</f>
        <v/>
      </c>
      <c r="H50" s="164">
        <f>IFERROR(IF($J50&gt;0,IF(INDEX('Invullen groen'!$J:$J,$J50)&lt;&gt;0,INDEX('Invullen groen'!$J:$J,$J50),""),""),"")</f>
        <v/>
      </c>
      <c r="I50" s="164">
        <f>IFERROR(IF($J50&gt;0,IF(INDEX('Invullen groen'!$K:$K,$J50)&lt;&gt;0,INDEX('Invullen groen'!$K:$K,$J50),""),""),"")</f>
        <v/>
      </c>
      <c r="J50" s="83">
        <f>IFERROR(MATCH(ROW()-4,'Invullen groen'!$P$17:$P$272,0)+16,0)</f>
        <v/>
      </c>
    </row>
    <row r="51" hidden="1" ht="15" customHeight="1" s="402">
      <c r="A51" s="161">
        <f>IFERROR(IF($J51&gt;0,ROW()-4,""),"")</f>
        <v/>
      </c>
      <c r="B51" s="161">
        <f>IFERROR(IF($J51&gt;0,INDEX('Invullen groen'!$A:$A,$J51),""),"")</f>
        <v/>
      </c>
      <c r="C51" s="161">
        <f>IFERROR(IF($J51&gt;0,INDEX('Invullen groen'!$C:$C,$J51),""),"")</f>
        <v/>
      </c>
      <c r="D51" s="161">
        <f>IFERROR(IF($J51&gt;0,INDEX('Invullen groen'!$D:$D,$J51),""),"")</f>
        <v/>
      </c>
      <c r="E51" s="161">
        <f>IFERROR(IF($J51&gt;0,INDEX('Invullen groen'!$G:$G,$J51),""),"")</f>
        <v/>
      </c>
      <c r="F51" s="162">
        <f>IFERROR(IF($J51&gt;0,IF(INDEX('Invullen groen'!$H:$H,$J51)&lt;&gt;0,INDEX('Invullen groen'!$H:$H,$J51),""),""),"")</f>
        <v/>
      </c>
      <c r="G51" s="162">
        <f>IFERROR(IF($J51&gt;0,IF(INDEX('Invullen groen'!$I:$I,$J51)&lt;&gt;0,INDEX('Invullen groen'!$I:$I,$J51),""),""),"")</f>
        <v/>
      </c>
      <c r="H51" s="162">
        <f>IFERROR(IF($J51&gt;0,IF(INDEX('Invullen groen'!$J:$J,$J51)&lt;&gt;0,INDEX('Invullen groen'!$J:$J,$J51),""),""),"")</f>
        <v/>
      </c>
      <c r="I51" s="162">
        <f>IFERROR(IF($J51&gt;0,IF(INDEX('Invullen groen'!$K:$K,$J51)&lt;&gt;0,INDEX('Invullen groen'!$K:$K,$J51),""),""),"")</f>
        <v/>
      </c>
      <c r="J51" s="83">
        <f>IFERROR(MATCH(ROW()-4,'Invullen groen'!$P$17:$P$272,0)+16,0)</f>
        <v/>
      </c>
    </row>
    <row r="52" hidden="1" ht="15" customHeight="1" s="402">
      <c r="A52" s="163">
        <f>IFERROR(IF($J52&gt;0,ROW()-4,""),"")</f>
        <v/>
      </c>
      <c r="B52" s="163">
        <f>IFERROR(IF($J52&gt;0,INDEX('Invullen groen'!$A:$A,$J52),""),"")</f>
        <v/>
      </c>
      <c r="C52" s="163">
        <f>IFERROR(IF($J52&gt;0,INDEX('Invullen groen'!$C:$C,$J52),""),"")</f>
        <v/>
      </c>
      <c r="D52" s="163">
        <f>IFERROR(IF($J52&gt;0,INDEX('Invullen groen'!$D:$D,$J52),""),"")</f>
        <v/>
      </c>
      <c r="E52" s="163">
        <f>IFERROR(IF($J52&gt;0,INDEX('Invullen groen'!$G:$G,$J52),""),"")</f>
        <v/>
      </c>
      <c r="F52" s="164">
        <f>IFERROR(IF($J52&gt;0,IF(INDEX('Invullen groen'!$H:$H,$J52)&lt;&gt;0,INDEX('Invullen groen'!$H:$H,$J52),""),""),"")</f>
        <v/>
      </c>
      <c r="G52" s="164">
        <f>IFERROR(IF($J52&gt;0,IF(INDEX('Invullen groen'!$I:$I,$J52)&lt;&gt;0,INDEX('Invullen groen'!$I:$I,$J52),""),""),"")</f>
        <v/>
      </c>
      <c r="H52" s="164">
        <f>IFERROR(IF($J52&gt;0,IF(INDEX('Invullen groen'!$J:$J,$J52)&lt;&gt;0,INDEX('Invullen groen'!$J:$J,$J52),""),""),"")</f>
        <v/>
      </c>
      <c r="I52" s="164">
        <f>IFERROR(IF($J52&gt;0,IF(INDEX('Invullen groen'!$K:$K,$J52)&lt;&gt;0,INDEX('Invullen groen'!$K:$K,$J52),""),""),"")</f>
        <v/>
      </c>
      <c r="J52" s="83">
        <f>IFERROR(MATCH(ROW()-4,'Invullen groen'!$P$17:$P$272,0)+16,0)</f>
        <v/>
      </c>
    </row>
    <row r="53" hidden="1" ht="15" customHeight="1" s="402">
      <c r="A53" s="161">
        <f>IFERROR(IF($J53&gt;0,ROW()-4,""),"")</f>
        <v/>
      </c>
      <c r="B53" s="161">
        <f>IFERROR(IF($J53&gt;0,INDEX('Invullen groen'!$A:$A,$J53),""),"")</f>
        <v/>
      </c>
      <c r="C53" s="161">
        <f>IFERROR(IF($J53&gt;0,INDEX('Invullen groen'!$C:$C,$J53),""),"")</f>
        <v/>
      </c>
      <c r="D53" s="161">
        <f>IFERROR(IF($J53&gt;0,INDEX('Invullen groen'!$D:$D,$J53),""),"")</f>
        <v/>
      </c>
      <c r="E53" s="161">
        <f>IFERROR(IF($J53&gt;0,INDEX('Invullen groen'!$G:$G,$J53),""),"")</f>
        <v/>
      </c>
      <c r="F53" s="162">
        <f>IFERROR(IF($J53&gt;0,IF(INDEX('Invullen groen'!$H:$H,$J53)&lt;&gt;0,INDEX('Invullen groen'!$H:$H,$J53),""),""),"")</f>
        <v/>
      </c>
      <c r="G53" s="162">
        <f>IFERROR(IF($J53&gt;0,IF(INDEX('Invullen groen'!$I:$I,$J53)&lt;&gt;0,INDEX('Invullen groen'!$I:$I,$J53),""),""),"")</f>
        <v/>
      </c>
      <c r="H53" s="162">
        <f>IFERROR(IF($J53&gt;0,IF(INDEX('Invullen groen'!$J:$J,$J53)&lt;&gt;0,INDEX('Invullen groen'!$J:$J,$J53),""),""),"")</f>
        <v/>
      </c>
      <c r="I53" s="162">
        <f>IFERROR(IF($J53&gt;0,IF(INDEX('Invullen groen'!$K:$K,$J53)&lt;&gt;0,INDEX('Invullen groen'!$K:$K,$J53),""),""),"")</f>
        <v/>
      </c>
      <c r="J53" s="83">
        <f>IFERROR(MATCH(ROW()-4,'Invullen groen'!$P$17:$P$272,0)+16,0)</f>
        <v/>
      </c>
    </row>
    <row r="54" hidden="1" ht="15" customHeight="1" s="402">
      <c r="A54" s="163">
        <f>IFERROR(IF($J54&gt;0,ROW()-4,""),"")</f>
        <v/>
      </c>
      <c r="B54" s="163">
        <f>IFERROR(IF($J54&gt;0,INDEX('Invullen groen'!$A:$A,$J54),""),"")</f>
        <v/>
      </c>
      <c r="C54" s="163">
        <f>IFERROR(IF($J54&gt;0,INDEX('Invullen groen'!$C:$C,$J54),""),"")</f>
        <v/>
      </c>
      <c r="D54" s="163">
        <f>IFERROR(IF($J54&gt;0,INDEX('Invullen groen'!$D:$D,$J54),""),"")</f>
        <v/>
      </c>
      <c r="E54" s="163">
        <f>IFERROR(IF($J54&gt;0,INDEX('Invullen groen'!$G:$G,$J54),""),"")</f>
        <v/>
      </c>
      <c r="F54" s="164">
        <f>IFERROR(IF($J54&gt;0,IF(INDEX('Invullen groen'!$H:$H,$J54)&lt;&gt;0,INDEX('Invullen groen'!$H:$H,$J54),""),""),"")</f>
        <v/>
      </c>
      <c r="G54" s="164">
        <f>IFERROR(IF($J54&gt;0,IF(INDEX('Invullen groen'!$I:$I,$J54)&lt;&gt;0,INDEX('Invullen groen'!$I:$I,$J54),""),""),"")</f>
        <v/>
      </c>
      <c r="H54" s="164">
        <f>IFERROR(IF($J54&gt;0,IF(INDEX('Invullen groen'!$J:$J,$J54)&lt;&gt;0,INDEX('Invullen groen'!$J:$J,$J54),""),""),"")</f>
        <v/>
      </c>
      <c r="I54" s="164">
        <f>IFERROR(IF($J54&gt;0,IF(INDEX('Invullen groen'!$K:$K,$J54)&lt;&gt;0,INDEX('Invullen groen'!$K:$K,$J54),""),""),"")</f>
        <v/>
      </c>
      <c r="J54" s="83">
        <f>IFERROR(MATCH(ROW()-4,'Invullen groen'!$P$17:$P$272,0)+16,0)</f>
        <v/>
      </c>
    </row>
    <row r="55" hidden="1" ht="15" customHeight="1" s="402">
      <c r="A55" s="161">
        <f>IFERROR(IF($J55&gt;0,ROW()-4,""),"")</f>
        <v/>
      </c>
      <c r="B55" s="161">
        <f>IFERROR(IF($J55&gt;0,INDEX('Invullen groen'!$A:$A,$J55),""),"")</f>
        <v/>
      </c>
      <c r="C55" s="161">
        <f>IFERROR(IF($J55&gt;0,INDEX('Invullen groen'!$C:$C,$J55),""),"")</f>
        <v/>
      </c>
      <c r="D55" s="161">
        <f>IFERROR(IF($J55&gt;0,INDEX('Invullen groen'!$D:$D,$J55),""),"")</f>
        <v/>
      </c>
      <c r="E55" s="161">
        <f>IFERROR(IF($J55&gt;0,INDEX('Invullen groen'!$G:$G,$J55),""),"")</f>
        <v/>
      </c>
      <c r="F55" s="162">
        <f>IFERROR(IF($J55&gt;0,IF(INDEX('Invullen groen'!$H:$H,$J55)&lt;&gt;0,INDEX('Invullen groen'!$H:$H,$J55),""),""),"")</f>
        <v/>
      </c>
      <c r="G55" s="162">
        <f>IFERROR(IF($J55&gt;0,IF(INDEX('Invullen groen'!$I:$I,$J55)&lt;&gt;0,INDEX('Invullen groen'!$I:$I,$J55),""),""),"")</f>
        <v/>
      </c>
      <c r="H55" s="162">
        <f>IFERROR(IF($J55&gt;0,IF(INDEX('Invullen groen'!$J:$J,$J55)&lt;&gt;0,INDEX('Invullen groen'!$J:$J,$J55),""),""),"")</f>
        <v/>
      </c>
      <c r="I55" s="162">
        <f>IFERROR(IF($J55&gt;0,IF(INDEX('Invullen groen'!$K:$K,$J55)&lt;&gt;0,INDEX('Invullen groen'!$K:$K,$J55),""),""),"")</f>
        <v/>
      </c>
      <c r="J55" s="83">
        <f>IFERROR(MATCH(ROW()-4,'Invullen groen'!$P$17:$P$272,0)+16,0)</f>
        <v/>
      </c>
    </row>
    <row r="56" hidden="1" ht="15" customHeight="1" s="402">
      <c r="A56" s="163">
        <f>IFERROR(IF($J56&gt;0,ROW()-4,""),"")</f>
        <v/>
      </c>
      <c r="B56" s="163">
        <f>IFERROR(IF($J56&gt;0,INDEX('Invullen groen'!$A:$A,$J56),""),"")</f>
        <v/>
      </c>
      <c r="C56" s="163">
        <f>IFERROR(IF($J56&gt;0,INDEX('Invullen groen'!$C:$C,$J56),""),"")</f>
        <v/>
      </c>
      <c r="D56" s="163">
        <f>IFERROR(IF($J56&gt;0,INDEX('Invullen groen'!$D:$D,$J56),""),"")</f>
        <v/>
      </c>
      <c r="E56" s="163">
        <f>IFERROR(IF($J56&gt;0,INDEX('Invullen groen'!$G:$G,$J56),""),"")</f>
        <v/>
      </c>
      <c r="F56" s="164">
        <f>IFERROR(IF($J56&gt;0,IF(INDEX('Invullen groen'!$H:$H,$J56)&lt;&gt;0,INDEX('Invullen groen'!$H:$H,$J56),""),""),"")</f>
        <v/>
      </c>
      <c r="G56" s="164">
        <f>IFERROR(IF($J56&gt;0,IF(INDEX('Invullen groen'!$I:$I,$J56)&lt;&gt;0,INDEX('Invullen groen'!$I:$I,$J56),""),""),"")</f>
        <v/>
      </c>
      <c r="H56" s="164">
        <f>IFERROR(IF($J56&gt;0,IF(INDEX('Invullen groen'!$J:$J,$J56)&lt;&gt;0,INDEX('Invullen groen'!$J:$J,$J56),""),""),"")</f>
        <v/>
      </c>
      <c r="I56" s="164">
        <f>IFERROR(IF($J56&gt;0,IF(INDEX('Invullen groen'!$K:$K,$J56)&lt;&gt;0,INDEX('Invullen groen'!$K:$K,$J56),""),""),"")</f>
        <v/>
      </c>
      <c r="J56" s="83">
        <f>IFERROR(MATCH(ROW()-4,'Invullen groen'!$P$17:$P$272,0)+16,0)</f>
        <v/>
      </c>
    </row>
    <row r="57" hidden="1" ht="15" customHeight="1" s="402">
      <c r="A57" s="161">
        <f>IFERROR(IF($J57&gt;0,ROW()-4,""),"")</f>
        <v/>
      </c>
      <c r="B57" s="161">
        <f>IFERROR(IF($J57&gt;0,INDEX('Invullen groen'!$A:$A,$J57),""),"")</f>
        <v/>
      </c>
      <c r="C57" s="161">
        <f>IFERROR(IF($J57&gt;0,INDEX('Invullen groen'!$C:$C,$J57),""),"")</f>
        <v/>
      </c>
      <c r="D57" s="161">
        <f>IFERROR(IF($J57&gt;0,INDEX('Invullen groen'!$D:$D,$J57),""),"")</f>
        <v/>
      </c>
      <c r="E57" s="161">
        <f>IFERROR(IF($J57&gt;0,INDEX('Invullen groen'!$G:$G,$J57),""),"")</f>
        <v/>
      </c>
      <c r="F57" s="162">
        <f>IFERROR(IF($J57&gt;0,IF(INDEX('Invullen groen'!$H:$H,$J57)&lt;&gt;0,INDEX('Invullen groen'!$H:$H,$J57),""),""),"")</f>
        <v/>
      </c>
      <c r="G57" s="162">
        <f>IFERROR(IF($J57&gt;0,IF(INDEX('Invullen groen'!$I:$I,$J57)&lt;&gt;0,INDEX('Invullen groen'!$I:$I,$J57),""),""),"")</f>
        <v/>
      </c>
      <c r="H57" s="162">
        <f>IFERROR(IF($J57&gt;0,IF(INDEX('Invullen groen'!$J:$J,$J57)&lt;&gt;0,INDEX('Invullen groen'!$J:$J,$J57),""),""),"")</f>
        <v/>
      </c>
      <c r="I57" s="162">
        <f>IFERROR(IF($J57&gt;0,IF(INDEX('Invullen groen'!$K:$K,$J57)&lt;&gt;0,INDEX('Invullen groen'!$K:$K,$J57),""),""),"")</f>
        <v/>
      </c>
      <c r="J57" s="83">
        <f>IFERROR(MATCH(ROW()-4,'Invullen groen'!$P$17:$P$272,0)+16,0)</f>
        <v/>
      </c>
    </row>
    <row r="58" hidden="1" ht="15" customHeight="1" s="402">
      <c r="A58" s="163">
        <f>IFERROR(IF($J58&gt;0,ROW()-4,""),"")</f>
        <v/>
      </c>
      <c r="B58" s="163">
        <f>IFERROR(IF($J58&gt;0,INDEX('Invullen groen'!$A:$A,$J58),""),"")</f>
        <v/>
      </c>
      <c r="C58" s="163">
        <f>IFERROR(IF($J58&gt;0,INDEX('Invullen groen'!$C:$C,$J58),""),"")</f>
        <v/>
      </c>
      <c r="D58" s="163">
        <f>IFERROR(IF($J58&gt;0,INDEX('Invullen groen'!$D:$D,$J58),""),"")</f>
        <v/>
      </c>
      <c r="E58" s="163">
        <f>IFERROR(IF($J58&gt;0,INDEX('Invullen groen'!$G:$G,$J58),""),"")</f>
        <v/>
      </c>
      <c r="F58" s="164">
        <f>IFERROR(IF($J58&gt;0,IF(INDEX('Invullen groen'!$H:$H,$J58)&lt;&gt;0,INDEX('Invullen groen'!$H:$H,$J58),""),""),"")</f>
        <v/>
      </c>
      <c r="G58" s="164">
        <f>IFERROR(IF($J58&gt;0,IF(INDEX('Invullen groen'!$I:$I,$J58)&lt;&gt;0,INDEX('Invullen groen'!$I:$I,$J58),""),""),"")</f>
        <v/>
      </c>
      <c r="H58" s="164">
        <f>IFERROR(IF($J58&gt;0,IF(INDEX('Invullen groen'!$J:$J,$J58)&lt;&gt;0,INDEX('Invullen groen'!$J:$J,$J58),""),""),"")</f>
        <v/>
      </c>
      <c r="I58" s="164">
        <f>IFERROR(IF($J58&gt;0,IF(INDEX('Invullen groen'!$K:$K,$J58)&lt;&gt;0,INDEX('Invullen groen'!$K:$K,$J58),""),""),"")</f>
        <v/>
      </c>
      <c r="J58" s="83">
        <f>IFERROR(MATCH(ROW()-4,'Invullen groen'!$P$17:$P$272,0)+16,0)</f>
        <v/>
      </c>
    </row>
    <row r="59" hidden="1" ht="15" customHeight="1" s="402">
      <c r="A59" s="161">
        <f>IFERROR(IF($J59&gt;0,ROW()-4,""),"")</f>
        <v/>
      </c>
      <c r="B59" s="161">
        <f>IFERROR(IF($J59&gt;0,INDEX('Invullen groen'!$A:$A,$J59),""),"")</f>
        <v/>
      </c>
      <c r="C59" s="161">
        <f>IFERROR(IF($J59&gt;0,INDEX('Invullen groen'!$C:$C,$J59),""),"")</f>
        <v/>
      </c>
      <c r="D59" s="161">
        <f>IFERROR(IF($J59&gt;0,INDEX('Invullen groen'!$D:$D,$J59),""),"")</f>
        <v/>
      </c>
      <c r="E59" s="161">
        <f>IFERROR(IF($J59&gt;0,INDEX('Invullen groen'!$G:$G,$J59),""),"")</f>
        <v/>
      </c>
      <c r="F59" s="162">
        <f>IFERROR(IF($J59&gt;0,IF(INDEX('Invullen groen'!$H:$H,$J59)&lt;&gt;0,INDEX('Invullen groen'!$H:$H,$J59),""),""),"")</f>
        <v/>
      </c>
      <c r="G59" s="162">
        <f>IFERROR(IF($J59&gt;0,IF(INDEX('Invullen groen'!$I:$I,$J59)&lt;&gt;0,INDEX('Invullen groen'!$I:$I,$J59),""),""),"")</f>
        <v/>
      </c>
      <c r="H59" s="162">
        <f>IFERROR(IF($J59&gt;0,IF(INDEX('Invullen groen'!$J:$J,$J59)&lt;&gt;0,INDEX('Invullen groen'!$J:$J,$J59),""),""),"")</f>
        <v/>
      </c>
      <c r="I59" s="162">
        <f>IFERROR(IF($J59&gt;0,IF(INDEX('Invullen groen'!$K:$K,$J59)&lt;&gt;0,INDEX('Invullen groen'!$K:$K,$J59),""),""),"")</f>
        <v/>
      </c>
      <c r="J59" s="83">
        <f>IFERROR(MATCH(ROW()-4,'Invullen groen'!$P$17:$P$272,0)+16,0)</f>
        <v/>
      </c>
    </row>
    <row r="60" hidden="1" ht="15" customHeight="1" s="402">
      <c r="A60" s="163">
        <f>IFERROR(IF($J60&gt;0,ROW()-4,""),"")</f>
        <v/>
      </c>
      <c r="B60" s="163">
        <f>IFERROR(IF($J60&gt;0,INDEX('Invullen groen'!$A:$A,$J60),""),"")</f>
        <v/>
      </c>
      <c r="C60" s="163">
        <f>IFERROR(IF($J60&gt;0,INDEX('Invullen groen'!$C:$C,$J60),""),"")</f>
        <v/>
      </c>
      <c r="D60" s="163">
        <f>IFERROR(IF($J60&gt;0,INDEX('Invullen groen'!$D:$D,$J60),""),"")</f>
        <v/>
      </c>
      <c r="E60" s="163">
        <f>IFERROR(IF($J60&gt;0,INDEX('Invullen groen'!$G:$G,$J60),""),"")</f>
        <v/>
      </c>
      <c r="F60" s="164">
        <f>IFERROR(IF($J60&gt;0,IF(INDEX('Invullen groen'!$H:$H,$J60)&lt;&gt;0,INDEX('Invullen groen'!$H:$H,$J60),""),""),"")</f>
        <v/>
      </c>
      <c r="G60" s="164">
        <f>IFERROR(IF($J60&gt;0,IF(INDEX('Invullen groen'!$I:$I,$J60)&lt;&gt;0,INDEX('Invullen groen'!$I:$I,$J60),""),""),"")</f>
        <v/>
      </c>
      <c r="H60" s="164">
        <f>IFERROR(IF($J60&gt;0,IF(INDEX('Invullen groen'!$J:$J,$J60)&lt;&gt;0,INDEX('Invullen groen'!$J:$J,$J60),""),""),"")</f>
        <v/>
      </c>
      <c r="I60" s="164">
        <f>IFERROR(IF($J60&gt;0,IF(INDEX('Invullen groen'!$K:$K,$J60)&lt;&gt;0,INDEX('Invullen groen'!$K:$K,$J60),""),""),"")</f>
        <v/>
      </c>
      <c r="J60" s="83">
        <f>IFERROR(MATCH(ROW()-4,'Invullen groen'!$P$17:$P$272,0)+16,0)</f>
        <v/>
      </c>
    </row>
    <row r="61" hidden="1" ht="15" customHeight="1" s="402">
      <c r="A61" s="161">
        <f>IFERROR(IF($J61&gt;0,ROW()-4,""),"")</f>
        <v/>
      </c>
      <c r="B61" s="161">
        <f>IFERROR(IF($J61&gt;0,INDEX('Invullen groen'!$A:$A,$J61),""),"")</f>
        <v/>
      </c>
      <c r="C61" s="161">
        <f>IFERROR(IF($J61&gt;0,INDEX('Invullen groen'!$C:$C,$J61),""),"")</f>
        <v/>
      </c>
      <c r="D61" s="161">
        <f>IFERROR(IF($J61&gt;0,INDEX('Invullen groen'!$D:$D,$J61),""),"")</f>
        <v/>
      </c>
      <c r="E61" s="161">
        <f>IFERROR(IF($J61&gt;0,INDEX('Invullen groen'!$G:$G,$J61),""),"")</f>
        <v/>
      </c>
      <c r="F61" s="162">
        <f>IFERROR(IF($J61&gt;0,IF(INDEX('Invullen groen'!$H:$H,$J61)&lt;&gt;0,INDEX('Invullen groen'!$H:$H,$J61),""),""),"")</f>
        <v/>
      </c>
      <c r="G61" s="162">
        <f>IFERROR(IF($J61&gt;0,IF(INDEX('Invullen groen'!$I:$I,$J61)&lt;&gt;0,INDEX('Invullen groen'!$I:$I,$J61),""),""),"")</f>
        <v/>
      </c>
      <c r="H61" s="162">
        <f>IFERROR(IF($J61&gt;0,IF(INDEX('Invullen groen'!$J:$J,$J61)&lt;&gt;0,INDEX('Invullen groen'!$J:$J,$J61),""),""),"")</f>
        <v/>
      </c>
      <c r="I61" s="162">
        <f>IFERROR(IF($J61&gt;0,IF(INDEX('Invullen groen'!$K:$K,$J61)&lt;&gt;0,INDEX('Invullen groen'!$K:$K,$J61),""),""),"")</f>
        <v/>
      </c>
      <c r="J61" s="83">
        <f>IFERROR(MATCH(ROW()-4,'Invullen groen'!$P$17:$P$272,0)+16,0)</f>
        <v/>
      </c>
    </row>
    <row r="62" hidden="1" ht="15" customHeight="1" s="402">
      <c r="A62" s="163">
        <f>IFERROR(IF($J62&gt;0,ROW()-4,""),"")</f>
        <v/>
      </c>
      <c r="B62" s="163">
        <f>IFERROR(IF($J62&gt;0,INDEX('Invullen groen'!$A:$A,$J62),""),"")</f>
        <v/>
      </c>
      <c r="C62" s="163">
        <f>IFERROR(IF($J62&gt;0,INDEX('Invullen groen'!$C:$C,$J62),""),"")</f>
        <v/>
      </c>
      <c r="D62" s="163">
        <f>IFERROR(IF($J62&gt;0,INDEX('Invullen groen'!$D:$D,$J62),""),"")</f>
        <v/>
      </c>
      <c r="E62" s="163">
        <f>IFERROR(IF($J62&gt;0,INDEX('Invullen groen'!$G:$G,$J62),""),"")</f>
        <v/>
      </c>
      <c r="F62" s="164">
        <f>IFERROR(IF($J62&gt;0,IF(INDEX('Invullen groen'!$H:$H,$J62)&lt;&gt;0,INDEX('Invullen groen'!$H:$H,$J62),""),""),"")</f>
        <v/>
      </c>
      <c r="G62" s="164">
        <f>IFERROR(IF($J62&gt;0,IF(INDEX('Invullen groen'!$I:$I,$J62)&lt;&gt;0,INDEX('Invullen groen'!$I:$I,$J62),""),""),"")</f>
        <v/>
      </c>
      <c r="H62" s="164">
        <f>IFERROR(IF($J62&gt;0,IF(INDEX('Invullen groen'!$J:$J,$J62)&lt;&gt;0,INDEX('Invullen groen'!$J:$J,$J62),""),""),"")</f>
        <v/>
      </c>
      <c r="I62" s="164">
        <f>IFERROR(IF($J62&gt;0,IF(INDEX('Invullen groen'!$K:$K,$J62)&lt;&gt;0,INDEX('Invullen groen'!$K:$K,$J62),""),""),"")</f>
        <v/>
      </c>
      <c r="J62" s="83">
        <f>IFERROR(MATCH(ROW()-4,'Invullen groen'!$P$17:$P$272,0)+16,0)</f>
        <v/>
      </c>
    </row>
    <row r="63" hidden="1" ht="15" customHeight="1" s="402">
      <c r="A63" s="161">
        <f>IFERROR(IF($J63&gt;0,ROW()-4,""),"")</f>
        <v/>
      </c>
      <c r="B63" s="161">
        <f>IFERROR(IF($J63&gt;0,INDEX('Invullen groen'!$A:$A,$J63),""),"")</f>
        <v/>
      </c>
      <c r="C63" s="161">
        <f>IFERROR(IF($J63&gt;0,INDEX('Invullen groen'!$C:$C,$J63),""),"")</f>
        <v/>
      </c>
      <c r="D63" s="161">
        <f>IFERROR(IF($J63&gt;0,INDEX('Invullen groen'!$D:$D,$J63),""),"")</f>
        <v/>
      </c>
      <c r="E63" s="161">
        <f>IFERROR(IF($J63&gt;0,INDEX('Invullen groen'!$G:$G,$J63),""),"")</f>
        <v/>
      </c>
      <c r="F63" s="162">
        <f>IFERROR(IF($J63&gt;0,IF(INDEX('Invullen groen'!$H:$H,$J63)&lt;&gt;0,INDEX('Invullen groen'!$H:$H,$J63),""),""),"")</f>
        <v/>
      </c>
      <c r="G63" s="162">
        <f>IFERROR(IF($J63&gt;0,IF(INDEX('Invullen groen'!$I:$I,$J63)&lt;&gt;0,INDEX('Invullen groen'!$I:$I,$J63),""),""),"")</f>
        <v/>
      </c>
      <c r="H63" s="162">
        <f>IFERROR(IF($J63&gt;0,IF(INDEX('Invullen groen'!$J:$J,$J63)&lt;&gt;0,INDEX('Invullen groen'!$J:$J,$J63),""),""),"")</f>
        <v/>
      </c>
      <c r="I63" s="162">
        <f>IFERROR(IF($J63&gt;0,IF(INDEX('Invullen groen'!$K:$K,$J63)&lt;&gt;0,INDEX('Invullen groen'!$K:$K,$J63),""),""),"")</f>
        <v/>
      </c>
      <c r="J63" s="83">
        <f>IFERROR(MATCH(ROW()-4,'Invullen groen'!$P$17:$P$272,0)+16,0)</f>
        <v/>
      </c>
    </row>
    <row r="64" hidden="1" ht="15" customHeight="1" s="402">
      <c r="A64" s="163">
        <f>IFERROR(IF($J64&gt;0,ROW()-4,""),"")</f>
        <v/>
      </c>
      <c r="B64" s="163">
        <f>IFERROR(IF($J64&gt;0,INDEX('Invullen groen'!$A:$A,$J64),""),"")</f>
        <v/>
      </c>
      <c r="C64" s="163">
        <f>IFERROR(IF($J64&gt;0,INDEX('Invullen groen'!$C:$C,$J64),""),"")</f>
        <v/>
      </c>
      <c r="D64" s="163">
        <f>IFERROR(IF($J64&gt;0,INDEX('Invullen groen'!$D:$D,$J64),""),"")</f>
        <v/>
      </c>
      <c r="E64" s="163">
        <f>IFERROR(IF($J64&gt;0,INDEX('Invullen groen'!$G:$G,$J64),""),"")</f>
        <v/>
      </c>
      <c r="F64" s="164">
        <f>IFERROR(IF($J64&gt;0,IF(INDEX('Invullen groen'!$H:$H,$J64)&lt;&gt;0,INDEX('Invullen groen'!$H:$H,$J64),""),""),"")</f>
        <v/>
      </c>
      <c r="G64" s="164">
        <f>IFERROR(IF($J64&gt;0,IF(INDEX('Invullen groen'!$I:$I,$J64)&lt;&gt;0,INDEX('Invullen groen'!$I:$I,$J64),""),""),"")</f>
        <v/>
      </c>
      <c r="H64" s="164">
        <f>IFERROR(IF($J64&gt;0,IF(INDEX('Invullen groen'!$J:$J,$J64)&lt;&gt;0,INDEX('Invullen groen'!$J:$J,$J64),""),""),"")</f>
        <v/>
      </c>
      <c r="I64" s="164">
        <f>IFERROR(IF($J64&gt;0,IF(INDEX('Invullen groen'!$K:$K,$J64)&lt;&gt;0,INDEX('Invullen groen'!$K:$K,$J64),""),""),"")</f>
        <v/>
      </c>
      <c r="J64" s="83">
        <f>IFERROR(MATCH(ROW()-4,'Invullen groen'!$P$17:$P$272,0)+16,0)</f>
        <v/>
      </c>
    </row>
    <row r="65" hidden="1" ht="15" customHeight="1" s="402">
      <c r="A65" s="161">
        <f>IFERROR(IF($J65&gt;0,ROW()-4,""),"")</f>
        <v/>
      </c>
      <c r="B65" s="161">
        <f>IFERROR(IF($J65&gt;0,INDEX('Invullen groen'!$A:$A,$J65),""),"")</f>
        <v/>
      </c>
      <c r="C65" s="161">
        <f>IFERROR(IF($J65&gt;0,INDEX('Invullen groen'!$C:$C,$J65),""),"")</f>
        <v/>
      </c>
      <c r="D65" s="161">
        <f>IFERROR(IF($J65&gt;0,INDEX('Invullen groen'!$D:$D,$J65),""),"")</f>
        <v/>
      </c>
      <c r="E65" s="161">
        <f>IFERROR(IF($J65&gt;0,INDEX('Invullen groen'!$G:$G,$J65),""),"")</f>
        <v/>
      </c>
      <c r="F65" s="162">
        <f>IFERROR(IF($J65&gt;0,IF(INDEX('Invullen groen'!$H:$H,$J65)&lt;&gt;0,INDEX('Invullen groen'!$H:$H,$J65),""),""),"")</f>
        <v/>
      </c>
      <c r="G65" s="162">
        <f>IFERROR(IF($J65&gt;0,IF(INDEX('Invullen groen'!$I:$I,$J65)&lt;&gt;0,INDEX('Invullen groen'!$I:$I,$J65),""),""),"")</f>
        <v/>
      </c>
      <c r="H65" s="162">
        <f>IFERROR(IF($J65&gt;0,IF(INDEX('Invullen groen'!$J:$J,$J65)&lt;&gt;0,INDEX('Invullen groen'!$J:$J,$J65),""),""),"")</f>
        <v/>
      </c>
      <c r="I65" s="162">
        <f>IFERROR(IF($J65&gt;0,IF(INDEX('Invullen groen'!$K:$K,$J65)&lt;&gt;0,INDEX('Invullen groen'!$K:$K,$J65),""),""),"")</f>
        <v/>
      </c>
      <c r="J65" s="83">
        <f>IFERROR(MATCH(ROW()-4,'Invullen groen'!$P$17:$P$272,0)+16,0)</f>
        <v/>
      </c>
    </row>
    <row r="66" hidden="1" ht="15" customHeight="1" s="402">
      <c r="A66" s="163">
        <f>IFERROR(IF($J66&gt;0,ROW()-4,""),"")</f>
        <v/>
      </c>
      <c r="B66" s="163">
        <f>IFERROR(IF($J66&gt;0,INDEX('Invullen groen'!$A:$A,$J66),""),"")</f>
        <v/>
      </c>
      <c r="C66" s="163">
        <f>IFERROR(IF($J66&gt;0,INDEX('Invullen groen'!$C:$C,$J66),""),"")</f>
        <v/>
      </c>
      <c r="D66" s="163">
        <f>IFERROR(IF($J66&gt;0,INDEX('Invullen groen'!$D:$D,$J66),""),"")</f>
        <v/>
      </c>
      <c r="E66" s="163">
        <f>IFERROR(IF($J66&gt;0,INDEX('Invullen groen'!$G:$G,$J66),""),"")</f>
        <v/>
      </c>
      <c r="F66" s="164">
        <f>IFERROR(IF($J66&gt;0,IF(INDEX('Invullen groen'!$H:$H,$J66)&lt;&gt;0,INDEX('Invullen groen'!$H:$H,$J66),""),""),"")</f>
        <v/>
      </c>
      <c r="G66" s="164">
        <f>IFERROR(IF($J66&gt;0,IF(INDEX('Invullen groen'!$I:$I,$J66)&lt;&gt;0,INDEX('Invullen groen'!$I:$I,$J66),""),""),"")</f>
        <v/>
      </c>
      <c r="H66" s="164">
        <f>IFERROR(IF($J66&gt;0,IF(INDEX('Invullen groen'!$J:$J,$J66)&lt;&gt;0,INDEX('Invullen groen'!$J:$J,$J66),""),""),"")</f>
        <v/>
      </c>
      <c r="I66" s="164">
        <f>IFERROR(IF($J66&gt;0,IF(INDEX('Invullen groen'!$K:$K,$J66)&lt;&gt;0,INDEX('Invullen groen'!$K:$K,$J66),""),""),"")</f>
        <v/>
      </c>
      <c r="J66" s="83">
        <f>IFERROR(MATCH(ROW()-4,'Invullen groen'!$P$17:$P$272,0)+16,0)</f>
        <v/>
      </c>
    </row>
    <row r="67" hidden="1" ht="15" customHeight="1" s="402">
      <c r="A67" s="161">
        <f>IFERROR(IF($J67&gt;0,ROW()-4,""),"")</f>
        <v/>
      </c>
      <c r="B67" s="161">
        <f>IFERROR(IF($J67&gt;0,INDEX('Invullen groen'!$A:$A,$J67),""),"")</f>
        <v/>
      </c>
      <c r="C67" s="161">
        <f>IFERROR(IF($J67&gt;0,INDEX('Invullen groen'!$C:$C,$J67),""),"")</f>
        <v/>
      </c>
      <c r="D67" s="161">
        <f>IFERROR(IF($J67&gt;0,INDEX('Invullen groen'!$D:$D,$J67),""),"")</f>
        <v/>
      </c>
      <c r="E67" s="161">
        <f>IFERROR(IF($J67&gt;0,INDEX('Invullen groen'!$G:$G,$J67),""),"")</f>
        <v/>
      </c>
      <c r="F67" s="162">
        <f>IFERROR(IF($J67&gt;0,IF(INDEX('Invullen groen'!$H:$H,$J67)&lt;&gt;0,INDEX('Invullen groen'!$H:$H,$J67),""),""),"")</f>
        <v/>
      </c>
      <c r="G67" s="162">
        <f>IFERROR(IF($J67&gt;0,IF(INDEX('Invullen groen'!$I:$I,$J67)&lt;&gt;0,INDEX('Invullen groen'!$I:$I,$J67),""),""),"")</f>
        <v/>
      </c>
      <c r="H67" s="162">
        <f>IFERROR(IF($J67&gt;0,IF(INDEX('Invullen groen'!$J:$J,$J67)&lt;&gt;0,INDEX('Invullen groen'!$J:$J,$J67),""),""),"")</f>
        <v/>
      </c>
      <c r="I67" s="162">
        <f>IFERROR(IF($J67&gt;0,IF(INDEX('Invullen groen'!$K:$K,$J67)&lt;&gt;0,INDEX('Invullen groen'!$K:$K,$J67),""),""),"")</f>
        <v/>
      </c>
      <c r="J67" s="83">
        <f>IFERROR(MATCH(ROW()-4,'Invullen groen'!$P$17:$P$272,0)+16,0)</f>
        <v/>
      </c>
    </row>
    <row r="68" hidden="1" ht="15" customHeight="1" s="402">
      <c r="A68" s="163">
        <f>IFERROR(IF($J68&gt;0,ROW()-4,""),"")</f>
        <v/>
      </c>
      <c r="B68" s="163">
        <f>IFERROR(IF($J68&gt;0,INDEX('Invullen groen'!$A:$A,$J68),""),"")</f>
        <v/>
      </c>
      <c r="C68" s="163">
        <f>IFERROR(IF($J68&gt;0,INDEX('Invullen groen'!$C:$C,$J68),""),"")</f>
        <v/>
      </c>
      <c r="D68" s="163">
        <f>IFERROR(IF($J68&gt;0,INDEX('Invullen groen'!$D:$D,$J68),""),"")</f>
        <v/>
      </c>
      <c r="E68" s="163">
        <f>IFERROR(IF($J68&gt;0,INDEX('Invullen groen'!$G:$G,$J68),""),"")</f>
        <v/>
      </c>
      <c r="F68" s="164">
        <f>IFERROR(IF($J68&gt;0,IF(INDEX('Invullen groen'!$H:$H,$J68)&lt;&gt;0,INDEX('Invullen groen'!$H:$H,$J68),""),""),"")</f>
        <v/>
      </c>
      <c r="G68" s="164">
        <f>IFERROR(IF($J68&gt;0,IF(INDEX('Invullen groen'!$I:$I,$J68)&lt;&gt;0,INDEX('Invullen groen'!$I:$I,$J68),""),""),"")</f>
        <v/>
      </c>
      <c r="H68" s="164">
        <f>IFERROR(IF($J68&gt;0,IF(INDEX('Invullen groen'!$J:$J,$J68)&lt;&gt;0,INDEX('Invullen groen'!$J:$J,$J68),""),""),"")</f>
        <v/>
      </c>
      <c r="I68" s="164">
        <f>IFERROR(IF($J68&gt;0,IF(INDEX('Invullen groen'!$K:$K,$J68)&lt;&gt;0,INDEX('Invullen groen'!$K:$K,$J68),""),""),"")</f>
        <v/>
      </c>
      <c r="J68" s="83">
        <f>IFERROR(MATCH(ROW()-4,'Invullen groen'!$P$17:$P$272,0)+16,0)</f>
        <v/>
      </c>
    </row>
    <row r="69" hidden="1" ht="15" customHeight="1" s="402">
      <c r="A69" s="161">
        <f>IFERROR(IF($J69&gt;0,ROW()-4,""),"")</f>
        <v/>
      </c>
      <c r="B69" s="161">
        <f>IFERROR(IF($J69&gt;0,INDEX('Invullen groen'!$A:$A,$J69),""),"")</f>
        <v/>
      </c>
      <c r="C69" s="161">
        <f>IFERROR(IF($J69&gt;0,INDEX('Invullen groen'!$C:$C,$J69),""),"")</f>
        <v/>
      </c>
      <c r="D69" s="161">
        <f>IFERROR(IF($J69&gt;0,INDEX('Invullen groen'!$D:$D,$J69),""),"")</f>
        <v/>
      </c>
      <c r="E69" s="161">
        <f>IFERROR(IF($J69&gt;0,INDEX('Invullen groen'!$G:$G,$J69),""),"")</f>
        <v/>
      </c>
      <c r="F69" s="162">
        <f>IFERROR(IF($J69&gt;0,IF(INDEX('Invullen groen'!$H:$H,$J69)&lt;&gt;0,INDEX('Invullen groen'!$H:$H,$J69),""),""),"")</f>
        <v/>
      </c>
      <c r="G69" s="162">
        <f>IFERROR(IF($J69&gt;0,IF(INDEX('Invullen groen'!$I:$I,$J69)&lt;&gt;0,INDEX('Invullen groen'!$I:$I,$J69),""),""),"")</f>
        <v/>
      </c>
      <c r="H69" s="162">
        <f>IFERROR(IF($J69&gt;0,IF(INDEX('Invullen groen'!$J:$J,$J69)&lt;&gt;0,INDEX('Invullen groen'!$J:$J,$J69),""),""),"")</f>
        <v/>
      </c>
      <c r="I69" s="162">
        <f>IFERROR(IF($J69&gt;0,IF(INDEX('Invullen groen'!$K:$K,$J69)&lt;&gt;0,INDEX('Invullen groen'!$K:$K,$J69),""),""),"")</f>
        <v/>
      </c>
      <c r="J69" s="83">
        <f>IFERROR(MATCH(ROW()-4,'Invullen groen'!$P$17:$P$272,0)+16,0)</f>
        <v/>
      </c>
    </row>
    <row r="70" hidden="1" ht="15" customHeight="1" s="402">
      <c r="A70" s="163">
        <f>IFERROR(IF($J70&gt;0,ROW()-4,""),"")</f>
        <v/>
      </c>
      <c r="B70" s="163">
        <f>IFERROR(IF($J70&gt;0,INDEX('Invullen groen'!$A:$A,$J70),""),"")</f>
        <v/>
      </c>
      <c r="C70" s="163">
        <f>IFERROR(IF($J70&gt;0,INDEX('Invullen groen'!$C:$C,$J70),""),"")</f>
        <v/>
      </c>
      <c r="D70" s="163">
        <f>IFERROR(IF($J70&gt;0,INDEX('Invullen groen'!$D:$D,$J70),""),"")</f>
        <v/>
      </c>
      <c r="E70" s="163">
        <f>IFERROR(IF($J70&gt;0,INDEX('Invullen groen'!$G:$G,$J70),""),"")</f>
        <v/>
      </c>
      <c r="F70" s="164">
        <f>IFERROR(IF($J70&gt;0,IF(INDEX('Invullen groen'!$H:$H,$J70)&lt;&gt;0,INDEX('Invullen groen'!$H:$H,$J70),""),""),"")</f>
        <v/>
      </c>
      <c r="G70" s="164">
        <f>IFERROR(IF($J70&gt;0,IF(INDEX('Invullen groen'!$I:$I,$J70)&lt;&gt;0,INDEX('Invullen groen'!$I:$I,$J70),""),""),"")</f>
        <v/>
      </c>
      <c r="H70" s="164">
        <f>IFERROR(IF($J70&gt;0,IF(INDEX('Invullen groen'!$J:$J,$J70)&lt;&gt;0,INDEX('Invullen groen'!$J:$J,$J70),""),""),"")</f>
        <v/>
      </c>
      <c r="I70" s="164">
        <f>IFERROR(IF($J70&gt;0,IF(INDEX('Invullen groen'!$K:$K,$J70)&lt;&gt;0,INDEX('Invullen groen'!$K:$K,$J70),""),""),"")</f>
        <v/>
      </c>
      <c r="J70" s="83">
        <f>IFERROR(MATCH(ROW()-4,'Invullen groen'!$P$17:$P$272,0)+16,0)</f>
        <v/>
      </c>
    </row>
    <row r="71" hidden="1" ht="15" customHeight="1" s="402">
      <c r="A71" s="161">
        <f>IFERROR(IF($J71&gt;0,ROW()-4,""),"")</f>
        <v/>
      </c>
      <c r="B71" s="161">
        <f>IFERROR(IF($J71&gt;0,INDEX('Invullen groen'!$A:$A,$J71),""),"")</f>
        <v/>
      </c>
      <c r="C71" s="161">
        <f>IFERROR(IF($J71&gt;0,INDEX('Invullen groen'!$C:$C,$J71),""),"")</f>
        <v/>
      </c>
      <c r="D71" s="161">
        <f>IFERROR(IF($J71&gt;0,INDEX('Invullen groen'!$D:$D,$J71),""),"")</f>
        <v/>
      </c>
      <c r="E71" s="161">
        <f>IFERROR(IF($J71&gt;0,INDEX('Invullen groen'!$G:$G,$J71),""),"")</f>
        <v/>
      </c>
      <c r="F71" s="162">
        <f>IFERROR(IF($J71&gt;0,IF(INDEX('Invullen groen'!$H:$H,$J71)&lt;&gt;0,INDEX('Invullen groen'!$H:$H,$J71),""),""),"")</f>
        <v/>
      </c>
      <c r="G71" s="162">
        <f>IFERROR(IF($J71&gt;0,IF(INDEX('Invullen groen'!$I:$I,$J71)&lt;&gt;0,INDEX('Invullen groen'!$I:$I,$J71),""),""),"")</f>
        <v/>
      </c>
      <c r="H71" s="162">
        <f>IFERROR(IF($J71&gt;0,IF(INDEX('Invullen groen'!$J:$J,$J71)&lt;&gt;0,INDEX('Invullen groen'!$J:$J,$J71),""),""),"")</f>
        <v/>
      </c>
      <c r="I71" s="162">
        <f>IFERROR(IF($J71&gt;0,IF(INDEX('Invullen groen'!$K:$K,$J71)&lt;&gt;0,INDEX('Invullen groen'!$K:$K,$J71),""),""),"")</f>
        <v/>
      </c>
      <c r="J71" s="83">
        <f>IFERROR(MATCH(ROW()-4,'Invullen groen'!$P$17:$P$272,0)+16,0)</f>
        <v/>
      </c>
    </row>
    <row r="72" hidden="1" ht="15" customHeight="1" s="402">
      <c r="A72" s="163">
        <f>IFERROR(IF($J72&gt;0,ROW()-4,""),"")</f>
        <v/>
      </c>
      <c r="B72" s="163">
        <f>IFERROR(IF($J72&gt;0,INDEX('Invullen groen'!$A:$A,$J72),""),"")</f>
        <v/>
      </c>
      <c r="C72" s="163">
        <f>IFERROR(IF($J72&gt;0,INDEX('Invullen groen'!$C:$C,$J72),""),"")</f>
        <v/>
      </c>
      <c r="D72" s="163">
        <f>IFERROR(IF($J72&gt;0,INDEX('Invullen groen'!$D:$D,$J72),""),"")</f>
        <v/>
      </c>
      <c r="E72" s="163">
        <f>IFERROR(IF($J72&gt;0,INDEX('Invullen groen'!$G:$G,$J72),""),"")</f>
        <v/>
      </c>
      <c r="F72" s="164">
        <f>IFERROR(IF($J72&gt;0,IF(INDEX('Invullen groen'!$H:$H,$J72)&lt;&gt;0,INDEX('Invullen groen'!$H:$H,$J72),""),""),"")</f>
        <v/>
      </c>
      <c r="G72" s="164">
        <f>IFERROR(IF($J72&gt;0,IF(INDEX('Invullen groen'!$I:$I,$J72)&lt;&gt;0,INDEX('Invullen groen'!$I:$I,$J72),""),""),"")</f>
        <v/>
      </c>
      <c r="H72" s="164">
        <f>IFERROR(IF($J72&gt;0,IF(INDEX('Invullen groen'!$J:$J,$J72)&lt;&gt;0,INDEX('Invullen groen'!$J:$J,$J72),""),""),"")</f>
        <v/>
      </c>
      <c r="I72" s="164">
        <f>IFERROR(IF($J72&gt;0,IF(INDEX('Invullen groen'!$K:$K,$J72)&lt;&gt;0,INDEX('Invullen groen'!$K:$K,$J72),""),""),"")</f>
        <v/>
      </c>
      <c r="J72" s="83">
        <f>IFERROR(MATCH(ROW()-4,'Invullen groen'!$P$17:$P$272,0)+16,0)</f>
        <v/>
      </c>
    </row>
    <row r="73" hidden="1" ht="15" customHeight="1" s="402">
      <c r="A73" s="161">
        <f>IFERROR(IF($J73&gt;0,ROW()-4,""),"")</f>
        <v/>
      </c>
      <c r="B73" s="161">
        <f>IFERROR(IF($J73&gt;0,INDEX('Invullen groen'!$A:$A,$J73),""),"")</f>
        <v/>
      </c>
      <c r="C73" s="161">
        <f>IFERROR(IF($J73&gt;0,INDEX('Invullen groen'!$C:$C,$J73),""),"")</f>
        <v/>
      </c>
      <c r="D73" s="161">
        <f>IFERROR(IF($J73&gt;0,INDEX('Invullen groen'!$D:$D,$J73),""),"")</f>
        <v/>
      </c>
      <c r="E73" s="161">
        <f>IFERROR(IF($J73&gt;0,INDEX('Invullen groen'!$G:$G,$J73),""),"")</f>
        <v/>
      </c>
      <c r="F73" s="162">
        <f>IFERROR(IF($J73&gt;0,IF(INDEX('Invullen groen'!$H:$H,$J73)&lt;&gt;0,INDEX('Invullen groen'!$H:$H,$J73),""),""),"")</f>
        <v/>
      </c>
      <c r="G73" s="162">
        <f>IFERROR(IF($J73&gt;0,IF(INDEX('Invullen groen'!$I:$I,$J73)&lt;&gt;0,INDEX('Invullen groen'!$I:$I,$J73),""),""),"")</f>
        <v/>
      </c>
      <c r="H73" s="162">
        <f>IFERROR(IF($J73&gt;0,IF(INDEX('Invullen groen'!$J:$J,$J73)&lt;&gt;0,INDEX('Invullen groen'!$J:$J,$J73),""),""),"")</f>
        <v/>
      </c>
      <c r="I73" s="162">
        <f>IFERROR(IF($J73&gt;0,IF(INDEX('Invullen groen'!$K:$K,$J73)&lt;&gt;0,INDEX('Invullen groen'!$K:$K,$J73),""),""),"")</f>
        <v/>
      </c>
      <c r="J73" s="83">
        <f>IFERROR(MATCH(ROW()-4,'Invullen groen'!$P$17:$P$272,0)+16,0)</f>
        <v/>
      </c>
    </row>
    <row r="74" hidden="1" ht="15" customHeight="1" s="402">
      <c r="A74" s="163">
        <f>IFERROR(IF($J74&gt;0,ROW()-4,""),"")</f>
        <v/>
      </c>
      <c r="B74" s="163">
        <f>IFERROR(IF($J74&gt;0,INDEX('Invullen groen'!$A:$A,$J74),""),"")</f>
        <v/>
      </c>
      <c r="C74" s="163">
        <f>IFERROR(IF($J74&gt;0,INDEX('Invullen groen'!$C:$C,$J74),""),"")</f>
        <v/>
      </c>
      <c r="D74" s="163">
        <f>IFERROR(IF($J74&gt;0,INDEX('Invullen groen'!$D:$D,$J74),""),"")</f>
        <v/>
      </c>
      <c r="E74" s="163">
        <f>IFERROR(IF($J74&gt;0,INDEX('Invullen groen'!$G:$G,$J74),""),"")</f>
        <v/>
      </c>
      <c r="F74" s="164">
        <f>IFERROR(IF($J74&gt;0,IF(INDEX('Invullen groen'!$H:$H,$J74)&lt;&gt;0,INDEX('Invullen groen'!$H:$H,$J74),""),""),"")</f>
        <v/>
      </c>
      <c r="G74" s="164">
        <f>IFERROR(IF($J74&gt;0,IF(INDEX('Invullen groen'!$I:$I,$J74)&lt;&gt;0,INDEX('Invullen groen'!$I:$I,$J74),""),""),"")</f>
        <v/>
      </c>
      <c r="H74" s="164">
        <f>IFERROR(IF($J74&gt;0,IF(INDEX('Invullen groen'!$J:$J,$J74)&lt;&gt;0,INDEX('Invullen groen'!$J:$J,$J74),""),""),"")</f>
        <v/>
      </c>
      <c r="I74" s="164">
        <f>IFERROR(IF($J74&gt;0,IF(INDEX('Invullen groen'!$K:$K,$J74)&lt;&gt;0,INDEX('Invullen groen'!$K:$K,$J74),""),""),"")</f>
        <v/>
      </c>
      <c r="J74" s="83">
        <f>IFERROR(MATCH(ROW()-4,'Invullen groen'!$P$17:$P$272,0)+16,0)</f>
        <v/>
      </c>
    </row>
    <row r="75" hidden="1" ht="15" customHeight="1" s="402">
      <c r="A75" s="161">
        <f>IFERROR(IF($J75&gt;0,ROW()-4,""),"")</f>
        <v/>
      </c>
      <c r="B75" s="161">
        <f>IFERROR(IF($J75&gt;0,INDEX('Invullen groen'!$A:$A,$J75),""),"")</f>
        <v/>
      </c>
      <c r="C75" s="161">
        <f>IFERROR(IF($J75&gt;0,INDEX('Invullen groen'!$C:$C,$J75),""),"")</f>
        <v/>
      </c>
      <c r="D75" s="161">
        <f>IFERROR(IF($J75&gt;0,INDEX('Invullen groen'!$D:$D,$J75),""),"")</f>
        <v/>
      </c>
      <c r="E75" s="161">
        <f>IFERROR(IF($J75&gt;0,INDEX('Invullen groen'!$G:$G,$J75),""),"")</f>
        <v/>
      </c>
      <c r="F75" s="162">
        <f>IFERROR(IF($J75&gt;0,IF(INDEX('Invullen groen'!$H:$H,$J75)&lt;&gt;0,INDEX('Invullen groen'!$H:$H,$J75),""),""),"")</f>
        <v/>
      </c>
      <c r="G75" s="162">
        <f>IFERROR(IF($J75&gt;0,IF(INDEX('Invullen groen'!$I:$I,$J75)&lt;&gt;0,INDEX('Invullen groen'!$I:$I,$J75),""),""),"")</f>
        <v/>
      </c>
      <c r="H75" s="162">
        <f>IFERROR(IF($J75&gt;0,IF(INDEX('Invullen groen'!$J:$J,$J75)&lt;&gt;0,INDEX('Invullen groen'!$J:$J,$J75),""),""),"")</f>
        <v/>
      </c>
      <c r="I75" s="162">
        <f>IFERROR(IF($J75&gt;0,IF(INDEX('Invullen groen'!$K:$K,$J75)&lt;&gt;0,INDEX('Invullen groen'!$K:$K,$J75),""),""),"")</f>
        <v/>
      </c>
      <c r="J75" s="83">
        <f>IFERROR(MATCH(ROW()-4,'Invullen groen'!$P$17:$P$272,0)+16,0)</f>
        <v/>
      </c>
    </row>
    <row r="76" hidden="1" ht="15" customHeight="1" s="402">
      <c r="A76" s="163">
        <f>IFERROR(IF($J76&gt;0,ROW()-4,""),"")</f>
        <v/>
      </c>
      <c r="B76" s="163">
        <f>IFERROR(IF($J76&gt;0,INDEX('Invullen groen'!$A:$A,$J76),""),"")</f>
        <v/>
      </c>
      <c r="C76" s="163">
        <f>IFERROR(IF($J76&gt;0,INDEX('Invullen groen'!$C:$C,$J76),""),"")</f>
        <v/>
      </c>
      <c r="D76" s="163">
        <f>IFERROR(IF($J76&gt;0,INDEX('Invullen groen'!$D:$D,$J76),""),"")</f>
        <v/>
      </c>
      <c r="E76" s="163">
        <f>IFERROR(IF($J76&gt;0,INDEX('Invullen groen'!$G:$G,$J76),""),"")</f>
        <v/>
      </c>
      <c r="F76" s="164">
        <f>IFERROR(IF($J76&gt;0,IF(INDEX('Invullen groen'!$H:$H,$J76)&lt;&gt;0,INDEX('Invullen groen'!$H:$H,$J76),""),""),"")</f>
        <v/>
      </c>
      <c r="G76" s="164">
        <f>IFERROR(IF($J76&gt;0,IF(INDEX('Invullen groen'!$I:$I,$J76)&lt;&gt;0,INDEX('Invullen groen'!$I:$I,$J76),""),""),"")</f>
        <v/>
      </c>
      <c r="H76" s="164">
        <f>IFERROR(IF($J76&gt;0,IF(INDEX('Invullen groen'!$J:$J,$J76)&lt;&gt;0,INDEX('Invullen groen'!$J:$J,$J76),""),""),"")</f>
        <v/>
      </c>
      <c r="I76" s="164">
        <f>IFERROR(IF($J76&gt;0,IF(INDEX('Invullen groen'!$K:$K,$J76)&lt;&gt;0,INDEX('Invullen groen'!$K:$K,$J76),""),""),"")</f>
        <v/>
      </c>
      <c r="J76" s="83">
        <f>IFERROR(MATCH(ROW()-4,'Invullen groen'!$P$17:$P$272,0)+16,0)</f>
        <v/>
      </c>
    </row>
    <row r="77" hidden="1" ht="15" customHeight="1" s="402">
      <c r="A77" s="161">
        <f>IFERROR(IF($J77&gt;0,ROW()-4,""),"")</f>
        <v/>
      </c>
      <c r="B77" s="161">
        <f>IFERROR(IF($J77&gt;0,INDEX('Invullen groen'!$A:$A,$J77),""),"")</f>
        <v/>
      </c>
      <c r="C77" s="161">
        <f>IFERROR(IF($J77&gt;0,INDEX('Invullen groen'!$C:$C,$J77),""),"")</f>
        <v/>
      </c>
      <c r="D77" s="161">
        <f>IFERROR(IF($J77&gt;0,INDEX('Invullen groen'!$D:$D,$J77),""),"")</f>
        <v/>
      </c>
      <c r="E77" s="161">
        <f>IFERROR(IF($J77&gt;0,INDEX('Invullen groen'!$G:$G,$J77),""),"")</f>
        <v/>
      </c>
      <c r="F77" s="162">
        <f>IFERROR(IF($J77&gt;0,IF(INDEX('Invullen groen'!$H:$H,$J77)&lt;&gt;0,INDEX('Invullen groen'!$H:$H,$J77),""),""),"")</f>
        <v/>
      </c>
      <c r="G77" s="162">
        <f>IFERROR(IF($J77&gt;0,IF(INDEX('Invullen groen'!$I:$I,$J77)&lt;&gt;0,INDEX('Invullen groen'!$I:$I,$J77),""),""),"")</f>
        <v/>
      </c>
      <c r="H77" s="162">
        <f>IFERROR(IF($J77&gt;0,IF(INDEX('Invullen groen'!$J:$J,$J77)&lt;&gt;0,INDEX('Invullen groen'!$J:$J,$J77),""),""),"")</f>
        <v/>
      </c>
      <c r="I77" s="162">
        <f>IFERROR(IF($J77&gt;0,IF(INDEX('Invullen groen'!$K:$K,$J77)&lt;&gt;0,INDEX('Invullen groen'!$K:$K,$J77),""),""),"")</f>
        <v/>
      </c>
      <c r="J77" s="83">
        <f>IFERROR(MATCH(ROW()-4,'Invullen groen'!$P$17:$P$272,0)+16,0)</f>
        <v/>
      </c>
    </row>
    <row r="78" hidden="1" ht="15" customHeight="1" s="402">
      <c r="A78" s="163">
        <f>IFERROR(IF($J78&gt;0,ROW()-4,""),"")</f>
        <v/>
      </c>
      <c r="B78" s="163">
        <f>IFERROR(IF($J78&gt;0,INDEX('Invullen groen'!$A:$A,$J78),""),"")</f>
        <v/>
      </c>
      <c r="C78" s="163">
        <f>IFERROR(IF($J78&gt;0,INDEX('Invullen groen'!$C:$C,$J78),""),"")</f>
        <v/>
      </c>
      <c r="D78" s="163">
        <f>IFERROR(IF($J78&gt;0,INDEX('Invullen groen'!$D:$D,$J78),""),"")</f>
        <v/>
      </c>
      <c r="E78" s="163">
        <f>IFERROR(IF($J78&gt;0,INDEX('Invullen groen'!$G:$G,$J78),""),"")</f>
        <v/>
      </c>
      <c r="F78" s="164">
        <f>IFERROR(IF($J78&gt;0,IF(INDEX('Invullen groen'!$H:$H,$J78)&lt;&gt;0,INDEX('Invullen groen'!$H:$H,$J78),""),""),"")</f>
        <v/>
      </c>
      <c r="G78" s="164">
        <f>IFERROR(IF($J78&gt;0,IF(INDEX('Invullen groen'!$I:$I,$J78)&lt;&gt;0,INDEX('Invullen groen'!$I:$I,$J78),""),""),"")</f>
        <v/>
      </c>
      <c r="H78" s="164">
        <f>IFERROR(IF($J78&gt;0,IF(INDEX('Invullen groen'!$J:$J,$J78)&lt;&gt;0,INDEX('Invullen groen'!$J:$J,$J78),""),""),"")</f>
        <v/>
      </c>
      <c r="I78" s="164">
        <f>IFERROR(IF($J78&gt;0,IF(INDEX('Invullen groen'!$K:$K,$J78)&lt;&gt;0,INDEX('Invullen groen'!$K:$K,$J78),""),""),"")</f>
        <v/>
      </c>
      <c r="J78" s="83">
        <f>IFERROR(MATCH(ROW()-4,'Invullen groen'!$P$17:$P$272,0)+16,0)</f>
        <v/>
      </c>
    </row>
    <row r="79" hidden="1" ht="15" customHeight="1" s="402">
      <c r="A79" s="161">
        <f>IFERROR(IF($J79&gt;0,ROW()-4,""),"")</f>
        <v/>
      </c>
      <c r="B79" s="161">
        <f>IFERROR(IF($J79&gt;0,INDEX('Invullen groen'!$A:$A,$J79),""),"")</f>
        <v/>
      </c>
      <c r="C79" s="161">
        <f>IFERROR(IF($J79&gt;0,INDEX('Invullen groen'!$C:$C,$J79),""),"")</f>
        <v/>
      </c>
      <c r="D79" s="161">
        <f>IFERROR(IF($J79&gt;0,INDEX('Invullen groen'!$D:$D,$J79),""),"")</f>
        <v/>
      </c>
      <c r="E79" s="161">
        <f>IFERROR(IF($J79&gt;0,INDEX('Invullen groen'!$G:$G,$J79),""),"")</f>
        <v/>
      </c>
      <c r="F79" s="162">
        <f>IFERROR(IF($J79&gt;0,IF(INDEX('Invullen groen'!$H:$H,$J79)&lt;&gt;0,INDEX('Invullen groen'!$H:$H,$J79),""),""),"")</f>
        <v/>
      </c>
      <c r="G79" s="162">
        <f>IFERROR(IF($J79&gt;0,IF(INDEX('Invullen groen'!$I:$I,$J79)&lt;&gt;0,INDEX('Invullen groen'!$I:$I,$J79),""),""),"")</f>
        <v/>
      </c>
      <c r="H79" s="162">
        <f>IFERROR(IF($J79&gt;0,IF(INDEX('Invullen groen'!$J:$J,$J79)&lt;&gt;0,INDEX('Invullen groen'!$J:$J,$J79),""),""),"")</f>
        <v/>
      </c>
      <c r="I79" s="162">
        <f>IFERROR(IF($J79&gt;0,IF(INDEX('Invullen groen'!$K:$K,$J79)&lt;&gt;0,INDEX('Invullen groen'!$K:$K,$J79),""),""),"")</f>
        <v/>
      </c>
      <c r="J79" s="83">
        <f>IFERROR(MATCH(ROW()-4,'Invullen groen'!$P$17:$P$272,0)+16,0)</f>
        <v/>
      </c>
    </row>
    <row r="80" hidden="1" ht="15" customHeight="1" s="402">
      <c r="A80" s="163">
        <f>IFERROR(IF($J80&gt;0,ROW()-4,""),"")</f>
        <v/>
      </c>
      <c r="B80" s="163">
        <f>IFERROR(IF($J80&gt;0,INDEX('Invullen groen'!$A:$A,$J80),""),"")</f>
        <v/>
      </c>
      <c r="C80" s="163">
        <f>IFERROR(IF($J80&gt;0,INDEX('Invullen groen'!$C:$C,$J80),""),"")</f>
        <v/>
      </c>
      <c r="D80" s="163">
        <f>IFERROR(IF($J80&gt;0,INDEX('Invullen groen'!$D:$D,$J80),""),"")</f>
        <v/>
      </c>
      <c r="E80" s="163">
        <f>IFERROR(IF($J80&gt;0,INDEX('Invullen groen'!$G:$G,$J80),""),"")</f>
        <v/>
      </c>
      <c r="F80" s="164">
        <f>IFERROR(IF($J80&gt;0,IF(INDEX('Invullen groen'!$H:$H,$J80)&lt;&gt;0,INDEX('Invullen groen'!$H:$H,$J80),""),""),"")</f>
        <v/>
      </c>
      <c r="G80" s="164">
        <f>IFERROR(IF($J80&gt;0,IF(INDEX('Invullen groen'!$I:$I,$J80)&lt;&gt;0,INDEX('Invullen groen'!$I:$I,$J80),""),""),"")</f>
        <v/>
      </c>
      <c r="H80" s="164">
        <f>IFERROR(IF($J80&gt;0,IF(INDEX('Invullen groen'!$J:$J,$J80)&lt;&gt;0,INDEX('Invullen groen'!$J:$J,$J80),""),""),"")</f>
        <v/>
      </c>
      <c r="I80" s="164">
        <f>IFERROR(IF($J80&gt;0,IF(INDEX('Invullen groen'!$K:$K,$J80)&lt;&gt;0,INDEX('Invullen groen'!$K:$K,$J80),""),""),"")</f>
        <v/>
      </c>
      <c r="J80" s="83">
        <f>IFERROR(MATCH(ROW()-4,'Invullen groen'!$P$17:$P$272,0)+16,0)</f>
        <v/>
      </c>
    </row>
    <row r="81" hidden="1" ht="15" customHeight="1" s="402">
      <c r="A81" s="161">
        <f>IFERROR(IF($J81&gt;0,ROW()-4,""),"")</f>
        <v/>
      </c>
      <c r="B81" s="161">
        <f>IFERROR(IF($J81&gt;0,INDEX('Invullen groen'!$A:$A,$J81),""),"")</f>
        <v/>
      </c>
      <c r="C81" s="161">
        <f>IFERROR(IF($J81&gt;0,INDEX('Invullen groen'!$C:$C,$J81),""),"")</f>
        <v/>
      </c>
      <c r="D81" s="161">
        <f>IFERROR(IF($J81&gt;0,INDEX('Invullen groen'!$D:$D,$J81),""),"")</f>
        <v/>
      </c>
      <c r="E81" s="161">
        <f>IFERROR(IF($J81&gt;0,INDEX('Invullen groen'!$G:$G,$J81),""),"")</f>
        <v/>
      </c>
      <c r="F81" s="162">
        <f>IFERROR(IF($J81&gt;0,IF(INDEX('Invullen groen'!$H:$H,$J81)&lt;&gt;0,INDEX('Invullen groen'!$H:$H,$J81),""),""),"")</f>
        <v/>
      </c>
      <c r="G81" s="162">
        <f>IFERROR(IF($J81&gt;0,IF(INDEX('Invullen groen'!$I:$I,$J81)&lt;&gt;0,INDEX('Invullen groen'!$I:$I,$J81),""),""),"")</f>
        <v/>
      </c>
      <c r="H81" s="162">
        <f>IFERROR(IF($J81&gt;0,IF(INDEX('Invullen groen'!$J:$J,$J81)&lt;&gt;0,INDEX('Invullen groen'!$J:$J,$J81),""),""),"")</f>
        <v/>
      </c>
      <c r="I81" s="162">
        <f>IFERROR(IF($J81&gt;0,IF(INDEX('Invullen groen'!$K:$K,$J81)&lt;&gt;0,INDEX('Invullen groen'!$K:$K,$J81),""),""),"")</f>
        <v/>
      </c>
      <c r="J81" s="83">
        <f>IFERROR(MATCH(ROW()-4,'Invullen groen'!$P$17:$P$272,0)+16,0)</f>
        <v/>
      </c>
    </row>
    <row r="82" hidden="1" ht="15" customHeight="1" s="402">
      <c r="A82" s="163">
        <f>IFERROR(IF($J82&gt;0,ROW()-4,""),"")</f>
        <v/>
      </c>
      <c r="B82" s="163">
        <f>IFERROR(IF($J82&gt;0,INDEX('Invullen groen'!$A:$A,$J82),""),"")</f>
        <v/>
      </c>
      <c r="C82" s="163">
        <f>IFERROR(IF($J82&gt;0,INDEX('Invullen groen'!$C:$C,$J82),""),"")</f>
        <v/>
      </c>
      <c r="D82" s="163">
        <f>IFERROR(IF($J82&gt;0,INDEX('Invullen groen'!$D:$D,$J82),""),"")</f>
        <v/>
      </c>
      <c r="E82" s="163">
        <f>IFERROR(IF($J82&gt;0,INDEX('Invullen groen'!$G:$G,$J82),""),"")</f>
        <v/>
      </c>
      <c r="F82" s="164">
        <f>IFERROR(IF($J82&gt;0,IF(INDEX('Invullen groen'!$H:$H,$J82)&lt;&gt;0,INDEX('Invullen groen'!$H:$H,$J82),""),""),"")</f>
        <v/>
      </c>
      <c r="G82" s="164">
        <f>IFERROR(IF($J82&gt;0,IF(INDEX('Invullen groen'!$I:$I,$J82)&lt;&gt;0,INDEX('Invullen groen'!$I:$I,$J82),""),""),"")</f>
        <v/>
      </c>
      <c r="H82" s="164">
        <f>IFERROR(IF($J82&gt;0,IF(INDEX('Invullen groen'!$J:$J,$J82)&lt;&gt;0,INDEX('Invullen groen'!$J:$J,$J82),""),""),"")</f>
        <v/>
      </c>
      <c r="I82" s="164">
        <f>IFERROR(IF($J82&gt;0,IF(INDEX('Invullen groen'!$K:$K,$J82)&lt;&gt;0,INDEX('Invullen groen'!$K:$K,$J82),""),""),"")</f>
        <v/>
      </c>
      <c r="J82" s="83">
        <f>IFERROR(MATCH(ROW()-4,'Invullen groen'!$P$17:$P$272,0)+16,0)</f>
        <v/>
      </c>
    </row>
    <row r="83" hidden="1" ht="15" customHeight="1" s="402">
      <c r="A83" s="161">
        <f>IFERROR(IF($J83&gt;0,ROW()-4,""),"")</f>
        <v/>
      </c>
      <c r="B83" s="161">
        <f>IFERROR(IF($J83&gt;0,INDEX('Invullen groen'!$A:$A,$J83),""),"")</f>
        <v/>
      </c>
      <c r="C83" s="161">
        <f>IFERROR(IF($J83&gt;0,INDEX('Invullen groen'!$C:$C,$J83),""),"")</f>
        <v/>
      </c>
      <c r="D83" s="161">
        <f>IFERROR(IF($J83&gt;0,INDEX('Invullen groen'!$D:$D,$J83),""),"")</f>
        <v/>
      </c>
      <c r="E83" s="161">
        <f>IFERROR(IF($J83&gt;0,INDEX('Invullen groen'!$G:$G,$J83),""),"")</f>
        <v/>
      </c>
      <c r="F83" s="162">
        <f>IFERROR(IF($J83&gt;0,IF(INDEX('Invullen groen'!$H:$H,$J83)&lt;&gt;0,INDEX('Invullen groen'!$H:$H,$J83),""),""),"")</f>
        <v/>
      </c>
      <c r="G83" s="162">
        <f>IFERROR(IF($J83&gt;0,IF(INDEX('Invullen groen'!$I:$I,$J83)&lt;&gt;0,INDEX('Invullen groen'!$I:$I,$J83),""),""),"")</f>
        <v/>
      </c>
      <c r="H83" s="162">
        <f>IFERROR(IF($J83&gt;0,IF(INDEX('Invullen groen'!$J:$J,$J83)&lt;&gt;0,INDEX('Invullen groen'!$J:$J,$J83),""),""),"")</f>
        <v/>
      </c>
      <c r="I83" s="162">
        <f>IFERROR(IF($J83&gt;0,IF(INDEX('Invullen groen'!$K:$K,$J83)&lt;&gt;0,INDEX('Invullen groen'!$K:$K,$J83),""),""),"")</f>
        <v/>
      </c>
      <c r="J83" s="83">
        <f>IFERROR(MATCH(ROW()-4,'Invullen groen'!$P$17:$P$272,0)+16,0)</f>
        <v/>
      </c>
    </row>
    <row r="84" hidden="1" ht="15" customHeight="1" s="402">
      <c r="A84" s="163">
        <f>IFERROR(IF($J84&gt;0,ROW()-4,""),"")</f>
        <v/>
      </c>
      <c r="B84" s="163">
        <f>IFERROR(IF($J84&gt;0,INDEX('Invullen groen'!$A:$A,$J84),""),"")</f>
        <v/>
      </c>
      <c r="C84" s="163">
        <f>IFERROR(IF($J84&gt;0,INDEX('Invullen groen'!$C:$C,$J84),""),"")</f>
        <v/>
      </c>
      <c r="D84" s="163">
        <f>IFERROR(IF($J84&gt;0,INDEX('Invullen groen'!$D:$D,$J84),""),"")</f>
        <v/>
      </c>
      <c r="E84" s="163">
        <f>IFERROR(IF($J84&gt;0,INDEX('Invullen groen'!$G:$G,$J84),""),"")</f>
        <v/>
      </c>
      <c r="F84" s="164">
        <f>IFERROR(IF($J84&gt;0,IF(INDEX('Invullen groen'!$H:$H,$J84)&lt;&gt;0,INDEX('Invullen groen'!$H:$H,$J84),""),""),"")</f>
        <v/>
      </c>
      <c r="G84" s="164">
        <f>IFERROR(IF($J84&gt;0,IF(INDEX('Invullen groen'!$I:$I,$J84)&lt;&gt;0,INDEX('Invullen groen'!$I:$I,$J84),""),""),"")</f>
        <v/>
      </c>
      <c r="H84" s="164">
        <f>IFERROR(IF($J84&gt;0,IF(INDEX('Invullen groen'!$J:$J,$J84)&lt;&gt;0,INDEX('Invullen groen'!$J:$J,$J84),""),""),"")</f>
        <v/>
      </c>
      <c r="I84" s="164">
        <f>IFERROR(IF($J84&gt;0,IF(INDEX('Invullen groen'!$K:$K,$J84)&lt;&gt;0,INDEX('Invullen groen'!$K:$K,$J84),""),""),"")</f>
        <v/>
      </c>
      <c r="J84" s="83">
        <f>IFERROR(MATCH(ROW()-4,'Invullen groen'!$P$17:$P$272,0)+16,0)</f>
        <v/>
      </c>
    </row>
    <row r="85" hidden="1" ht="15" customHeight="1" s="402">
      <c r="A85" s="161">
        <f>IFERROR(IF($J85&gt;0,ROW()-4,""),"")</f>
        <v/>
      </c>
      <c r="B85" s="161">
        <f>IFERROR(IF($J85&gt;0,INDEX('Invullen groen'!$A:$A,$J85),""),"")</f>
        <v/>
      </c>
      <c r="C85" s="161">
        <f>IFERROR(IF($J85&gt;0,INDEX('Invullen groen'!$C:$C,$J85),""),"")</f>
        <v/>
      </c>
      <c r="D85" s="161">
        <f>IFERROR(IF($J85&gt;0,INDEX('Invullen groen'!$D:$D,$J85),""),"")</f>
        <v/>
      </c>
      <c r="E85" s="161">
        <f>IFERROR(IF($J85&gt;0,INDEX('Invullen groen'!$G:$G,$J85),""),"")</f>
        <v/>
      </c>
      <c r="F85" s="162">
        <f>IFERROR(IF($J85&gt;0,IF(INDEX('Invullen groen'!$H:$H,$J85)&lt;&gt;0,INDEX('Invullen groen'!$H:$H,$J85),""),""),"")</f>
        <v/>
      </c>
      <c r="G85" s="162">
        <f>IFERROR(IF($J85&gt;0,IF(INDEX('Invullen groen'!$I:$I,$J85)&lt;&gt;0,INDEX('Invullen groen'!$I:$I,$J85),""),""),"")</f>
        <v/>
      </c>
      <c r="H85" s="162">
        <f>IFERROR(IF($J85&gt;0,IF(INDEX('Invullen groen'!$J:$J,$J85)&lt;&gt;0,INDEX('Invullen groen'!$J:$J,$J85),""),""),"")</f>
        <v/>
      </c>
      <c r="I85" s="162">
        <f>IFERROR(IF($J85&gt;0,IF(INDEX('Invullen groen'!$K:$K,$J85)&lt;&gt;0,INDEX('Invullen groen'!$K:$K,$J85),""),""),"")</f>
        <v/>
      </c>
      <c r="J85" s="83">
        <f>IFERROR(MATCH(ROW()-4,'Invullen groen'!$P$17:$P$272,0)+16,0)</f>
        <v/>
      </c>
    </row>
    <row r="86" hidden="1" ht="15" customHeight="1" s="402">
      <c r="A86" s="163">
        <f>IFERROR(IF($J86&gt;0,ROW()-4,""),"")</f>
        <v/>
      </c>
      <c r="B86" s="163">
        <f>IFERROR(IF($J86&gt;0,INDEX('Invullen groen'!$A:$A,$J86),""),"")</f>
        <v/>
      </c>
      <c r="C86" s="163">
        <f>IFERROR(IF($J86&gt;0,INDEX('Invullen groen'!$C:$C,$J86),""),"")</f>
        <v/>
      </c>
      <c r="D86" s="163">
        <f>IFERROR(IF($J86&gt;0,INDEX('Invullen groen'!$D:$D,$J86),""),"")</f>
        <v/>
      </c>
      <c r="E86" s="163">
        <f>IFERROR(IF($J86&gt;0,INDEX('Invullen groen'!$G:$G,$J86),""),"")</f>
        <v/>
      </c>
      <c r="F86" s="164">
        <f>IFERROR(IF($J86&gt;0,IF(INDEX('Invullen groen'!$H:$H,$J86)&lt;&gt;0,INDEX('Invullen groen'!$H:$H,$J86),""),""),"")</f>
        <v/>
      </c>
      <c r="G86" s="164">
        <f>IFERROR(IF($J86&gt;0,IF(INDEX('Invullen groen'!$I:$I,$J86)&lt;&gt;0,INDEX('Invullen groen'!$I:$I,$J86),""),""),"")</f>
        <v/>
      </c>
      <c r="H86" s="164">
        <f>IFERROR(IF($J86&gt;0,IF(INDEX('Invullen groen'!$J:$J,$J86)&lt;&gt;0,INDEX('Invullen groen'!$J:$J,$J86),""),""),"")</f>
        <v/>
      </c>
      <c r="I86" s="164">
        <f>IFERROR(IF($J86&gt;0,IF(INDEX('Invullen groen'!$K:$K,$J86)&lt;&gt;0,INDEX('Invullen groen'!$K:$K,$J86),""),""),"")</f>
        <v/>
      </c>
      <c r="J86" s="83">
        <f>IFERROR(MATCH(ROW()-4,'Invullen groen'!$P$17:$P$272,0)+16,0)</f>
        <v/>
      </c>
    </row>
    <row r="87" hidden="1" ht="15" customHeight="1" s="402">
      <c r="A87" s="161">
        <f>IFERROR(IF($J87&gt;0,ROW()-4,""),"")</f>
        <v/>
      </c>
      <c r="B87" s="161">
        <f>IFERROR(IF($J87&gt;0,INDEX('Invullen groen'!$A:$A,$J87),""),"")</f>
        <v/>
      </c>
      <c r="C87" s="161">
        <f>IFERROR(IF($J87&gt;0,INDEX('Invullen groen'!$C:$C,$J87),""),"")</f>
        <v/>
      </c>
      <c r="D87" s="161">
        <f>IFERROR(IF($J87&gt;0,INDEX('Invullen groen'!$D:$D,$J87),""),"")</f>
        <v/>
      </c>
      <c r="E87" s="161">
        <f>IFERROR(IF($J87&gt;0,INDEX('Invullen groen'!$G:$G,$J87),""),"")</f>
        <v/>
      </c>
      <c r="F87" s="162">
        <f>IFERROR(IF($J87&gt;0,IF(INDEX('Invullen groen'!$H:$H,$J87)&lt;&gt;0,INDEX('Invullen groen'!$H:$H,$J87),""),""),"")</f>
        <v/>
      </c>
      <c r="G87" s="162">
        <f>IFERROR(IF($J87&gt;0,IF(INDEX('Invullen groen'!$I:$I,$J87)&lt;&gt;0,INDEX('Invullen groen'!$I:$I,$J87),""),""),"")</f>
        <v/>
      </c>
      <c r="H87" s="162">
        <f>IFERROR(IF($J87&gt;0,IF(INDEX('Invullen groen'!$J:$J,$J87)&lt;&gt;0,INDEX('Invullen groen'!$J:$J,$J87),""),""),"")</f>
        <v/>
      </c>
      <c r="I87" s="162">
        <f>IFERROR(IF($J87&gt;0,IF(INDEX('Invullen groen'!$K:$K,$J87)&lt;&gt;0,INDEX('Invullen groen'!$K:$K,$J87),""),""),"")</f>
        <v/>
      </c>
      <c r="J87" s="83">
        <f>IFERROR(MATCH(ROW()-4,'Invullen groen'!$P$17:$P$272,0)+16,0)</f>
        <v/>
      </c>
    </row>
    <row r="88" hidden="1" ht="15" customHeight="1" s="402">
      <c r="A88" s="163">
        <f>IFERROR(IF($J88&gt;0,ROW()-4,""),"")</f>
        <v/>
      </c>
      <c r="B88" s="163">
        <f>IFERROR(IF($J88&gt;0,INDEX('Invullen groen'!$A:$A,$J88),""),"")</f>
        <v/>
      </c>
      <c r="C88" s="163">
        <f>IFERROR(IF($J88&gt;0,INDEX('Invullen groen'!$C:$C,$J88),""),"")</f>
        <v/>
      </c>
      <c r="D88" s="163">
        <f>IFERROR(IF($J88&gt;0,INDEX('Invullen groen'!$D:$D,$J88),""),"")</f>
        <v/>
      </c>
      <c r="E88" s="163">
        <f>IFERROR(IF($J88&gt;0,INDEX('Invullen groen'!$G:$G,$J88),""),"")</f>
        <v/>
      </c>
      <c r="F88" s="164">
        <f>IFERROR(IF($J88&gt;0,IF(INDEX('Invullen groen'!$H:$H,$J88)&lt;&gt;0,INDEX('Invullen groen'!$H:$H,$J88),""),""),"")</f>
        <v/>
      </c>
      <c r="G88" s="164">
        <f>IFERROR(IF($J88&gt;0,IF(INDEX('Invullen groen'!$I:$I,$J88)&lt;&gt;0,INDEX('Invullen groen'!$I:$I,$J88),""),""),"")</f>
        <v/>
      </c>
      <c r="H88" s="164">
        <f>IFERROR(IF($J88&gt;0,IF(INDEX('Invullen groen'!$J:$J,$J88)&lt;&gt;0,INDEX('Invullen groen'!$J:$J,$J88),""),""),"")</f>
        <v/>
      </c>
      <c r="I88" s="164">
        <f>IFERROR(IF($J88&gt;0,IF(INDEX('Invullen groen'!$K:$K,$J88)&lt;&gt;0,INDEX('Invullen groen'!$K:$K,$J88),""),""),"")</f>
        <v/>
      </c>
      <c r="J88" s="83">
        <f>IFERROR(MATCH(ROW()-4,'Invullen groen'!$P$17:$P$272,0)+16,0)</f>
        <v/>
      </c>
    </row>
    <row r="89" hidden="1" ht="15" customHeight="1" s="402">
      <c r="A89" s="161">
        <f>IFERROR(IF($J89&gt;0,ROW()-4,""),"")</f>
        <v/>
      </c>
      <c r="B89" s="161">
        <f>IFERROR(IF($J89&gt;0,INDEX('Invullen groen'!$A:$A,$J89),""),"")</f>
        <v/>
      </c>
      <c r="C89" s="161">
        <f>IFERROR(IF($J89&gt;0,INDEX('Invullen groen'!$C:$C,$J89),""),"")</f>
        <v/>
      </c>
      <c r="D89" s="161">
        <f>IFERROR(IF($J89&gt;0,INDEX('Invullen groen'!$D:$D,$J89),""),"")</f>
        <v/>
      </c>
      <c r="E89" s="161">
        <f>IFERROR(IF($J89&gt;0,INDEX('Invullen groen'!$G:$G,$J89),""),"")</f>
        <v/>
      </c>
      <c r="F89" s="162">
        <f>IFERROR(IF($J89&gt;0,IF(INDEX('Invullen groen'!$H:$H,$J89)&lt;&gt;0,INDEX('Invullen groen'!$H:$H,$J89),""),""),"")</f>
        <v/>
      </c>
      <c r="G89" s="162">
        <f>IFERROR(IF($J89&gt;0,IF(INDEX('Invullen groen'!$I:$I,$J89)&lt;&gt;0,INDEX('Invullen groen'!$I:$I,$J89),""),""),"")</f>
        <v/>
      </c>
      <c r="H89" s="162">
        <f>IFERROR(IF($J89&gt;0,IF(INDEX('Invullen groen'!$J:$J,$J89)&lt;&gt;0,INDEX('Invullen groen'!$J:$J,$J89),""),""),"")</f>
        <v/>
      </c>
      <c r="I89" s="162">
        <f>IFERROR(IF($J89&gt;0,IF(INDEX('Invullen groen'!$K:$K,$J89)&lt;&gt;0,INDEX('Invullen groen'!$K:$K,$J89),""),""),"")</f>
        <v/>
      </c>
      <c r="J89" s="83">
        <f>IFERROR(MATCH(ROW()-4,'Invullen groen'!$P$17:$P$272,0)+16,0)</f>
        <v/>
      </c>
    </row>
    <row r="90" hidden="1" ht="15" customHeight="1" s="402">
      <c r="A90" s="163">
        <f>IFERROR(IF($J90&gt;0,ROW()-4,""),"")</f>
        <v/>
      </c>
      <c r="B90" s="163">
        <f>IFERROR(IF($J90&gt;0,INDEX('Invullen groen'!$A:$A,$J90),""),"")</f>
        <v/>
      </c>
      <c r="C90" s="163">
        <f>IFERROR(IF($J90&gt;0,INDEX('Invullen groen'!$C:$C,$J90),""),"")</f>
        <v/>
      </c>
      <c r="D90" s="163">
        <f>IFERROR(IF($J90&gt;0,INDEX('Invullen groen'!$D:$D,$J90),""),"")</f>
        <v/>
      </c>
      <c r="E90" s="163">
        <f>IFERROR(IF($J90&gt;0,INDEX('Invullen groen'!$G:$G,$J90),""),"")</f>
        <v/>
      </c>
      <c r="F90" s="164">
        <f>IFERROR(IF($J90&gt;0,IF(INDEX('Invullen groen'!$H:$H,$J90)&lt;&gt;0,INDEX('Invullen groen'!$H:$H,$J90),""),""),"")</f>
        <v/>
      </c>
      <c r="G90" s="164">
        <f>IFERROR(IF($J90&gt;0,IF(INDEX('Invullen groen'!$I:$I,$J90)&lt;&gt;0,INDEX('Invullen groen'!$I:$I,$J90),""),""),"")</f>
        <v/>
      </c>
      <c r="H90" s="164">
        <f>IFERROR(IF($J90&gt;0,IF(INDEX('Invullen groen'!$J:$J,$J90)&lt;&gt;0,INDEX('Invullen groen'!$J:$J,$J90),""),""),"")</f>
        <v/>
      </c>
      <c r="I90" s="164">
        <f>IFERROR(IF($J90&gt;0,IF(INDEX('Invullen groen'!$K:$K,$J90)&lt;&gt;0,INDEX('Invullen groen'!$K:$K,$J90),""),""),"")</f>
        <v/>
      </c>
      <c r="J90" s="83">
        <f>IFERROR(MATCH(ROW()-4,'Invullen groen'!$P$17:$P$272,0)+16,0)</f>
        <v/>
      </c>
    </row>
    <row r="91" hidden="1" ht="15" customHeight="1" s="402">
      <c r="A91" s="161">
        <f>IFERROR(IF($J91&gt;0,ROW()-4,""),"")</f>
        <v/>
      </c>
      <c r="B91" s="161">
        <f>IFERROR(IF($J91&gt;0,INDEX('Invullen groen'!$A:$A,$J91),""),"")</f>
        <v/>
      </c>
      <c r="C91" s="161">
        <f>IFERROR(IF($J91&gt;0,INDEX('Invullen groen'!$C:$C,$J91),""),"")</f>
        <v/>
      </c>
      <c r="D91" s="161">
        <f>IFERROR(IF($J91&gt;0,INDEX('Invullen groen'!$D:$D,$J91),""),"")</f>
        <v/>
      </c>
      <c r="E91" s="161">
        <f>IFERROR(IF($J91&gt;0,INDEX('Invullen groen'!$G:$G,$J91),""),"")</f>
        <v/>
      </c>
      <c r="F91" s="162">
        <f>IFERROR(IF($J91&gt;0,IF(INDEX('Invullen groen'!$H:$H,$J91)&lt;&gt;0,INDEX('Invullen groen'!$H:$H,$J91),""),""),"")</f>
        <v/>
      </c>
      <c r="G91" s="162">
        <f>IFERROR(IF($J91&gt;0,IF(INDEX('Invullen groen'!$I:$I,$J91)&lt;&gt;0,INDEX('Invullen groen'!$I:$I,$J91),""),""),"")</f>
        <v/>
      </c>
      <c r="H91" s="162">
        <f>IFERROR(IF($J91&gt;0,IF(INDEX('Invullen groen'!$J:$J,$J91)&lt;&gt;0,INDEX('Invullen groen'!$J:$J,$J91),""),""),"")</f>
        <v/>
      </c>
      <c r="I91" s="162">
        <f>IFERROR(IF($J91&gt;0,IF(INDEX('Invullen groen'!$K:$K,$J91)&lt;&gt;0,INDEX('Invullen groen'!$K:$K,$J91),""),""),"")</f>
        <v/>
      </c>
      <c r="J91" s="83">
        <f>IFERROR(MATCH(ROW()-4,'Invullen groen'!$P$17:$P$272,0)+16,0)</f>
        <v/>
      </c>
    </row>
    <row r="92" hidden="1" ht="15" customHeight="1" s="402">
      <c r="A92" s="163">
        <f>IFERROR(IF($J92&gt;0,ROW()-4,""),"")</f>
        <v/>
      </c>
      <c r="B92" s="163">
        <f>IFERROR(IF($J92&gt;0,INDEX('Invullen groen'!$A:$A,$J92),""),"")</f>
        <v/>
      </c>
      <c r="C92" s="163">
        <f>IFERROR(IF($J92&gt;0,INDEX('Invullen groen'!$C:$C,$J92),""),"")</f>
        <v/>
      </c>
      <c r="D92" s="163">
        <f>IFERROR(IF($J92&gt;0,INDEX('Invullen groen'!$D:$D,$J92),""),"")</f>
        <v/>
      </c>
      <c r="E92" s="163">
        <f>IFERROR(IF($J92&gt;0,INDEX('Invullen groen'!$G:$G,$J92),""),"")</f>
        <v/>
      </c>
      <c r="F92" s="164">
        <f>IFERROR(IF($J92&gt;0,IF(INDEX('Invullen groen'!$H:$H,$J92)&lt;&gt;0,INDEX('Invullen groen'!$H:$H,$J92),""),""),"")</f>
        <v/>
      </c>
      <c r="G92" s="164">
        <f>IFERROR(IF($J92&gt;0,IF(INDEX('Invullen groen'!$I:$I,$J92)&lt;&gt;0,INDEX('Invullen groen'!$I:$I,$J92),""),""),"")</f>
        <v/>
      </c>
      <c r="H92" s="164">
        <f>IFERROR(IF($J92&gt;0,IF(INDEX('Invullen groen'!$J:$J,$J92)&lt;&gt;0,INDEX('Invullen groen'!$J:$J,$J92),""),""),"")</f>
        <v/>
      </c>
      <c r="I92" s="164">
        <f>IFERROR(IF($J92&gt;0,IF(INDEX('Invullen groen'!$K:$K,$J92)&lt;&gt;0,INDEX('Invullen groen'!$K:$K,$J92),""),""),"")</f>
        <v/>
      </c>
      <c r="J92" s="83">
        <f>IFERROR(MATCH(ROW()-4,'Invullen groen'!$P$17:$P$272,0)+16,0)</f>
        <v/>
      </c>
    </row>
    <row r="93" hidden="1" ht="15" customHeight="1" s="402">
      <c r="A93" s="161">
        <f>IFERROR(IF($J93&gt;0,ROW()-4,""),"")</f>
        <v/>
      </c>
      <c r="B93" s="161">
        <f>IFERROR(IF($J93&gt;0,INDEX('Invullen groen'!$A:$A,$J93),""),"")</f>
        <v/>
      </c>
      <c r="C93" s="161">
        <f>IFERROR(IF($J93&gt;0,INDEX('Invullen groen'!$C:$C,$J93),""),"")</f>
        <v/>
      </c>
      <c r="D93" s="161">
        <f>IFERROR(IF($J93&gt;0,INDEX('Invullen groen'!$D:$D,$J93),""),"")</f>
        <v/>
      </c>
      <c r="E93" s="161">
        <f>IFERROR(IF($J93&gt;0,INDEX('Invullen groen'!$G:$G,$J93),""),"")</f>
        <v/>
      </c>
      <c r="F93" s="162">
        <f>IFERROR(IF($J93&gt;0,IF(INDEX('Invullen groen'!$H:$H,$J93)&lt;&gt;0,INDEX('Invullen groen'!$H:$H,$J93),""),""),"")</f>
        <v/>
      </c>
      <c r="G93" s="162">
        <f>IFERROR(IF($J93&gt;0,IF(INDEX('Invullen groen'!$I:$I,$J93)&lt;&gt;0,INDEX('Invullen groen'!$I:$I,$J93),""),""),"")</f>
        <v/>
      </c>
      <c r="H93" s="162">
        <f>IFERROR(IF($J93&gt;0,IF(INDEX('Invullen groen'!$J:$J,$J93)&lt;&gt;0,INDEX('Invullen groen'!$J:$J,$J93),""),""),"")</f>
        <v/>
      </c>
      <c r="I93" s="162">
        <f>IFERROR(IF($J93&gt;0,IF(INDEX('Invullen groen'!$K:$K,$J93)&lt;&gt;0,INDEX('Invullen groen'!$K:$K,$J93),""),""),"")</f>
        <v/>
      </c>
      <c r="J93" s="83">
        <f>IFERROR(MATCH(ROW()-4,'Invullen groen'!$P$17:$P$272,0)+16,0)</f>
        <v/>
      </c>
    </row>
    <row r="94" hidden="1" ht="15" customHeight="1" s="402">
      <c r="A94" s="163">
        <f>IFERROR(IF($J94&gt;0,ROW()-4,""),"")</f>
        <v/>
      </c>
      <c r="B94" s="163">
        <f>IFERROR(IF($J94&gt;0,INDEX('Invullen groen'!$A:$A,$J94),""),"")</f>
        <v/>
      </c>
      <c r="C94" s="163">
        <f>IFERROR(IF($J94&gt;0,INDEX('Invullen groen'!$C:$C,$J94),""),"")</f>
        <v/>
      </c>
      <c r="D94" s="163">
        <f>IFERROR(IF($J94&gt;0,INDEX('Invullen groen'!$D:$D,$J94),""),"")</f>
        <v/>
      </c>
      <c r="E94" s="163">
        <f>IFERROR(IF($J94&gt;0,INDEX('Invullen groen'!$G:$G,$J94),""),"")</f>
        <v/>
      </c>
      <c r="F94" s="164">
        <f>IFERROR(IF($J94&gt;0,IF(INDEX('Invullen groen'!$H:$H,$J94)&lt;&gt;0,INDEX('Invullen groen'!$H:$H,$J94),""),""),"")</f>
        <v/>
      </c>
      <c r="G94" s="164">
        <f>IFERROR(IF($J94&gt;0,IF(INDEX('Invullen groen'!$I:$I,$J94)&lt;&gt;0,INDEX('Invullen groen'!$I:$I,$J94),""),""),"")</f>
        <v/>
      </c>
      <c r="H94" s="164">
        <f>IFERROR(IF($J94&gt;0,IF(INDEX('Invullen groen'!$J:$J,$J94)&lt;&gt;0,INDEX('Invullen groen'!$J:$J,$J94),""),""),"")</f>
        <v/>
      </c>
      <c r="I94" s="164">
        <f>IFERROR(IF($J94&gt;0,IF(INDEX('Invullen groen'!$K:$K,$J94)&lt;&gt;0,INDEX('Invullen groen'!$K:$K,$J94),""),""),"")</f>
        <v/>
      </c>
      <c r="J94" s="83">
        <f>IFERROR(MATCH(ROW()-4,'Invullen groen'!$P$17:$P$272,0)+16,0)</f>
        <v/>
      </c>
    </row>
    <row r="95" hidden="1" ht="15" customHeight="1" s="402">
      <c r="A95" s="161">
        <f>IFERROR(IF($J95&gt;0,ROW()-4,""),"")</f>
        <v/>
      </c>
      <c r="B95" s="161">
        <f>IFERROR(IF($J95&gt;0,INDEX('Invullen groen'!$A:$A,$J95),""),"")</f>
        <v/>
      </c>
      <c r="C95" s="161">
        <f>IFERROR(IF($J95&gt;0,INDEX('Invullen groen'!$C:$C,$J95),""),"")</f>
        <v/>
      </c>
      <c r="D95" s="161">
        <f>IFERROR(IF($J95&gt;0,INDEX('Invullen groen'!$D:$D,$J95),""),"")</f>
        <v/>
      </c>
      <c r="E95" s="161">
        <f>IFERROR(IF($J95&gt;0,INDEX('Invullen groen'!$G:$G,$J95),""),"")</f>
        <v/>
      </c>
      <c r="F95" s="162">
        <f>IFERROR(IF($J95&gt;0,IF(INDEX('Invullen groen'!$H:$H,$J95)&lt;&gt;0,INDEX('Invullen groen'!$H:$H,$J95),""),""),"")</f>
        <v/>
      </c>
      <c r="G95" s="162">
        <f>IFERROR(IF($J95&gt;0,IF(INDEX('Invullen groen'!$I:$I,$J95)&lt;&gt;0,INDEX('Invullen groen'!$I:$I,$J95),""),""),"")</f>
        <v/>
      </c>
      <c r="H95" s="162">
        <f>IFERROR(IF($J95&gt;0,IF(INDEX('Invullen groen'!$J:$J,$J95)&lt;&gt;0,INDEX('Invullen groen'!$J:$J,$J95),""),""),"")</f>
        <v/>
      </c>
      <c r="I95" s="162">
        <f>IFERROR(IF($J95&gt;0,IF(INDEX('Invullen groen'!$K:$K,$J95)&lt;&gt;0,INDEX('Invullen groen'!$K:$K,$J95),""),""),"")</f>
        <v/>
      </c>
      <c r="J95" s="83">
        <f>IFERROR(MATCH(ROW()-4,'Invullen groen'!$P$17:$P$272,0)+16,0)</f>
        <v/>
      </c>
    </row>
    <row r="96" hidden="1" ht="15" customHeight="1" s="402">
      <c r="A96" s="163">
        <f>IFERROR(IF($J96&gt;0,ROW()-4,""),"")</f>
        <v/>
      </c>
      <c r="B96" s="163">
        <f>IFERROR(IF($J96&gt;0,INDEX('Invullen groen'!$A:$A,$J96),""),"")</f>
        <v/>
      </c>
      <c r="C96" s="163">
        <f>IFERROR(IF($J96&gt;0,INDEX('Invullen groen'!$C:$C,$J96),""),"")</f>
        <v/>
      </c>
      <c r="D96" s="163">
        <f>IFERROR(IF($J96&gt;0,INDEX('Invullen groen'!$D:$D,$J96),""),"")</f>
        <v/>
      </c>
      <c r="E96" s="163">
        <f>IFERROR(IF($J96&gt;0,INDEX('Invullen groen'!$G:$G,$J96),""),"")</f>
        <v/>
      </c>
      <c r="F96" s="164">
        <f>IFERROR(IF($J96&gt;0,IF(INDEX('Invullen groen'!$H:$H,$J96)&lt;&gt;0,INDEX('Invullen groen'!$H:$H,$J96),""),""),"")</f>
        <v/>
      </c>
      <c r="G96" s="164">
        <f>IFERROR(IF($J96&gt;0,IF(INDEX('Invullen groen'!$I:$I,$J96)&lt;&gt;0,INDEX('Invullen groen'!$I:$I,$J96),""),""),"")</f>
        <v/>
      </c>
      <c r="H96" s="164">
        <f>IFERROR(IF($J96&gt;0,IF(INDEX('Invullen groen'!$J:$J,$J96)&lt;&gt;0,INDEX('Invullen groen'!$J:$J,$J96),""),""),"")</f>
        <v/>
      </c>
      <c r="I96" s="164">
        <f>IFERROR(IF($J96&gt;0,IF(INDEX('Invullen groen'!$K:$K,$J96)&lt;&gt;0,INDEX('Invullen groen'!$K:$K,$J96),""),""),"")</f>
        <v/>
      </c>
      <c r="J96" s="83">
        <f>IFERROR(MATCH(ROW()-4,'Invullen groen'!$P$17:$P$272,0)+16,0)</f>
        <v/>
      </c>
    </row>
    <row r="97" hidden="1" ht="15" customHeight="1" s="402">
      <c r="A97" s="161">
        <f>IFERROR(IF($J97&gt;0,ROW()-4,""),"")</f>
        <v/>
      </c>
      <c r="B97" s="161">
        <f>IFERROR(IF($J97&gt;0,INDEX('Invullen groen'!$A:$A,$J97),""),"")</f>
        <v/>
      </c>
      <c r="C97" s="161">
        <f>IFERROR(IF($J97&gt;0,INDEX('Invullen groen'!$C:$C,$J97),""),"")</f>
        <v/>
      </c>
      <c r="D97" s="161">
        <f>IFERROR(IF($J97&gt;0,INDEX('Invullen groen'!$D:$D,$J97),""),"")</f>
        <v/>
      </c>
      <c r="E97" s="161">
        <f>IFERROR(IF($J97&gt;0,INDEX('Invullen groen'!$G:$G,$J97),""),"")</f>
        <v/>
      </c>
      <c r="F97" s="162">
        <f>IFERROR(IF($J97&gt;0,IF(INDEX('Invullen groen'!$H:$H,$J97)&lt;&gt;0,INDEX('Invullen groen'!$H:$H,$J97),""),""),"")</f>
        <v/>
      </c>
      <c r="G97" s="162">
        <f>IFERROR(IF($J97&gt;0,IF(INDEX('Invullen groen'!$I:$I,$J97)&lt;&gt;0,INDEX('Invullen groen'!$I:$I,$J97),""),""),"")</f>
        <v/>
      </c>
      <c r="H97" s="162">
        <f>IFERROR(IF($J97&gt;0,IF(INDEX('Invullen groen'!$J:$J,$J97)&lt;&gt;0,INDEX('Invullen groen'!$J:$J,$J97),""),""),"")</f>
        <v/>
      </c>
      <c r="I97" s="162">
        <f>IFERROR(IF($J97&gt;0,IF(INDEX('Invullen groen'!$K:$K,$J97)&lt;&gt;0,INDEX('Invullen groen'!$K:$K,$J97),""),""),"")</f>
        <v/>
      </c>
      <c r="J97" s="83">
        <f>IFERROR(MATCH(ROW()-4,'Invullen groen'!$P$17:$P$272,0)+16,0)</f>
        <v/>
      </c>
    </row>
    <row r="98" hidden="1" ht="15" customHeight="1" s="402">
      <c r="A98" s="163">
        <f>IFERROR(IF($J98&gt;0,ROW()-4,""),"")</f>
        <v/>
      </c>
      <c r="B98" s="163">
        <f>IFERROR(IF($J98&gt;0,INDEX('Invullen groen'!$A:$A,$J98),""),"")</f>
        <v/>
      </c>
      <c r="C98" s="163">
        <f>IFERROR(IF($J98&gt;0,INDEX('Invullen groen'!$C:$C,$J98),""),"")</f>
        <v/>
      </c>
      <c r="D98" s="163">
        <f>IFERROR(IF($J98&gt;0,INDEX('Invullen groen'!$D:$D,$J98),""),"")</f>
        <v/>
      </c>
      <c r="E98" s="163">
        <f>IFERROR(IF($J98&gt;0,INDEX('Invullen groen'!$G:$G,$J98),""),"")</f>
        <v/>
      </c>
      <c r="F98" s="164">
        <f>IFERROR(IF($J98&gt;0,IF(INDEX('Invullen groen'!$H:$H,$J98)&lt;&gt;0,INDEX('Invullen groen'!$H:$H,$J98),""),""),"")</f>
        <v/>
      </c>
      <c r="G98" s="164">
        <f>IFERROR(IF($J98&gt;0,IF(INDEX('Invullen groen'!$I:$I,$J98)&lt;&gt;0,INDEX('Invullen groen'!$I:$I,$J98),""),""),"")</f>
        <v/>
      </c>
      <c r="H98" s="164">
        <f>IFERROR(IF($J98&gt;0,IF(INDEX('Invullen groen'!$J:$J,$J98)&lt;&gt;0,INDEX('Invullen groen'!$J:$J,$J98),""),""),"")</f>
        <v/>
      </c>
      <c r="I98" s="164">
        <f>IFERROR(IF($J98&gt;0,IF(INDEX('Invullen groen'!$K:$K,$J98)&lt;&gt;0,INDEX('Invullen groen'!$K:$K,$J98),""),""),"")</f>
        <v/>
      </c>
      <c r="J98" s="83">
        <f>IFERROR(MATCH(ROW()-4,'Invullen groen'!$P$17:$P$272,0)+16,0)</f>
        <v/>
      </c>
    </row>
    <row r="99" hidden="1" ht="15" customHeight="1" s="402">
      <c r="A99" s="161">
        <f>IFERROR(IF($J99&gt;0,ROW()-4,""),"")</f>
        <v/>
      </c>
      <c r="B99" s="161">
        <f>IFERROR(IF($J99&gt;0,INDEX('Invullen groen'!$A:$A,$J99),""),"")</f>
        <v/>
      </c>
      <c r="C99" s="161">
        <f>IFERROR(IF($J99&gt;0,INDEX('Invullen groen'!$C:$C,$J99),""),"")</f>
        <v/>
      </c>
      <c r="D99" s="161">
        <f>IFERROR(IF($J99&gt;0,INDEX('Invullen groen'!$D:$D,$J99),""),"")</f>
        <v/>
      </c>
      <c r="E99" s="161">
        <f>IFERROR(IF($J99&gt;0,INDEX('Invullen groen'!$G:$G,$J99),""),"")</f>
        <v/>
      </c>
      <c r="F99" s="162">
        <f>IFERROR(IF($J99&gt;0,IF(INDEX('Invullen groen'!$H:$H,$J99)&lt;&gt;0,INDEX('Invullen groen'!$H:$H,$J99),""),""),"")</f>
        <v/>
      </c>
      <c r="G99" s="162">
        <f>IFERROR(IF($J99&gt;0,IF(INDEX('Invullen groen'!$I:$I,$J99)&lt;&gt;0,INDEX('Invullen groen'!$I:$I,$J99),""),""),"")</f>
        <v/>
      </c>
      <c r="H99" s="162">
        <f>IFERROR(IF($J99&gt;0,IF(INDEX('Invullen groen'!$J:$J,$J99)&lt;&gt;0,INDEX('Invullen groen'!$J:$J,$J99),""),""),"")</f>
        <v/>
      </c>
      <c r="I99" s="162">
        <f>IFERROR(IF($J99&gt;0,IF(INDEX('Invullen groen'!$K:$K,$J99)&lt;&gt;0,INDEX('Invullen groen'!$K:$K,$J99),""),""),"")</f>
        <v/>
      </c>
      <c r="J99" s="83">
        <f>IFERROR(MATCH(ROW()-4,'Invullen groen'!$P$17:$P$272,0)+16,0)</f>
        <v/>
      </c>
    </row>
    <row r="100" hidden="1" ht="15" customHeight="1" s="402">
      <c r="A100" s="163">
        <f>IFERROR(IF($J100&gt;0,ROW()-4,""),"")</f>
        <v/>
      </c>
      <c r="B100" s="163">
        <f>IFERROR(IF($J100&gt;0,INDEX('Invullen groen'!$A:$A,$J100),""),"")</f>
        <v/>
      </c>
      <c r="C100" s="163">
        <f>IFERROR(IF($J100&gt;0,INDEX('Invullen groen'!$C:$C,$J100),""),"")</f>
        <v/>
      </c>
      <c r="D100" s="163">
        <f>IFERROR(IF($J100&gt;0,INDEX('Invullen groen'!$D:$D,$J100),""),"")</f>
        <v/>
      </c>
      <c r="E100" s="163">
        <f>IFERROR(IF($J100&gt;0,INDEX('Invullen groen'!$G:$G,$J100),""),"")</f>
        <v/>
      </c>
      <c r="F100" s="164">
        <f>IFERROR(IF($J100&gt;0,IF(INDEX('Invullen groen'!$H:$H,$J100)&lt;&gt;0,INDEX('Invullen groen'!$H:$H,$J100),""),""),"")</f>
        <v/>
      </c>
      <c r="G100" s="164">
        <f>IFERROR(IF($J100&gt;0,IF(INDEX('Invullen groen'!$I:$I,$J100)&lt;&gt;0,INDEX('Invullen groen'!$I:$I,$J100),""),""),"")</f>
        <v/>
      </c>
      <c r="H100" s="164">
        <f>IFERROR(IF($J100&gt;0,IF(INDEX('Invullen groen'!$J:$J,$J100)&lt;&gt;0,INDEX('Invullen groen'!$J:$J,$J100),""),""),"")</f>
        <v/>
      </c>
      <c r="I100" s="164">
        <f>IFERROR(IF($J100&gt;0,IF(INDEX('Invullen groen'!$K:$K,$J100)&lt;&gt;0,INDEX('Invullen groen'!$K:$K,$J100),""),""),"")</f>
        <v/>
      </c>
      <c r="J100" s="83">
        <f>IFERROR(MATCH(ROW()-4,'Invullen groen'!$P$17:$P$272,0)+16,0)</f>
        <v/>
      </c>
    </row>
    <row r="101" hidden="1" ht="15" customHeight="1" s="402">
      <c r="A101" s="161">
        <f>IFERROR(IF($J101&gt;0,ROW()-4,""),"")</f>
        <v/>
      </c>
      <c r="B101" s="161">
        <f>IFERROR(IF($J101&gt;0,INDEX('Invullen groen'!$A:$A,$J101),""),"")</f>
        <v/>
      </c>
      <c r="C101" s="161">
        <f>IFERROR(IF($J101&gt;0,INDEX('Invullen groen'!$C:$C,$J101),""),"")</f>
        <v/>
      </c>
      <c r="D101" s="161">
        <f>IFERROR(IF($J101&gt;0,INDEX('Invullen groen'!$D:$D,$J101),""),"")</f>
        <v/>
      </c>
      <c r="E101" s="161">
        <f>IFERROR(IF($J101&gt;0,INDEX('Invullen groen'!$G:$G,$J101),""),"")</f>
        <v/>
      </c>
      <c r="F101" s="162">
        <f>IFERROR(IF($J101&gt;0,IF(INDEX('Invullen groen'!$H:$H,$J101)&lt;&gt;0,INDEX('Invullen groen'!$H:$H,$J101),""),""),"")</f>
        <v/>
      </c>
      <c r="G101" s="162">
        <f>IFERROR(IF($J101&gt;0,IF(INDEX('Invullen groen'!$I:$I,$J101)&lt;&gt;0,INDEX('Invullen groen'!$I:$I,$J101),""),""),"")</f>
        <v/>
      </c>
      <c r="H101" s="162">
        <f>IFERROR(IF($J101&gt;0,IF(INDEX('Invullen groen'!$J:$J,$J101)&lt;&gt;0,INDEX('Invullen groen'!$J:$J,$J101),""),""),"")</f>
        <v/>
      </c>
      <c r="I101" s="162">
        <f>IFERROR(IF($J101&gt;0,IF(INDEX('Invullen groen'!$K:$K,$J101)&lt;&gt;0,INDEX('Invullen groen'!$K:$K,$J101),""),""),"")</f>
        <v/>
      </c>
      <c r="J101" s="83">
        <f>IFERROR(MATCH(ROW()-4,'Invullen groen'!$P$17:$P$272,0)+16,0)</f>
        <v/>
      </c>
    </row>
    <row r="102" hidden="1" ht="15" customHeight="1" s="402">
      <c r="A102" s="163">
        <f>IFERROR(IF($J102&gt;0,ROW()-4,""),"")</f>
        <v/>
      </c>
      <c r="B102" s="163">
        <f>IFERROR(IF($J102&gt;0,INDEX('Invullen groen'!$A:$A,$J102),""),"")</f>
        <v/>
      </c>
      <c r="C102" s="163">
        <f>IFERROR(IF($J102&gt;0,INDEX('Invullen groen'!$C:$C,$J102),""),"")</f>
        <v/>
      </c>
      <c r="D102" s="163">
        <f>IFERROR(IF($J102&gt;0,INDEX('Invullen groen'!$D:$D,$J102),""),"")</f>
        <v/>
      </c>
      <c r="E102" s="163">
        <f>IFERROR(IF($J102&gt;0,INDEX('Invullen groen'!$G:$G,$J102),""),"")</f>
        <v/>
      </c>
      <c r="F102" s="164">
        <f>IFERROR(IF($J102&gt;0,IF(INDEX('Invullen groen'!$H:$H,$J102)&lt;&gt;0,INDEX('Invullen groen'!$H:$H,$J102),""),""),"")</f>
        <v/>
      </c>
      <c r="G102" s="164">
        <f>IFERROR(IF($J102&gt;0,IF(INDEX('Invullen groen'!$I:$I,$J102)&lt;&gt;0,INDEX('Invullen groen'!$I:$I,$J102),""),""),"")</f>
        <v/>
      </c>
      <c r="H102" s="164">
        <f>IFERROR(IF($J102&gt;0,IF(INDEX('Invullen groen'!$J:$J,$J102)&lt;&gt;0,INDEX('Invullen groen'!$J:$J,$J102),""),""),"")</f>
        <v/>
      </c>
      <c r="I102" s="164">
        <f>IFERROR(IF($J102&gt;0,IF(INDEX('Invullen groen'!$K:$K,$J102)&lt;&gt;0,INDEX('Invullen groen'!$K:$K,$J102),""),""),"")</f>
        <v/>
      </c>
      <c r="J102" s="83">
        <f>IFERROR(MATCH(ROW()-4,'Invullen groen'!$P$17:$P$272,0)+16,0)</f>
        <v/>
      </c>
    </row>
    <row r="103" hidden="1" ht="15" customHeight="1" s="402">
      <c r="A103" s="161">
        <f>IFERROR(IF($J103&gt;0,ROW()-4,""),"")</f>
        <v/>
      </c>
      <c r="B103" s="161">
        <f>IFERROR(IF($J103&gt;0,INDEX('Invullen groen'!$A:$A,$J103),""),"")</f>
        <v/>
      </c>
      <c r="C103" s="161">
        <f>IFERROR(IF($J103&gt;0,INDEX('Invullen groen'!$C:$C,$J103),""),"")</f>
        <v/>
      </c>
      <c r="D103" s="161">
        <f>IFERROR(IF($J103&gt;0,INDEX('Invullen groen'!$D:$D,$J103),""),"")</f>
        <v/>
      </c>
      <c r="E103" s="161">
        <f>IFERROR(IF($J103&gt;0,INDEX('Invullen groen'!$G:$G,$J103),""),"")</f>
        <v/>
      </c>
      <c r="F103" s="162">
        <f>IFERROR(IF($J103&gt;0,IF(INDEX('Invullen groen'!$H:$H,$J103)&lt;&gt;0,INDEX('Invullen groen'!$H:$H,$J103),""),""),"")</f>
        <v/>
      </c>
      <c r="G103" s="162">
        <f>IFERROR(IF($J103&gt;0,IF(INDEX('Invullen groen'!$I:$I,$J103)&lt;&gt;0,INDEX('Invullen groen'!$I:$I,$J103),""),""),"")</f>
        <v/>
      </c>
      <c r="H103" s="162">
        <f>IFERROR(IF($J103&gt;0,IF(INDEX('Invullen groen'!$J:$J,$J103)&lt;&gt;0,INDEX('Invullen groen'!$J:$J,$J103),""),""),"")</f>
        <v/>
      </c>
      <c r="I103" s="162">
        <f>IFERROR(IF($J103&gt;0,IF(INDEX('Invullen groen'!$K:$K,$J103)&lt;&gt;0,INDEX('Invullen groen'!$K:$K,$J103),""),""),"")</f>
        <v/>
      </c>
      <c r="J103" s="83">
        <f>IFERROR(MATCH(ROW()-4,'Invullen groen'!$P$17:$P$272,0)+16,0)</f>
        <v/>
      </c>
    </row>
    <row r="104" hidden="1" ht="15" customHeight="1" s="402">
      <c r="A104" s="163">
        <f>IFERROR(IF($J104&gt;0,ROW()-4,""),"")</f>
        <v/>
      </c>
      <c r="B104" s="163">
        <f>IFERROR(IF($J104&gt;0,INDEX('Invullen groen'!$A:$A,$J104),""),"")</f>
        <v/>
      </c>
      <c r="C104" s="163">
        <f>IFERROR(IF($J104&gt;0,INDEX('Invullen groen'!$C:$C,$J104),""),"")</f>
        <v/>
      </c>
      <c r="D104" s="163">
        <f>IFERROR(IF($J104&gt;0,INDEX('Invullen groen'!$D:$D,$J104),""),"")</f>
        <v/>
      </c>
      <c r="E104" s="163">
        <f>IFERROR(IF($J104&gt;0,INDEX('Invullen groen'!$G:$G,$J104),""),"")</f>
        <v/>
      </c>
      <c r="F104" s="164">
        <f>IFERROR(IF($J104&gt;0,IF(INDEX('Invullen groen'!$H:$H,$J104)&lt;&gt;0,INDEX('Invullen groen'!$H:$H,$J104),""),""),"")</f>
        <v/>
      </c>
      <c r="G104" s="164">
        <f>IFERROR(IF($J104&gt;0,IF(INDEX('Invullen groen'!$I:$I,$J104)&lt;&gt;0,INDEX('Invullen groen'!$I:$I,$J104),""),""),"")</f>
        <v/>
      </c>
      <c r="H104" s="164">
        <f>IFERROR(IF($J104&gt;0,IF(INDEX('Invullen groen'!$J:$J,$J104)&lt;&gt;0,INDEX('Invullen groen'!$J:$J,$J104),""),""),"")</f>
        <v/>
      </c>
      <c r="I104" s="164">
        <f>IFERROR(IF($J104&gt;0,IF(INDEX('Invullen groen'!$K:$K,$J104)&lt;&gt;0,INDEX('Invullen groen'!$K:$K,$J104),""),""),"")</f>
        <v/>
      </c>
      <c r="J104" s="83">
        <f>IFERROR(MATCH(ROW()-4,'Invullen groen'!$P$17:$P$272,0)+16,0)</f>
        <v/>
      </c>
    </row>
    <row r="105" hidden="1" ht="15" customHeight="1" s="402">
      <c r="A105" s="161">
        <f>IFERROR(IF($J105&gt;0,ROW()-4,""),"")</f>
        <v/>
      </c>
      <c r="B105" s="161">
        <f>IFERROR(IF($J105&gt;0,INDEX('Invullen groen'!$A:$A,$J105),""),"")</f>
        <v/>
      </c>
      <c r="C105" s="161">
        <f>IFERROR(IF($J105&gt;0,INDEX('Invullen groen'!$C:$C,$J105),""),"")</f>
        <v/>
      </c>
      <c r="D105" s="161">
        <f>IFERROR(IF($J105&gt;0,INDEX('Invullen groen'!$D:$D,$J105),""),"")</f>
        <v/>
      </c>
      <c r="E105" s="161">
        <f>IFERROR(IF($J105&gt;0,INDEX('Invullen groen'!$G:$G,$J105),""),"")</f>
        <v/>
      </c>
      <c r="F105" s="162">
        <f>IFERROR(IF($J105&gt;0,IF(INDEX('Invullen groen'!$H:$H,$J105)&lt;&gt;0,INDEX('Invullen groen'!$H:$H,$J105),""),""),"")</f>
        <v/>
      </c>
      <c r="G105" s="162">
        <f>IFERROR(IF($J105&gt;0,IF(INDEX('Invullen groen'!$I:$I,$J105)&lt;&gt;0,INDEX('Invullen groen'!$I:$I,$J105),""),""),"")</f>
        <v/>
      </c>
      <c r="H105" s="162">
        <f>IFERROR(IF($J105&gt;0,IF(INDEX('Invullen groen'!$J:$J,$J105)&lt;&gt;0,INDEX('Invullen groen'!$J:$J,$J105),""),""),"")</f>
        <v/>
      </c>
      <c r="I105" s="162">
        <f>IFERROR(IF($J105&gt;0,IF(INDEX('Invullen groen'!$K:$K,$J105)&lt;&gt;0,INDEX('Invullen groen'!$K:$K,$J105),""),""),"")</f>
        <v/>
      </c>
      <c r="J105" s="83">
        <f>IFERROR(MATCH(ROW()-4,'Invullen groen'!$P$17:$P$272,0)+16,0)</f>
        <v/>
      </c>
    </row>
    <row r="106" hidden="1" ht="15" customHeight="1" s="402">
      <c r="A106" s="163">
        <f>IFERROR(IF($J106&gt;0,ROW()-4,""),"")</f>
        <v/>
      </c>
      <c r="B106" s="163">
        <f>IFERROR(IF($J106&gt;0,INDEX('Invullen groen'!$A:$A,$J106),""),"")</f>
        <v/>
      </c>
      <c r="C106" s="163">
        <f>IFERROR(IF($J106&gt;0,INDEX('Invullen groen'!$C:$C,$J106),""),"")</f>
        <v/>
      </c>
      <c r="D106" s="163">
        <f>IFERROR(IF($J106&gt;0,INDEX('Invullen groen'!$D:$D,$J106),""),"")</f>
        <v/>
      </c>
      <c r="E106" s="163">
        <f>IFERROR(IF($J106&gt;0,INDEX('Invullen groen'!$G:$G,$J106),""),"")</f>
        <v/>
      </c>
      <c r="F106" s="164">
        <f>IFERROR(IF($J106&gt;0,IF(INDEX('Invullen groen'!$H:$H,$J106)&lt;&gt;0,INDEX('Invullen groen'!$H:$H,$J106),""),""),"")</f>
        <v/>
      </c>
      <c r="G106" s="164">
        <f>IFERROR(IF($J106&gt;0,IF(INDEX('Invullen groen'!$I:$I,$J106)&lt;&gt;0,INDEX('Invullen groen'!$I:$I,$J106),""),""),"")</f>
        <v/>
      </c>
      <c r="H106" s="164">
        <f>IFERROR(IF($J106&gt;0,IF(INDEX('Invullen groen'!$J:$J,$J106)&lt;&gt;0,INDEX('Invullen groen'!$J:$J,$J106),""),""),"")</f>
        <v/>
      </c>
      <c r="I106" s="164">
        <f>IFERROR(IF($J106&gt;0,IF(INDEX('Invullen groen'!$K:$K,$J106)&lt;&gt;0,INDEX('Invullen groen'!$K:$K,$J106),""),""),"")</f>
        <v/>
      </c>
      <c r="J106" s="83">
        <f>IFERROR(MATCH(ROW()-4,'Invullen groen'!$P$17:$P$272,0)+16,0)</f>
        <v/>
      </c>
    </row>
    <row r="107" hidden="1" ht="15" customHeight="1" s="402">
      <c r="A107" s="161">
        <f>IFERROR(IF($J107&gt;0,ROW()-4,""),"")</f>
        <v/>
      </c>
      <c r="B107" s="161">
        <f>IFERROR(IF($J107&gt;0,INDEX('Invullen groen'!$A:$A,$J107),""),"")</f>
        <v/>
      </c>
      <c r="C107" s="161">
        <f>IFERROR(IF($J107&gt;0,INDEX('Invullen groen'!$C:$C,$J107),""),"")</f>
        <v/>
      </c>
      <c r="D107" s="161">
        <f>IFERROR(IF($J107&gt;0,INDEX('Invullen groen'!$D:$D,$J107),""),"")</f>
        <v/>
      </c>
      <c r="E107" s="161">
        <f>IFERROR(IF($J107&gt;0,INDEX('Invullen groen'!$G:$G,$J107),""),"")</f>
        <v/>
      </c>
      <c r="F107" s="162">
        <f>IFERROR(IF($J107&gt;0,IF(INDEX('Invullen groen'!$H:$H,$J107)&lt;&gt;0,INDEX('Invullen groen'!$H:$H,$J107),""),""),"")</f>
        <v/>
      </c>
      <c r="G107" s="162">
        <f>IFERROR(IF($J107&gt;0,IF(INDEX('Invullen groen'!$I:$I,$J107)&lt;&gt;0,INDEX('Invullen groen'!$I:$I,$J107),""),""),"")</f>
        <v/>
      </c>
      <c r="H107" s="162">
        <f>IFERROR(IF($J107&gt;0,IF(INDEX('Invullen groen'!$J:$J,$J107)&lt;&gt;0,INDEX('Invullen groen'!$J:$J,$J107),""),""),"")</f>
        <v/>
      </c>
      <c r="I107" s="162">
        <f>IFERROR(IF($J107&gt;0,IF(INDEX('Invullen groen'!$K:$K,$J107)&lt;&gt;0,INDEX('Invullen groen'!$K:$K,$J107),""),""),"")</f>
        <v/>
      </c>
      <c r="J107" s="83">
        <f>IFERROR(MATCH(ROW()-4,'Invullen groen'!$P$17:$P$272,0)+16,0)</f>
        <v/>
      </c>
    </row>
    <row r="108" hidden="1" ht="15" customHeight="1" s="402">
      <c r="A108" s="163">
        <f>IFERROR(IF($J108&gt;0,ROW()-4,""),"")</f>
        <v/>
      </c>
      <c r="B108" s="163">
        <f>IFERROR(IF($J108&gt;0,INDEX('Invullen groen'!$A:$A,$J108),""),"")</f>
        <v/>
      </c>
      <c r="C108" s="163">
        <f>IFERROR(IF($J108&gt;0,INDEX('Invullen groen'!$C:$C,$J108),""),"")</f>
        <v/>
      </c>
      <c r="D108" s="163">
        <f>IFERROR(IF($J108&gt;0,INDEX('Invullen groen'!$D:$D,$J108),""),"")</f>
        <v/>
      </c>
      <c r="E108" s="163">
        <f>IFERROR(IF($J108&gt;0,INDEX('Invullen groen'!$G:$G,$J108),""),"")</f>
        <v/>
      </c>
      <c r="F108" s="164">
        <f>IFERROR(IF($J108&gt;0,IF(INDEX('Invullen groen'!$H:$H,$J108)&lt;&gt;0,INDEX('Invullen groen'!$H:$H,$J108),""),""),"")</f>
        <v/>
      </c>
      <c r="G108" s="164">
        <f>IFERROR(IF($J108&gt;0,IF(INDEX('Invullen groen'!$I:$I,$J108)&lt;&gt;0,INDEX('Invullen groen'!$I:$I,$J108),""),""),"")</f>
        <v/>
      </c>
      <c r="H108" s="164">
        <f>IFERROR(IF($J108&gt;0,IF(INDEX('Invullen groen'!$J:$J,$J108)&lt;&gt;0,INDEX('Invullen groen'!$J:$J,$J108),""),""),"")</f>
        <v/>
      </c>
      <c r="I108" s="164">
        <f>IFERROR(IF($J108&gt;0,IF(INDEX('Invullen groen'!$K:$K,$J108)&lt;&gt;0,INDEX('Invullen groen'!$K:$K,$J108),""),""),"")</f>
        <v/>
      </c>
      <c r="J108" s="83">
        <f>IFERROR(MATCH(ROW()-4,'Invullen groen'!$P$17:$P$272,0)+16,0)</f>
        <v/>
      </c>
    </row>
    <row r="109" hidden="1" ht="15" customHeight="1" s="402">
      <c r="A109" s="161">
        <f>IFERROR(IF($J109&gt;0,ROW()-4,""),"")</f>
        <v/>
      </c>
      <c r="B109" s="161">
        <f>IFERROR(IF($J109&gt;0,INDEX('Invullen groen'!$A:$A,$J109),""),"")</f>
        <v/>
      </c>
      <c r="C109" s="161">
        <f>IFERROR(IF($J109&gt;0,INDEX('Invullen groen'!$C:$C,$J109),""),"")</f>
        <v/>
      </c>
      <c r="D109" s="161">
        <f>IFERROR(IF($J109&gt;0,INDEX('Invullen groen'!$D:$D,$J109),""),"")</f>
        <v/>
      </c>
      <c r="E109" s="161">
        <f>IFERROR(IF($J109&gt;0,INDEX('Invullen groen'!$G:$G,$J109),""),"")</f>
        <v/>
      </c>
      <c r="F109" s="162">
        <f>IFERROR(IF($J109&gt;0,IF(INDEX('Invullen groen'!$H:$H,$J109)&lt;&gt;0,INDEX('Invullen groen'!$H:$H,$J109),""),""),"")</f>
        <v/>
      </c>
      <c r="G109" s="162">
        <f>IFERROR(IF($J109&gt;0,IF(INDEX('Invullen groen'!$I:$I,$J109)&lt;&gt;0,INDEX('Invullen groen'!$I:$I,$J109),""),""),"")</f>
        <v/>
      </c>
      <c r="H109" s="162">
        <f>IFERROR(IF($J109&gt;0,IF(INDEX('Invullen groen'!$J:$J,$J109)&lt;&gt;0,INDEX('Invullen groen'!$J:$J,$J109),""),""),"")</f>
        <v/>
      </c>
      <c r="I109" s="162">
        <f>IFERROR(IF($J109&gt;0,IF(INDEX('Invullen groen'!$K:$K,$J109)&lt;&gt;0,INDEX('Invullen groen'!$K:$K,$J109),""),""),"")</f>
        <v/>
      </c>
      <c r="J109" s="83">
        <f>IFERROR(MATCH(ROW()-4,'Invullen groen'!$P$17:$P$272,0)+16,0)</f>
        <v/>
      </c>
    </row>
    <row r="110" hidden="1" ht="15" customHeight="1" s="402">
      <c r="A110" s="163">
        <f>IFERROR(IF($J110&gt;0,ROW()-4,""),"")</f>
        <v/>
      </c>
      <c r="B110" s="163">
        <f>IFERROR(IF($J110&gt;0,INDEX('Invullen groen'!$A:$A,$J110),""),"")</f>
        <v/>
      </c>
      <c r="C110" s="163">
        <f>IFERROR(IF($J110&gt;0,INDEX('Invullen groen'!$C:$C,$J110),""),"")</f>
        <v/>
      </c>
      <c r="D110" s="163">
        <f>IFERROR(IF($J110&gt;0,INDEX('Invullen groen'!$D:$D,$J110),""),"")</f>
        <v/>
      </c>
      <c r="E110" s="163">
        <f>IFERROR(IF($J110&gt;0,INDEX('Invullen groen'!$G:$G,$J110),""),"")</f>
        <v/>
      </c>
      <c r="F110" s="164">
        <f>IFERROR(IF($J110&gt;0,IF(INDEX('Invullen groen'!$H:$H,$J110)&lt;&gt;0,INDEX('Invullen groen'!$H:$H,$J110),""),""),"")</f>
        <v/>
      </c>
      <c r="G110" s="164">
        <f>IFERROR(IF($J110&gt;0,IF(INDEX('Invullen groen'!$I:$I,$J110)&lt;&gt;0,INDEX('Invullen groen'!$I:$I,$J110),""),""),"")</f>
        <v/>
      </c>
      <c r="H110" s="164">
        <f>IFERROR(IF($J110&gt;0,IF(INDEX('Invullen groen'!$J:$J,$J110)&lt;&gt;0,INDEX('Invullen groen'!$J:$J,$J110),""),""),"")</f>
        <v/>
      </c>
      <c r="I110" s="164">
        <f>IFERROR(IF($J110&gt;0,IF(INDEX('Invullen groen'!$K:$K,$J110)&lt;&gt;0,INDEX('Invullen groen'!$K:$K,$J110),""),""),"")</f>
        <v/>
      </c>
      <c r="J110" s="83">
        <f>IFERROR(MATCH(ROW()-4,'Invullen groen'!$P$17:$P$272,0)+16,0)</f>
        <v/>
      </c>
    </row>
    <row r="111" hidden="1" ht="15" customHeight="1" s="402">
      <c r="A111" s="161">
        <f>IFERROR(IF($J111&gt;0,ROW()-4,""),"")</f>
        <v/>
      </c>
      <c r="B111" s="161">
        <f>IFERROR(IF($J111&gt;0,INDEX('Invullen groen'!$A:$A,$J111),""),"")</f>
        <v/>
      </c>
      <c r="C111" s="161">
        <f>IFERROR(IF($J111&gt;0,INDEX('Invullen groen'!$C:$C,$J111),""),"")</f>
        <v/>
      </c>
      <c r="D111" s="161">
        <f>IFERROR(IF($J111&gt;0,INDEX('Invullen groen'!$D:$D,$J111),""),"")</f>
        <v/>
      </c>
      <c r="E111" s="161">
        <f>IFERROR(IF($J111&gt;0,INDEX('Invullen groen'!$G:$G,$J111),""),"")</f>
        <v/>
      </c>
      <c r="F111" s="162">
        <f>IFERROR(IF($J111&gt;0,IF(INDEX('Invullen groen'!$H:$H,$J111)&lt;&gt;0,INDEX('Invullen groen'!$H:$H,$J111),""),""),"")</f>
        <v/>
      </c>
      <c r="G111" s="162">
        <f>IFERROR(IF($J111&gt;0,IF(INDEX('Invullen groen'!$I:$I,$J111)&lt;&gt;0,INDEX('Invullen groen'!$I:$I,$J111),""),""),"")</f>
        <v/>
      </c>
      <c r="H111" s="162">
        <f>IFERROR(IF($J111&gt;0,IF(INDEX('Invullen groen'!$J:$J,$J111)&lt;&gt;0,INDEX('Invullen groen'!$J:$J,$J111),""),""),"")</f>
        <v/>
      </c>
      <c r="I111" s="162">
        <f>IFERROR(IF($J111&gt;0,IF(INDEX('Invullen groen'!$K:$K,$J111)&lt;&gt;0,INDEX('Invullen groen'!$K:$K,$J111),""),""),"")</f>
        <v/>
      </c>
      <c r="J111" s="83">
        <f>IFERROR(MATCH(ROW()-4,'Invullen groen'!$P$17:$P$272,0)+16,0)</f>
        <v/>
      </c>
    </row>
    <row r="112" hidden="1" ht="15" customHeight="1" s="402">
      <c r="A112" s="163">
        <f>IFERROR(IF($J112&gt;0,ROW()-4,""),"")</f>
        <v/>
      </c>
      <c r="B112" s="163">
        <f>IFERROR(IF($J112&gt;0,INDEX('Invullen groen'!$A:$A,$J112),""),"")</f>
        <v/>
      </c>
      <c r="C112" s="163">
        <f>IFERROR(IF($J112&gt;0,INDEX('Invullen groen'!$C:$C,$J112),""),"")</f>
        <v/>
      </c>
      <c r="D112" s="163">
        <f>IFERROR(IF($J112&gt;0,INDEX('Invullen groen'!$D:$D,$J112),""),"")</f>
        <v/>
      </c>
      <c r="E112" s="163">
        <f>IFERROR(IF($J112&gt;0,INDEX('Invullen groen'!$G:$G,$J112),""),"")</f>
        <v/>
      </c>
      <c r="F112" s="164">
        <f>IFERROR(IF($J112&gt;0,IF(INDEX('Invullen groen'!$H:$H,$J112)&lt;&gt;0,INDEX('Invullen groen'!$H:$H,$J112),""),""),"")</f>
        <v/>
      </c>
      <c r="G112" s="164">
        <f>IFERROR(IF($J112&gt;0,IF(INDEX('Invullen groen'!$I:$I,$J112)&lt;&gt;0,INDEX('Invullen groen'!$I:$I,$J112),""),""),"")</f>
        <v/>
      </c>
      <c r="H112" s="164">
        <f>IFERROR(IF($J112&gt;0,IF(INDEX('Invullen groen'!$J:$J,$J112)&lt;&gt;0,INDEX('Invullen groen'!$J:$J,$J112),""),""),"")</f>
        <v/>
      </c>
      <c r="I112" s="164">
        <f>IFERROR(IF($J112&gt;0,IF(INDEX('Invullen groen'!$K:$K,$J112)&lt;&gt;0,INDEX('Invullen groen'!$K:$K,$J112),""),""),"")</f>
        <v/>
      </c>
      <c r="J112" s="83">
        <f>IFERROR(MATCH(ROW()-4,'Invullen groen'!$P$17:$P$272,0)+16,0)</f>
        <v/>
      </c>
    </row>
    <row r="113" hidden="1" ht="15" customHeight="1" s="402">
      <c r="A113" s="161">
        <f>IFERROR(IF($J113&gt;0,ROW()-4,""),"")</f>
        <v/>
      </c>
      <c r="B113" s="161">
        <f>IFERROR(IF($J113&gt;0,INDEX('Invullen groen'!$A:$A,$J113),""),"")</f>
        <v/>
      </c>
      <c r="C113" s="161">
        <f>IFERROR(IF($J113&gt;0,INDEX('Invullen groen'!$C:$C,$J113),""),"")</f>
        <v/>
      </c>
      <c r="D113" s="161">
        <f>IFERROR(IF($J113&gt;0,INDEX('Invullen groen'!$D:$D,$J113),""),"")</f>
        <v/>
      </c>
      <c r="E113" s="161">
        <f>IFERROR(IF($J113&gt;0,INDEX('Invullen groen'!$G:$G,$J113),""),"")</f>
        <v/>
      </c>
      <c r="F113" s="162">
        <f>IFERROR(IF($J113&gt;0,IF(INDEX('Invullen groen'!$H:$H,$J113)&lt;&gt;0,INDEX('Invullen groen'!$H:$H,$J113),""),""),"")</f>
        <v/>
      </c>
      <c r="G113" s="162">
        <f>IFERROR(IF($J113&gt;0,IF(INDEX('Invullen groen'!$I:$I,$J113)&lt;&gt;0,INDEX('Invullen groen'!$I:$I,$J113),""),""),"")</f>
        <v/>
      </c>
      <c r="H113" s="162">
        <f>IFERROR(IF($J113&gt;0,IF(INDEX('Invullen groen'!$J:$J,$J113)&lt;&gt;0,INDEX('Invullen groen'!$J:$J,$J113),""),""),"")</f>
        <v/>
      </c>
      <c r="I113" s="162">
        <f>IFERROR(IF($J113&gt;0,IF(INDEX('Invullen groen'!$K:$K,$J113)&lt;&gt;0,INDEX('Invullen groen'!$K:$K,$J113),""),""),"")</f>
        <v/>
      </c>
      <c r="J113" s="83">
        <f>IFERROR(MATCH(ROW()-4,'Invullen groen'!$P$17:$P$272,0)+16,0)</f>
        <v/>
      </c>
    </row>
    <row r="114" hidden="1" ht="15" customHeight="1" s="402">
      <c r="A114" s="163">
        <f>IFERROR(IF($J114&gt;0,ROW()-4,""),"")</f>
        <v/>
      </c>
      <c r="B114" s="163">
        <f>IFERROR(IF($J114&gt;0,INDEX('Invullen groen'!$A:$A,$J114),""),"")</f>
        <v/>
      </c>
      <c r="C114" s="163">
        <f>IFERROR(IF($J114&gt;0,INDEX('Invullen groen'!$C:$C,$J114),""),"")</f>
        <v/>
      </c>
      <c r="D114" s="163">
        <f>IFERROR(IF($J114&gt;0,INDEX('Invullen groen'!$D:$D,$J114),""),"")</f>
        <v/>
      </c>
      <c r="E114" s="163">
        <f>IFERROR(IF($J114&gt;0,INDEX('Invullen groen'!$G:$G,$J114),""),"")</f>
        <v/>
      </c>
      <c r="F114" s="164">
        <f>IFERROR(IF($J114&gt;0,IF(INDEX('Invullen groen'!$H:$H,$J114)&lt;&gt;0,INDEX('Invullen groen'!$H:$H,$J114),""),""),"")</f>
        <v/>
      </c>
      <c r="G114" s="164">
        <f>IFERROR(IF($J114&gt;0,IF(INDEX('Invullen groen'!$I:$I,$J114)&lt;&gt;0,INDEX('Invullen groen'!$I:$I,$J114),""),""),"")</f>
        <v/>
      </c>
      <c r="H114" s="164">
        <f>IFERROR(IF($J114&gt;0,IF(INDEX('Invullen groen'!$J:$J,$J114)&lt;&gt;0,INDEX('Invullen groen'!$J:$J,$J114),""),""),"")</f>
        <v/>
      </c>
      <c r="I114" s="164">
        <f>IFERROR(IF($J114&gt;0,IF(INDEX('Invullen groen'!$K:$K,$J114)&lt;&gt;0,INDEX('Invullen groen'!$K:$K,$J114),""),""),"")</f>
        <v/>
      </c>
      <c r="J114" s="83">
        <f>IFERROR(MATCH(ROW()-4,'Invullen groen'!$P$17:$P$272,0)+16,0)</f>
        <v/>
      </c>
    </row>
    <row r="115" hidden="1" ht="15" customHeight="1" s="402">
      <c r="A115" s="161">
        <f>IFERROR(IF($J115&gt;0,ROW()-4,""),"")</f>
        <v/>
      </c>
      <c r="B115" s="161">
        <f>IFERROR(IF($J115&gt;0,INDEX('Invullen groen'!$A:$A,$J115),""),"")</f>
        <v/>
      </c>
      <c r="C115" s="161">
        <f>IFERROR(IF($J115&gt;0,INDEX('Invullen groen'!$C:$C,$J115),""),"")</f>
        <v/>
      </c>
      <c r="D115" s="161">
        <f>IFERROR(IF($J115&gt;0,INDEX('Invullen groen'!$D:$D,$J115),""),"")</f>
        <v/>
      </c>
      <c r="E115" s="161">
        <f>IFERROR(IF($J115&gt;0,INDEX('Invullen groen'!$G:$G,$J115),""),"")</f>
        <v/>
      </c>
      <c r="F115" s="162">
        <f>IFERROR(IF($J115&gt;0,IF(INDEX('Invullen groen'!$H:$H,$J115)&lt;&gt;0,INDEX('Invullen groen'!$H:$H,$J115),""),""),"")</f>
        <v/>
      </c>
      <c r="G115" s="162">
        <f>IFERROR(IF($J115&gt;0,IF(INDEX('Invullen groen'!$I:$I,$J115)&lt;&gt;0,INDEX('Invullen groen'!$I:$I,$J115),""),""),"")</f>
        <v/>
      </c>
      <c r="H115" s="162">
        <f>IFERROR(IF($J115&gt;0,IF(INDEX('Invullen groen'!$J:$J,$J115)&lt;&gt;0,INDEX('Invullen groen'!$J:$J,$J115),""),""),"")</f>
        <v/>
      </c>
      <c r="I115" s="162">
        <f>IFERROR(IF($J115&gt;0,IF(INDEX('Invullen groen'!$K:$K,$J115)&lt;&gt;0,INDEX('Invullen groen'!$K:$K,$J115),""),""),"")</f>
        <v/>
      </c>
      <c r="J115" s="83">
        <f>IFERROR(MATCH(ROW()-4,'Invullen groen'!$P$17:$P$272,0)+16,0)</f>
        <v/>
      </c>
    </row>
    <row r="116" hidden="1" ht="15" customHeight="1" s="402">
      <c r="A116" s="163">
        <f>IFERROR(IF($J116&gt;0,ROW()-4,""),"")</f>
        <v/>
      </c>
      <c r="B116" s="163">
        <f>IFERROR(IF($J116&gt;0,INDEX('Invullen groen'!$A:$A,$J116),""),"")</f>
        <v/>
      </c>
      <c r="C116" s="163">
        <f>IFERROR(IF($J116&gt;0,INDEX('Invullen groen'!$C:$C,$J116),""),"")</f>
        <v/>
      </c>
      <c r="D116" s="163">
        <f>IFERROR(IF($J116&gt;0,INDEX('Invullen groen'!$D:$D,$J116),""),"")</f>
        <v/>
      </c>
      <c r="E116" s="163">
        <f>IFERROR(IF($J116&gt;0,INDEX('Invullen groen'!$G:$G,$J116),""),"")</f>
        <v/>
      </c>
      <c r="F116" s="164">
        <f>IFERROR(IF($J116&gt;0,IF(INDEX('Invullen groen'!$H:$H,$J116)&lt;&gt;0,INDEX('Invullen groen'!$H:$H,$J116),""),""),"")</f>
        <v/>
      </c>
      <c r="G116" s="164">
        <f>IFERROR(IF($J116&gt;0,IF(INDEX('Invullen groen'!$I:$I,$J116)&lt;&gt;0,INDEX('Invullen groen'!$I:$I,$J116),""),""),"")</f>
        <v/>
      </c>
      <c r="H116" s="164">
        <f>IFERROR(IF($J116&gt;0,IF(INDEX('Invullen groen'!$J:$J,$J116)&lt;&gt;0,INDEX('Invullen groen'!$J:$J,$J116),""),""),"")</f>
        <v/>
      </c>
      <c r="I116" s="164">
        <f>IFERROR(IF($J116&gt;0,IF(INDEX('Invullen groen'!$K:$K,$J116)&lt;&gt;0,INDEX('Invullen groen'!$K:$K,$J116),""),""),"")</f>
        <v/>
      </c>
      <c r="J116" s="83">
        <f>IFERROR(MATCH(ROW()-4,'Invullen groen'!$P$17:$P$272,0)+16,0)</f>
        <v/>
      </c>
    </row>
    <row r="117" hidden="1" ht="15" customHeight="1" s="402">
      <c r="A117" s="161">
        <f>IFERROR(IF($J117&gt;0,ROW()-4,""),"")</f>
        <v/>
      </c>
      <c r="B117" s="161">
        <f>IFERROR(IF($J117&gt;0,INDEX('Invullen groen'!$A:$A,$J117),""),"")</f>
        <v/>
      </c>
      <c r="C117" s="161">
        <f>IFERROR(IF($J117&gt;0,INDEX('Invullen groen'!$C:$C,$J117),""),"")</f>
        <v/>
      </c>
      <c r="D117" s="161">
        <f>IFERROR(IF($J117&gt;0,INDEX('Invullen groen'!$D:$D,$J117),""),"")</f>
        <v/>
      </c>
      <c r="E117" s="161">
        <f>IFERROR(IF($J117&gt;0,INDEX('Invullen groen'!$G:$G,$J117),""),"")</f>
        <v/>
      </c>
      <c r="F117" s="162">
        <f>IFERROR(IF($J117&gt;0,IF(INDEX('Invullen groen'!$H:$H,$J117)&lt;&gt;0,INDEX('Invullen groen'!$H:$H,$J117),""),""),"")</f>
        <v/>
      </c>
      <c r="G117" s="162">
        <f>IFERROR(IF($J117&gt;0,IF(INDEX('Invullen groen'!$I:$I,$J117)&lt;&gt;0,INDEX('Invullen groen'!$I:$I,$J117),""),""),"")</f>
        <v/>
      </c>
      <c r="H117" s="162">
        <f>IFERROR(IF($J117&gt;0,IF(INDEX('Invullen groen'!$J:$J,$J117)&lt;&gt;0,INDEX('Invullen groen'!$J:$J,$J117),""),""),"")</f>
        <v/>
      </c>
      <c r="I117" s="162">
        <f>IFERROR(IF($J117&gt;0,IF(INDEX('Invullen groen'!$K:$K,$J117)&lt;&gt;0,INDEX('Invullen groen'!$K:$K,$J117),""),""),"")</f>
        <v/>
      </c>
      <c r="J117" s="83">
        <f>IFERROR(MATCH(ROW()-4,'Invullen groen'!$P$17:$P$272,0)+16,0)</f>
        <v/>
      </c>
    </row>
    <row r="118" hidden="1" ht="15" customHeight="1" s="402">
      <c r="A118" s="163">
        <f>IFERROR(IF($J118&gt;0,ROW()-4,""),"")</f>
        <v/>
      </c>
      <c r="B118" s="163">
        <f>IFERROR(IF($J118&gt;0,INDEX('Invullen groen'!$A:$A,$J118),""),"")</f>
        <v/>
      </c>
      <c r="C118" s="163">
        <f>IFERROR(IF($J118&gt;0,INDEX('Invullen groen'!$C:$C,$J118),""),"")</f>
        <v/>
      </c>
      <c r="D118" s="163">
        <f>IFERROR(IF($J118&gt;0,INDEX('Invullen groen'!$D:$D,$J118),""),"")</f>
        <v/>
      </c>
      <c r="E118" s="163">
        <f>IFERROR(IF($J118&gt;0,INDEX('Invullen groen'!$G:$G,$J118),""),"")</f>
        <v/>
      </c>
      <c r="F118" s="164">
        <f>IFERROR(IF($J118&gt;0,IF(INDEX('Invullen groen'!$H:$H,$J118)&lt;&gt;0,INDEX('Invullen groen'!$H:$H,$J118),""),""),"")</f>
        <v/>
      </c>
      <c r="G118" s="164">
        <f>IFERROR(IF($J118&gt;0,IF(INDEX('Invullen groen'!$I:$I,$J118)&lt;&gt;0,INDEX('Invullen groen'!$I:$I,$J118),""),""),"")</f>
        <v/>
      </c>
      <c r="H118" s="164">
        <f>IFERROR(IF($J118&gt;0,IF(INDEX('Invullen groen'!$J:$J,$J118)&lt;&gt;0,INDEX('Invullen groen'!$J:$J,$J118),""),""),"")</f>
        <v/>
      </c>
      <c r="I118" s="164">
        <f>IFERROR(IF($J118&gt;0,IF(INDEX('Invullen groen'!$K:$K,$J118)&lt;&gt;0,INDEX('Invullen groen'!$K:$K,$J118),""),""),"")</f>
        <v/>
      </c>
      <c r="J118" s="83">
        <f>IFERROR(MATCH(ROW()-4,'Invullen groen'!$P$17:$P$272,0)+16,0)</f>
        <v/>
      </c>
    </row>
    <row r="119" hidden="1" ht="15" customHeight="1" s="402">
      <c r="A119" s="161">
        <f>IFERROR(IF($J119&gt;0,ROW()-4,""),"")</f>
        <v/>
      </c>
      <c r="B119" s="161">
        <f>IFERROR(IF($J119&gt;0,INDEX('Invullen groen'!$A:$A,$J119),""),"")</f>
        <v/>
      </c>
      <c r="C119" s="161">
        <f>IFERROR(IF($J119&gt;0,INDEX('Invullen groen'!$C:$C,$J119),""),"")</f>
        <v/>
      </c>
      <c r="D119" s="161">
        <f>IFERROR(IF($J119&gt;0,INDEX('Invullen groen'!$D:$D,$J119),""),"")</f>
        <v/>
      </c>
      <c r="E119" s="161">
        <f>IFERROR(IF($J119&gt;0,INDEX('Invullen groen'!$G:$G,$J119),""),"")</f>
        <v/>
      </c>
      <c r="F119" s="162">
        <f>IFERROR(IF($J119&gt;0,IF(INDEX('Invullen groen'!$H:$H,$J119)&lt;&gt;0,INDEX('Invullen groen'!$H:$H,$J119),""),""),"")</f>
        <v/>
      </c>
      <c r="G119" s="162">
        <f>IFERROR(IF($J119&gt;0,IF(INDEX('Invullen groen'!$I:$I,$J119)&lt;&gt;0,INDEX('Invullen groen'!$I:$I,$J119),""),""),"")</f>
        <v/>
      </c>
      <c r="H119" s="162">
        <f>IFERROR(IF($J119&gt;0,IF(INDEX('Invullen groen'!$J:$J,$J119)&lt;&gt;0,INDEX('Invullen groen'!$J:$J,$J119),""),""),"")</f>
        <v/>
      </c>
      <c r="I119" s="162">
        <f>IFERROR(IF($J119&gt;0,IF(INDEX('Invullen groen'!$K:$K,$J119)&lt;&gt;0,INDEX('Invullen groen'!$K:$K,$J119),""),""),"")</f>
        <v/>
      </c>
      <c r="J119" s="83">
        <f>IFERROR(MATCH(ROW()-4,'Invullen groen'!$P$17:$P$272,0)+16,0)</f>
        <v/>
      </c>
    </row>
    <row r="120" hidden="1" ht="15" customHeight="1" s="402">
      <c r="A120" s="163">
        <f>IFERROR(IF($J120&gt;0,ROW()-4,""),"")</f>
        <v/>
      </c>
      <c r="B120" s="163">
        <f>IFERROR(IF($J120&gt;0,INDEX('Invullen groen'!$A:$A,$J120),""),"")</f>
        <v/>
      </c>
      <c r="C120" s="163">
        <f>IFERROR(IF($J120&gt;0,INDEX('Invullen groen'!$C:$C,$J120),""),"")</f>
        <v/>
      </c>
      <c r="D120" s="163">
        <f>IFERROR(IF($J120&gt;0,INDEX('Invullen groen'!$D:$D,$J120),""),"")</f>
        <v/>
      </c>
      <c r="E120" s="163">
        <f>IFERROR(IF($J120&gt;0,INDEX('Invullen groen'!$G:$G,$J120),""),"")</f>
        <v/>
      </c>
      <c r="F120" s="164">
        <f>IFERROR(IF($J120&gt;0,IF(INDEX('Invullen groen'!$H:$H,$J120)&lt;&gt;0,INDEX('Invullen groen'!$H:$H,$J120),""),""),"")</f>
        <v/>
      </c>
      <c r="G120" s="164">
        <f>IFERROR(IF($J120&gt;0,IF(INDEX('Invullen groen'!$I:$I,$J120)&lt;&gt;0,INDEX('Invullen groen'!$I:$I,$J120),""),""),"")</f>
        <v/>
      </c>
      <c r="H120" s="164">
        <f>IFERROR(IF($J120&gt;0,IF(INDEX('Invullen groen'!$J:$J,$J120)&lt;&gt;0,INDEX('Invullen groen'!$J:$J,$J120),""),""),"")</f>
        <v/>
      </c>
      <c r="I120" s="164">
        <f>IFERROR(IF($J120&gt;0,IF(INDEX('Invullen groen'!$K:$K,$J120)&lt;&gt;0,INDEX('Invullen groen'!$K:$K,$J120),""),""),"")</f>
        <v/>
      </c>
      <c r="J120" s="83">
        <f>IFERROR(MATCH(ROW()-4,'Invullen groen'!$P$17:$P$272,0)+16,0)</f>
        <v/>
      </c>
    </row>
    <row r="121" hidden="1" ht="15" customHeight="1" s="402">
      <c r="A121" s="161">
        <f>IFERROR(IF($J121&gt;0,ROW()-4,""),"")</f>
        <v/>
      </c>
      <c r="B121" s="161">
        <f>IFERROR(IF($J121&gt;0,INDEX('Invullen groen'!$A:$A,$J121),""),"")</f>
        <v/>
      </c>
      <c r="C121" s="161">
        <f>IFERROR(IF($J121&gt;0,INDEX('Invullen groen'!$C:$C,$J121),""),"")</f>
        <v/>
      </c>
      <c r="D121" s="161">
        <f>IFERROR(IF($J121&gt;0,INDEX('Invullen groen'!$D:$D,$J121),""),"")</f>
        <v/>
      </c>
      <c r="E121" s="161">
        <f>IFERROR(IF($J121&gt;0,INDEX('Invullen groen'!$G:$G,$J121),""),"")</f>
        <v/>
      </c>
      <c r="F121" s="162">
        <f>IFERROR(IF($J121&gt;0,IF(INDEX('Invullen groen'!$H:$H,$J121)&lt;&gt;0,INDEX('Invullen groen'!$H:$H,$J121),""),""),"")</f>
        <v/>
      </c>
      <c r="G121" s="162">
        <f>IFERROR(IF($J121&gt;0,IF(INDEX('Invullen groen'!$I:$I,$J121)&lt;&gt;0,INDEX('Invullen groen'!$I:$I,$J121),""),""),"")</f>
        <v/>
      </c>
      <c r="H121" s="162">
        <f>IFERROR(IF($J121&gt;0,IF(INDEX('Invullen groen'!$J:$J,$J121)&lt;&gt;0,INDEX('Invullen groen'!$J:$J,$J121),""),""),"")</f>
        <v/>
      </c>
      <c r="I121" s="162">
        <f>IFERROR(IF($J121&gt;0,IF(INDEX('Invullen groen'!$K:$K,$J121)&lt;&gt;0,INDEX('Invullen groen'!$K:$K,$J121),""),""),"")</f>
        <v/>
      </c>
      <c r="J121" s="83">
        <f>IFERROR(MATCH(ROW()-4,'Invullen groen'!$P$17:$P$272,0)+16,0)</f>
        <v/>
      </c>
    </row>
    <row r="122" hidden="1" ht="15" customHeight="1" s="402">
      <c r="A122" s="163">
        <f>IFERROR(IF($J122&gt;0,ROW()-4,""),"")</f>
        <v/>
      </c>
      <c r="B122" s="163">
        <f>IFERROR(IF($J122&gt;0,INDEX('Invullen groen'!$A:$A,$J122),""),"")</f>
        <v/>
      </c>
      <c r="C122" s="163">
        <f>IFERROR(IF($J122&gt;0,INDEX('Invullen groen'!$C:$C,$J122),""),"")</f>
        <v/>
      </c>
      <c r="D122" s="163">
        <f>IFERROR(IF($J122&gt;0,INDEX('Invullen groen'!$D:$D,$J122),""),"")</f>
        <v/>
      </c>
      <c r="E122" s="163">
        <f>IFERROR(IF($J122&gt;0,INDEX('Invullen groen'!$G:$G,$J122),""),"")</f>
        <v/>
      </c>
      <c r="F122" s="164">
        <f>IFERROR(IF($J122&gt;0,IF(INDEX('Invullen groen'!$H:$H,$J122)&lt;&gt;0,INDEX('Invullen groen'!$H:$H,$J122),""),""),"")</f>
        <v/>
      </c>
      <c r="G122" s="164">
        <f>IFERROR(IF($J122&gt;0,IF(INDEX('Invullen groen'!$I:$I,$J122)&lt;&gt;0,INDEX('Invullen groen'!$I:$I,$J122),""),""),"")</f>
        <v/>
      </c>
      <c r="H122" s="164">
        <f>IFERROR(IF($J122&gt;0,IF(INDEX('Invullen groen'!$J:$J,$J122)&lt;&gt;0,INDEX('Invullen groen'!$J:$J,$J122),""),""),"")</f>
        <v/>
      </c>
      <c r="I122" s="164">
        <f>IFERROR(IF($J122&gt;0,IF(INDEX('Invullen groen'!$K:$K,$J122)&lt;&gt;0,INDEX('Invullen groen'!$K:$K,$J122),""),""),"")</f>
        <v/>
      </c>
      <c r="J122" s="83">
        <f>IFERROR(MATCH(ROW()-4,'Invullen groen'!$P$17:$P$272,0)+16,0)</f>
        <v/>
      </c>
    </row>
    <row r="123" hidden="1" ht="15" customHeight="1" s="402">
      <c r="A123" s="161">
        <f>IFERROR(IF($J123&gt;0,ROW()-4,""),"")</f>
        <v/>
      </c>
      <c r="B123" s="161">
        <f>IFERROR(IF($J123&gt;0,INDEX('Invullen groen'!$A:$A,$J123),""),"")</f>
        <v/>
      </c>
      <c r="C123" s="161">
        <f>IFERROR(IF($J123&gt;0,INDEX('Invullen groen'!$C:$C,$J123),""),"")</f>
        <v/>
      </c>
      <c r="D123" s="161">
        <f>IFERROR(IF($J123&gt;0,INDEX('Invullen groen'!$D:$D,$J123),""),"")</f>
        <v/>
      </c>
      <c r="E123" s="161">
        <f>IFERROR(IF($J123&gt;0,INDEX('Invullen groen'!$G:$G,$J123),""),"")</f>
        <v/>
      </c>
      <c r="F123" s="162">
        <f>IFERROR(IF($J123&gt;0,IF(INDEX('Invullen groen'!$H:$H,$J123)&lt;&gt;0,INDEX('Invullen groen'!$H:$H,$J123),""),""),"")</f>
        <v/>
      </c>
      <c r="G123" s="162">
        <f>IFERROR(IF($J123&gt;0,IF(INDEX('Invullen groen'!$I:$I,$J123)&lt;&gt;0,INDEX('Invullen groen'!$I:$I,$J123),""),""),"")</f>
        <v/>
      </c>
      <c r="H123" s="162">
        <f>IFERROR(IF($J123&gt;0,IF(INDEX('Invullen groen'!$J:$J,$J123)&lt;&gt;0,INDEX('Invullen groen'!$J:$J,$J123),""),""),"")</f>
        <v/>
      </c>
      <c r="I123" s="162">
        <f>IFERROR(IF($J123&gt;0,IF(INDEX('Invullen groen'!$K:$K,$J123)&lt;&gt;0,INDEX('Invullen groen'!$K:$K,$J123),""),""),"")</f>
        <v/>
      </c>
      <c r="J123" s="83">
        <f>IFERROR(MATCH(ROW()-4,'Invullen groen'!$P$17:$P$272,0)+16,0)</f>
        <v/>
      </c>
    </row>
    <row r="124" hidden="1" ht="15" customHeight="1" s="402">
      <c r="A124" s="163">
        <f>IFERROR(IF($J124&gt;0,ROW()-4,""),"")</f>
        <v/>
      </c>
      <c r="B124" s="163">
        <f>IFERROR(IF($J124&gt;0,INDEX('Invullen groen'!$A:$A,$J124),""),"")</f>
        <v/>
      </c>
      <c r="C124" s="163">
        <f>IFERROR(IF($J124&gt;0,INDEX('Invullen groen'!$C:$C,$J124),""),"")</f>
        <v/>
      </c>
      <c r="D124" s="163">
        <f>IFERROR(IF($J124&gt;0,INDEX('Invullen groen'!$D:$D,$J124),""),"")</f>
        <v/>
      </c>
      <c r="E124" s="163">
        <f>IFERROR(IF($J124&gt;0,INDEX('Invullen groen'!$G:$G,$J124),""),"")</f>
        <v/>
      </c>
      <c r="F124" s="164">
        <f>IFERROR(IF($J124&gt;0,IF(INDEX('Invullen groen'!$H:$H,$J124)&lt;&gt;0,INDEX('Invullen groen'!$H:$H,$J124),""),""),"")</f>
        <v/>
      </c>
      <c r="G124" s="164">
        <f>IFERROR(IF($J124&gt;0,IF(INDEX('Invullen groen'!$I:$I,$J124)&lt;&gt;0,INDEX('Invullen groen'!$I:$I,$J124),""),""),"")</f>
        <v/>
      </c>
      <c r="H124" s="164">
        <f>IFERROR(IF($J124&gt;0,IF(INDEX('Invullen groen'!$J:$J,$J124)&lt;&gt;0,INDEX('Invullen groen'!$J:$J,$J124),""),""),"")</f>
        <v/>
      </c>
      <c r="I124" s="164">
        <f>IFERROR(IF($J124&gt;0,IF(INDEX('Invullen groen'!$K:$K,$J124)&lt;&gt;0,INDEX('Invullen groen'!$K:$K,$J124),""),""),"")</f>
        <v/>
      </c>
      <c r="J124" s="83">
        <f>IFERROR(MATCH(ROW()-4,'Invullen groen'!$P$17:$P$272,0)+16,0)</f>
        <v/>
      </c>
    </row>
    <row r="125" hidden="1" ht="15" customHeight="1" s="402">
      <c r="A125" s="161">
        <f>IFERROR(IF($J125&gt;0,ROW()-4,""),"")</f>
        <v/>
      </c>
      <c r="B125" s="161">
        <f>IFERROR(IF($J125&gt;0,INDEX('Invullen groen'!$A:$A,$J125),""),"")</f>
        <v/>
      </c>
      <c r="C125" s="161">
        <f>IFERROR(IF($J125&gt;0,INDEX('Invullen groen'!$C:$C,$J125),""),"")</f>
        <v/>
      </c>
      <c r="D125" s="161">
        <f>IFERROR(IF($J125&gt;0,INDEX('Invullen groen'!$D:$D,$J125),""),"")</f>
        <v/>
      </c>
      <c r="E125" s="161">
        <f>IFERROR(IF($J125&gt;0,INDEX('Invullen groen'!$G:$G,$J125),""),"")</f>
        <v/>
      </c>
      <c r="F125" s="162">
        <f>IFERROR(IF($J125&gt;0,IF(INDEX('Invullen groen'!$H:$H,$J125)&lt;&gt;0,INDEX('Invullen groen'!$H:$H,$J125),""),""),"")</f>
        <v/>
      </c>
      <c r="G125" s="162">
        <f>IFERROR(IF($J125&gt;0,IF(INDEX('Invullen groen'!$I:$I,$J125)&lt;&gt;0,INDEX('Invullen groen'!$I:$I,$J125),""),""),"")</f>
        <v/>
      </c>
      <c r="H125" s="162">
        <f>IFERROR(IF($J125&gt;0,IF(INDEX('Invullen groen'!$J:$J,$J125)&lt;&gt;0,INDEX('Invullen groen'!$J:$J,$J125),""),""),"")</f>
        <v/>
      </c>
      <c r="I125" s="162">
        <f>IFERROR(IF($J125&gt;0,IF(INDEX('Invullen groen'!$K:$K,$J125)&lt;&gt;0,INDEX('Invullen groen'!$K:$K,$J125),""),""),"")</f>
        <v/>
      </c>
      <c r="J125" s="83">
        <f>IFERROR(MATCH(ROW()-4,'Invullen groen'!$P$17:$P$272,0)+16,0)</f>
        <v/>
      </c>
    </row>
    <row r="126" hidden="1" ht="15" customHeight="1" s="402">
      <c r="A126" s="163">
        <f>IFERROR(IF($J126&gt;0,ROW()-4,""),"")</f>
        <v/>
      </c>
      <c r="B126" s="163">
        <f>IFERROR(IF($J126&gt;0,INDEX('Invullen groen'!$A:$A,$J126),""),"")</f>
        <v/>
      </c>
      <c r="C126" s="163">
        <f>IFERROR(IF($J126&gt;0,INDEX('Invullen groen'!$C:$C,$J126),""),"")</f>
        <v/>
      </c>
      <c r="D126" s="163">
        <f>IFERROR(IF($J126&gt;0,INDEX('Invullen groen'!$D:$D,$J126),""),"")</f>
        <v/>
      </c>
      <c r="E126" s="163">
        <f>IFERROR(IF($J126&gt;0,INDEX('Invullen groen'!$G:$G,$J126),""),"")</f>
        <v/>
      </c>
      <c r="F126" s="164">
        <f>IFERROR(IF($J126&gt;0,IF(INDEX('Invullen groen'!$H:$H,$J126)&lt;&gt;0,INDEX('Invullen groen'!$H:$H,$J126),""),""),"")</f>
        <v/>
      </c>
      <c r="G126" s="164">
        <f>IFERROR(IF($J126&gt;0,IF(INDEX('Invullen groen'!$I:$I,$J126)&lt;&gt;0,INDEX('Invullen groen'!$I:$I,$J126),""),""),"")</f>
        <v/>
      </c>
      <c r="H126" s="164">
        <f>IFERROR(IF($J126&gt;0,IF(INDEX('Invullen groen'!$J:$J,$J126)&lt;&gt;0,INDEX('Invullen groen'!$J:$J,$J126),""),""),"")</f>
        <v/>
      </c>
      <c r="I126" s="164">
        <f>IFERROR(IF($J126&gt;0,IF(INDEX('Invullen groen'!$K:$K,$J126)&lt;&gt;0,INDEX('Invullen groen'!$K:$K,$J126),""),""),"")</f>
        <v/>
      </c>
      <c r="J126" s="83">
        <f>IFERROR(MATCH(ROW()-4,'Invullen groen'!$P$17:$P$272,0)+16,0)</f>
        <v/>
      </c>
    </row>
    <row r="127" hidden="1" ht="15" customHeight="1" s="402">
      <c r="A127" s="161">
        <f>IFERROR(IF($J127&gt;0,ROW()-4,""),"")</f>
        <v/>
      </c>
      <c r="B127" s="161">
        <f>IFERROR(IF($J127&gt;0,INDEX('Invullen groen'!$A:$A,$J127),""),"")</f>
        <v/>
      </c>
      <c r="C127" s="161">
        <f>IFERROR(IF($J127&gt;0,INDEX('Invullen groen'!$C:$C,$J127),""),"")</f>
        <v/>
      </c>
      <c r="D127" s="161">
        <f>IFERROR(IF($J127&gt;0,INDEX('Invullen groen'!$D:$D,$J127),""),"")</f>
        <v/>
      </c>
      <c r="E127" s="161">
        <f>IFERROR(IF($J127&gt;0,INDEX('Invullen groen'!$G:$G,$J127),""),"")</f>
        <v/>
      </c>
      <c r="F127" s="162">
        <f>IFERROR(IF($J127&gt;0,IF(INDEX('Invullen groen'!$H:$H,$J127)&lt;&gt;0,INDEX('Invullen groen'!$H:$H,$J127),""),""),"")</f>
        <v/>
      </c>
      <c r="G127" s="162">
        <f>IFERROR(IF($J127&gt;0,IF(INDEX('Invullen groen'!$I:$I,$J127)&lt;&gt;0,INDEX('Invullen groen'!$I:$I,$J127),""),""),"")</f>
        <v/>
      </c>
      <c r="H127" s="162">
        <f>IFERROR(IF($J127&gt;0,IF(INDEX('Invullen groen'!$J:$J,$J127)&lt;&gt;0,INDEX('Invullen groen'!$J:$J,$J127),""),""),"")</f>
        <v/>
      </c>
      <c r="I127" s="162">
        <f>IFERROR(IF($J127&gt;0,IF(INDEX('Invullen groen'!$K:$K,$J127)&lt;&gt;0,INDEX('Invullen groen'!$K:$K,$J127),""),""),"")</f>
        <v/>
      </c>
      <c r="J127" s="83">
        <f>IFERROR(MATCH(ROW()-4,'Invullen groen'!$P$17:$P$272,0)+16,0)</f>
        <v/>
      </c>
    </row>
    <row r="128" hidden="1" ht="15" customHeight="1" s="402">
      <c r="A128" s="163">
        <f>IFERROR(IF($J128&gt;0,ROW()-4,""),"")</f>
        <v/>
      </c>
      <c r="B128" s="163">
        <f>IFERROR(IF($J128&gt;0,INDEX('Invullen groen'!$A:$A,$J128),""),"")</f>
        <v/>
      </c>
      <c r="C128" s="163">
        <f>IFERROR(IF($J128&gt;0,INDEX('Invullen groen'!$C:$C,$J128),""),"")</f>
        <v/>
      </c>
      <c r="D128" s="163">
        <f>IFERROR(IF($J128&gt;0,INDEX('Invullen groen'!$D:$D,$J128),""),"")</f>
        <v/>
      </c>
      <c r="E128" s="163">
        <f>IFERROR(IF($J128&gt;0,INDEX('Invullen groen'!$G:$G,$J128),""),"")</f>
        <v/>
      </c>
      <c r="F128" s="164">
        <f>IFERROR(IF($J128&gt;0,IF(INDEX('Invullen groen'!$H:$H,$J128)&lt;&gt;0,INDEX('Invullen groen'!$H:$H,$J128),""),""),"")</f>
        <v/>
      </c>
      <c r="G128" s="164">
        <f>IFERROR(IF($J128&gt;0,IF(INDEX('Invullen groen'!$I:$I,$J128)&lt;&gt;0,INDEX('Invullen groen'!$I:$I,$J128),""),""),"")</f>
        <v/>
      </c>
      <c r="H128" s="164">
        <f>IFERROR(IF($J128&gt;0,IF(INDEX('Invullen groen'!$J:$J,$J128)&lt;&gt;0,INDEX('Invullen groen'!$J:$J,$J128),""),""),"")</f>
        <v/>
      </c>
      <c r="I128" s="164">
        <f>IFERROR(IF($J128&gt;0,IF(INDEX('Invullen groen'!$K:$K,$J128)&lt;&gt;0,INDEX('Invullen groen'!$K:$K,$J128),""),""),"")</f>
        <v/>
      </c>
      <c r="J128" s="83">
        <f>IFERROR(MATCH(ROW()-4,'Invullen groen'!$P$17:$P$272,0)+16,0)</f>
        <v/>
      </c>
    </row>
    <row r="129" hidden="1" ht="15" customHeight="1" s="402">
      <c r="A129" s="161">
        <f>IFERROR(IF($J129&gt;0,ROW()-4,""),"")</f>
        <v/>
      </c>
      <c r="B129" s="161">
        <f>IFERROR(IF($J129&gt;0,INDEX('Invullen groen'!$A:$A,$J129),""),"")</f>
        <v/>
      </c>
      <c r="C129" s="161">
        <f>IFERROR(IF($J129&gt;0,INDEX('Invullen groen'!$C:$C,$J129),""),"")</f>
        <v/>
      </c>
      <c r="D129" s="161">
        <f>IFERROR(IF($J129&gt;0,INDEX('Invullen groen'!$D:$D,$J129),""),"")</f>
        <v/>
      </c>
      <c r="E129" s="161">
        <f>IFERROR(IF($J129&gt;0,INDEX('Invullen groen'!$G:$G,$J129),""),"")</f>
        <v/>
      </c>
      <c r="F129" s="162">
        <f>IFERROR(IF($J129&gt;0,IF(INDEX('Invullen groen'!$H:$H,$J129)&lt;&gt;0,INDEX('Invullen groen'!$H:$H,$J129),""),""),"")</f>
        <v/>
      </c>
      <c r="G129" s="162">
        <f>IFERROR(IF($J129&gt;0,IF(INDEX('Invullen groen'!$I:$I,$J129)&lt;&gt;0,INDEX('Invullen groen'!$I:$I,$J129),""),""),"")</f>
        <v/>
      </c>
      <c r="H129" s="162">
        <f>IFERROR(IF($J129&gt;0,IF(INDEX('Invullen groen'!$J:$J,$J129)&lt;&gt;0,INDEX('Invullen groen'!$J:$J,$J129),""),""),"")</f>
        <v/>
      </c>
      <c r="I129" s="162">
        <f>IFERROR(IF($J129&gt;0,IF(INDEX('Invullen groen'!$K:$K,$J129)&lt;&gt;0,INDEX('Invullen groen'!$K:$K,$J129),""),""),"")</f>
        <v/>
      </c>
      <c r="J129" s="83">
        <f>IFERROR(MATCH(ROW()-4,'Invullen groen'!$P$17:$P$272,0)+16,0)</f>
        <v/>
      </c>
    </row>
    <row r="130" hidden="1" ht="15" customHeight="1" s="402">
      <c r="A130" s="163">
        <f>IFERROR(IF($J130&gt;0,ROW()-4,""),"")</f>
        <v/>
      </c>
      <c r="B130" s="163">
        <f>IFERROR(IF($J130&gt;0,INDEX('Invullen groen'!$A:$A,$J130),""),"")</f>
        <v/>
      </c>
      <c r="C130" s="163">
        <f>IFERROR(IF($J130&gt;0,INDEX('Invullen groen'!$C:$C,$J130),""),"")</f>
        <v/>
      </c>
      <c r="D130" s="163">
        <f>IFERROR(IF($J130&gt;0,INDEX('Invullen groen'!$D:$D,$J130),""),"")</f>
        <v/>
      </c>
      <c r="E130" s="163">
        <f>IFERROR(IF($J130&gt;0,INDEX('Invullen groen'!$G:$G,$J130),""),"")</f>
        <v/>
      </c>
      <c r="F130" s="164">
        <f>IFERROR(IF($J130&gt;0,IF(INDEX('Invullen groen'!$H:$H,$J130)&lt;&gt;0,INDEX('Invullen groen'!$H:$H,$J130),""),""),"")</f>
        <v/>
      </c>
      <c r="G130" s="164">
        <f>IFERROR(IF($J130&gt;0,IF(INDEX('Invullen groen'!$I:$I,$J130)&lt;&gt;0,INDEX('Invullen groen'!$I:$I,$J130),""),""),"")</f>
        <v/>
      </c>
      <c r="H130" s="164">
        <f>IFERROR(IF($J130&gt;0,IF(INDEX('Invullen groen'!$J:$J,$J130)&lt;&gt;0,INDEX('Invullen groen'!$J:$J,$J130),""),""),"")</f>
        <v/>
      </c>
      <c r="I130" s="164">
        <f>IFERROR(IF($J130&gt;0,IF(INDEX('Invullen groen'!$K:$K,$J130)&lt;&gt;0,INDEX('Invullen groen'!$K:$K,$J130),""),""),"")</f>
        <v/>
      </c>
      <c r="J130" s="83">
        <f>IFERROR(MATCH(ROW()-4,'Invullen groen'!$P$17:$P$272,0)+16,0)</f>
        <v/>
      </c>
    </row>
    <row r="131" hidden="1" ht="15" customHeight="1" s="402">
      <c r="A131" s="161">
        <f>IFERROR(IF($J131&gt;0,ROW()-4,""),"")</f>
        <v/>
      </c>
      <c r="B131" s="161">
        <f>IFERROR(IF($J131&gt;0,INDEX('Invullen groen'!$A:$A,$J131),""),"")</f>
        <v/>
      </c>
      <c r="C131" s="161">
        <f>IFERROR(IF($J131&gt;0,INDEX('Invullen groen'!$C:$C,$J131),""),"")</f>
        <v/>
      </c>
      <c r="D131" s="161">
        <f>IFERROR(IF($J131&gt;0,INDEX('Invullen groen'!$D:$D,$J131),""),"")</f>
        <v/>
      </c>
      <c r="E131" s="161">
        <f>IFERROR(IF($J131&gt;0,INDEX('Invullen groen'!$G:$G,$J131),""),"")</f>
        <v/>
      </c>
      <c r="F131" s="162">
        <f>IFERROR(IF($J131&gt;0,IF(INDEX('Invullen groen'!$H:$H,$J131)&lt;&gt;0,INDEX('Invullen groen'!$H:$H,$J131),""),""),"")</f>
        <v/>
      </c>
      <c r="G131" s="162">
        <f>IFERROR(IF($J131&gt;0,IF(INDEX('Invullen groen'!$I:$I,$J131)&lt;&gt;0,INDEX('Invullen groen'!$I:$I,$J131),""),""),"")</f>
        <v/>
      </c>
      <c r="H131" s="162">
        <f>IFERROR(IF($J131&gt;0,IF(INDEX('Invullen groen'!$J:$J,$J131)&lt;&gt;0,INDEX('Invullen groen'!$J:$J,$J131),""),""),"")</f>
        <v/>
      </c>
      <c r="I131" s="162">
        <f>IFERROR(IF($J131&gt;0,IF(INDEX('Invullen groen'!$K:$K,$J131)&lt;&gt;0,INDEX('Invullen groen'!$K:$K,$J131),""),""),"")</f>
        <v/>
      </c>
      <c r="J131" s="83">
        <f>IFERROR(MATCH(ROW()-4,'Invullen groen'!$P$17:$P$272,0)+16,0)</f>
        <v/>
      </c>
    </row>
    <row r="132" hidden="1" ht="15" customHeight="1" s="402">
      <c r="A132" s="163">
        <f>IFERROR(IF($J132&gt;0,ROW()-4,""),"")</f>
        <v/>
      </c>
      <c r="B132" s="163">
        <f>IFERROR(IF($J132&gt;0,INDEX('Invullen groen'!$A:$A,$J132),""),"")</f>
        <v/>
      </c>
      <c r="C132" s="163">
        <f>IFERROR(IF($J132&gt;0,INDEX('Invullen groen'!$C:$C,$J132),""),"")</f>
        <v/>
      </c>
      <c r="D132" s="163">
        <f>IFERROR(IF($J132&gt;0,INDEX('Invullen groen'!$D:$D,$J132),""),"")</f>
        <v/>
      </c>
      <c r="E132" s="163">
        <f>IFERROR(IF($J132&gt;0,INDEX('Invullen groen'!$G:$G,$J132),""),"")</f>
        <v/>
      </c>
      <c r="F132" s="164">
        <f>IFERROR(IF($J132&gt;0,IF(INDEX('Invullen groen'!$H:$H,$J132)&lt;&gt;0,INDEX('Invullen groen'!$H:$H,$J132),""),""),"")</f>
        <v/>
      </c>
      <c r="G132" s="164">
        <f>IFERROR(IF($J132&gt;0,IF(INDEX('Invullen groen'!$I:$I,$J132)&lt;&gt;0,INDEX('Invullen groen'!$I:$I,$J132),""),""),"")</f>
        <v/>
      </c>
      <c r="H132" s="164">
        <f>IFERROR(IF($J132&gt;0,IF(INDEX('Invullen groen'!$J:$J,$J132)&lt;&gt;0,INDEX('Invullen groen'!$J:$J,$J132),""),""),"")</f>
        <v/>
      </c>
      <c r="I132" s="164">
        <f>IFERROR(IF($J132&gt;0,IF(INDEX('Invullen groen'!$K:$K,$J132)&lt;&gt;0,INDEX('Invullen groen'!$K:$K,$J132),""),""),"")</f>
        <v/>
      </c>
      <c r="J132" s="83">
        <f>IFERROR(MATCH(ROW()-4,'Invullen groen'!$P$17:$P$272,0)+16,0)</f>
        <v/>
      </c>
    </row>
    <row r="133" hidden="1" ht="15" customHeight="1" s="402">
      <c r="A133" s="161">
        <f>IFERROR(IF($J133&gt;0,ROW()-4,""),"")</f>
        <v/>
      </c>
      <c r="B133" s="161">
        <f>IFERROR(IF($J133&gt;0,INDEX('Invullen groen'!$A:$A,$J133),""),"")</f>
        <v/>
      </c>
      <c r="C133" s="161">
        <f>IFERROR(IF($J133&gt;0,INDEX('Invullen groen'!$C:$C,$J133),""),"")</f>
        <v/>
      </c>
      <c r="D133" s="161">
        <f>IFERROR(IF($J133&gt;0,INDEX('Invullen groen'!$D:$D,$J133),""),"")</f>
        <v/>
      </c>
      <c r="E133" s="161">
        <f>IFERROR(IF($J133&gt;0,INDEX('Invullen groen'!$G:$G,$J133),""),"")</f>
        <v/>
      </c>
      <c r="F133" s="162">
        <f>IFERROR(IF($J133&gt;0,IF(INDEX('Invullen groen'!$H:$H,$J133)&lt;&gt;0,INDEX('Invullen groen'!$H:$H,$J133),""),""),"")</f>
        <v/>
      </c>
      <c r="G133" s="162">
        <f>IFERROR(IF($J133&gt;0,IF(INDEX('Invullen groen'!$I:$I,$J133)&lt;&gt;0,INDEX('Invullen groen'!$I:$I,$J133),""),""),"")</f>
        <v/>
      </c>
      <c r="H133" s="162">
        <f>IFERROR(IF($J133&gt;0,IF(INDEX('Invullen groen'!$J:$J,$J133)&lt;&gt;0,INDEX('Invullen groen'!$J:$J,$J133),""),""),"")</f>
        <v/>
      </c>
      <c r="I133" s="162">
        <f>IFERROR(IF($J133&gt;0,IF(INDEX('Invullen groen'!$K:$K,$J133)&lt;&gt;0,INDEX('Invullen groen'!$K:$K,$J133),""),""),"")</f>
        <v/>
      </c>
      <c r="J133" s="83">
        <f>IFERROR(MATCH(ROW()-4,'Invullen groen'!$P$17:$P$272,0)+16,0)</f>
        <v/>
      </c>
    </row>
    <row r="134" hidden="1" ht="15" customHeight="1" s="402">
      <c r="A134" s="163">
        <f>IFERROR(IF($J134&gt;0,ROW()-4,""),"")</f>
        <v/>
      </c>
      <c r="B134" s="163">
        <f>IFERROR(IF($J134&gt;0,INDEX('Invullen groen'!$A:$A,$J134),""),"")</f>
        <v/>
      </c>
      <c r="C134" s="163">
        <f>IFERROR(IF($J134&gt;0,INDEX('Invullen groen'!$C:$C,$J134),""),"")</f>
        <v/>
      </c>
      <c r="D134" s="163">
        <f>IFERROR(IF($J134&gt;0,INDEX('Invullen groen'!$D:$D,$J134),""),"")</f>
        <v/>
      </c>
      <c r="E134" s="163">
        <f>IFERROR(IF($J134&gt;0,INDEX('Invullen groen'!$G:$G,$J134),""),"")</f>
        <v/>
      </c>
      <c r="F134" s="164">
        <f>IFERROR(IF($J134&gt;0,IF(INDEX('Invullen groen'!$H:$H,$J134)&lt;&gt;0,INDEX('Invullen groen'!$H:$H,$J134),""),""),"")</f>
        <v/>
      </c>
      <c r="G134" s="164">
        <f>IFERROR(IF($J134&gt;0,IF(INDEX('Invullen groen'!$I:$I,$J134)&lt;&gt;0,INDEX('Invullen groen'!$I:$I,$J134),""),""),"")</f>
        <v/>
      </c>
      <c r="H134" s="164">
        <f>IFERROR(IF($J134&gt;0,IF(INDEX('Invullen groen'!$J:$J,$J134)&lt;&gt;0,INDEX('Invullen groen'!$J:$J,$J134),""),""),"")</f>
        <v/>
      </c>
      <c r="I134" s="164">
        <f>IFERROR(IF($J134&gt;0,IF(INDEX('Invullen groen'!$K:$K,$J134)&lt;&gt;0,INDEX('Invullen groen'!$K:$K,$J134),""),""),"")</f>
        <v/>
      </c>
      <c r="J134" s="83">
        <f>IFERROR(MATCH(ROW()-4,'Invullen groen'!$P$17:$P$272,0)+16,0)</f>
        <v/>
      </c>
    </row>
    <row r="135" hidden="1" ht="15" customHeight="1" s="402">
      <c r="A135" s="161">
        <f>IFERROR(IF($J135&gt;0,ROW()-4,""),"")</f>
        <v/>
      </c>
      <c r="B135" s="161">
        <f>IFERROR(IF($J135&gt;0,INDEX('Invullen groen'!$A:$A,$J135),""),"")</f>
        <v/>
      </c>
      <c r="C135" s="161">
        <f>IFERROR(IF($J135&gt;0,INDEX('Invullen groen'!$C:$C,$J135),""),"")</f>
        <v/>
      </c>
      <c r="D135" s="161">
        <f>IFERROR(IF($J135&gt;0,INDEX('Invullen groen'!$D:$D,$J135),""),"")</f>
        <v/>
      </c>
      <c r="E135" s="161">
        <f>IFERROR(IF($J135&gt;0,INDEX('Invullen groen'!$G:$G,$J135),""),"")</f>
        <v/>
      </c>
      <c r="F135" s="162">
        <f>IFERROR(IF($J135&gt;0,IF(INDEX('Invullen groen'!$H:$H,$J135)&lt;&gt;0,INDEX('Invullen groen'!$H:$H,$J135),""),""),"")</f>
        <v/>
      </c>
      <c r="G135" s="162">
        <f>IFERROR(IF($J135&gt;0,IF(INDEX('Invullen groen'!$I:$I,$J135)&lt;&gt;0,INDEX('Invullen groen'!$I:$I,$J135),""),""),"")</f>
        <v/>
      </c>
      <c r="H135" s="162">
        <f>IFERROR(IF($J135&gt;0,IF(INDEX('Invullen groen'!$J:$J,$J135)&lt;&gt;0,INDEX('Invullen groen'!$J:$J,$J135),""),""),"")</f>
        <v/>
      </c>
      <c r="I135" s="162">
        <f>IFERROR(IF($J135&gt;0,IF(INDEX('Invullen groen'!$K:$K,$J135)&lt;&gt;0,INDEX('Invullen groen'!$K:$K,$J135),""),""),"")</f>
        <v/>
      </c>
      <c r="J135" s="83">
        <f>IFERROR(MATCH(ROW()-4,'Invullen groen'!$P$17:$P$272,0)+16,0)</f>
        <v/>
      </c>
    </row>
    <row r="136" hidden="1" ht="15" customHeight="1" s="402">
      <c r="A136" s="163">
        <f>IFERROR(IF($J136&gt;0,ROW()-4,""),"")</f>
        <v/>
      </c>
      <c r="B136" s="163">
        <f>IFERROR(IF($J136&gt;0,INDEX('Invullen groen'!$A:$A,$J136),""),"")</f>
        <v/>
      </c>
      <c r="C136" s="163">
        <f>IFERROR(IF($J136&gt;0,INDEX('Invullen groen'!$C:$C,$J136),""),"")</f>
        <v/>
      </c>
      <c r="D136" s="163">
        <f>IFERROR(IF($J136&gt;0,INDEX('Invullen groen'!$D:$D,$J136),""),"")</f>
        <v/>
      </c>
      <c r="E136" s="163">
        <f>IFERROR(IF($J136&gt;0,INDEX('Invullen groen'!$G:$G,$J136),""),"")</f>
        <v/>
      </c>
      <c r="F136" s="164">
        <f>IFERROR(IF($J136&gt;0,IF(INDEX('Invullen groen'!$H:$H,$J136)&lt;&gt;0,INDEX('Invullen groen'!$H:$H,$J136),""),""),"")</f>
        <v/>
      </c>
      <c r="G136" s="164">
        <f>IFERROR(IF($J136&gt;0,IF(INDEX('Invullen groen'!$I:$I,$J136)&lt;&gt;0,INDEX('Invullen groen'!$I:$I,$J136),""),""),"")</f>
        <v/>
      </c>
      <c r="H136" s="164">
        <f>IFERROR(IF($J136&gt;0,IF(INDEX('Invullen groen'!$J:$J,$J136)&lt;&gt;0,INDEX('Invullen groen'!$J:$J,$J136),""),""),"")</f>
        <v/>
      </c>
      <c r="I136" s="164">
        <f>IFERROR(IF($J136&gt;0,IF(INDEX('Invullen groen'!$K:$K,$J136)&lt;&gt;0,INDEX('Invullen groen'!$K:$K,$J136),""),""),"")</f>
        <v/>
      </c>
      <c r="J136" s="83">
        <f>IFERROR(MATCH(ROW()-4,'Invullen groen'!$P$17:$P$272,0)+16,0)</f>
        <v/>
      </c>
    </row>
    <row r="137" hidden="1" ht="15" customHeight="1" s="402">
      <c r="A137" s="161">
        <f>IFERROR(IF($J137&gt;0,ROW()-4,""),"")</f>
        <v/>
      </c>
      <c r="B137" s="161">
        <f>IFERROR(IF($J137&gt;0,INDEX('Invullen groen'!$A:$A,$J137),""),"")</f>
        <v/>
      </c>
      <c r="C137" s="161">
        <f>IFERROR(IF($J137&gt;0,INDEX('Invullen groen'!$C:$C,$J137),""),"")</f>
        <v/>
      </c>
      <c r="D137" s="161">
        <f>IFERROR(IF($J137&gt;0,INDEX('Invullen groen'!$D:$D,$J137),""),"")</f>
        <v/>
      </c>
      <c r="E137" s="161">
        <f>IFERROR(IF($J137&gt;0,INDEX('Invullen groen'!$G:$G,$J137),""),"")</f>
        <v/>
      </c>
      <c r="F137" s="162">
        <f>IFERROR(IF($J137&gt;0,IF(INDEX('Invullen groen'!$H:$H,$J137)&lt;&gt;0,INDEX('Invullen groen'!$H:$H,$J137),""),""),"")</f>
        <v/>
      </c>
      <c r="G137" s="162">
        <f>IFERROR(IF($J137&gt;0,IF(INDEX('Invullen groen'!$I:$I,$J137)&lt;&gt;0,INDEX('Invullen groen'!$I:$I,$J137),""),""),"")</f>
        <v/>
      </c>
      <c r="H137" s="162">
        <f>IFERROR(IF($J137&gt;0,IF(INDEX('Invullen groen'!$J:$J,$J137)&lt;&gt;0,INDEX('Invullen groen'!$J:$J,$J137),""),""),"")</f>
        <v/>
      </c>
      <c r="I137" s="162">
        <f>IFERROR(IF($J137&gt;0,IF(INDEX('Invullen groen'!$K:$K,$J137)&lt;&gt;0,INDEX('Invullen groen'!$K:$K,$J137),""),""),"")</f>
        <v/>
      </c>
      <c r="J137" s="83">
        <f>IFERROR(MATCH(ROW()-4,'Invullen groen'!$P$17:$P$272,0)+16,0)</f>
        <v/>
      </c>
    </row>
    <row r="138" hidden="1" ht="15" customHeight="1" s="402">
      <c r="A138" s="163">
        <f>IFERROR(IF($J138&gt;0,ROW()-4,""),"")</f>
        <v/>
      </c>
      <c r="B138" s="163">
        <f>IFERROR(IF($J138&gt;0,INDEX('Invullen groen'!$A:$A,$J138),""),"")</f>
        <v/>
      </c>
      <c r="C138" s="163">
        <f>IFERROR(IF($J138&gt;0,INDEX('Invullen groen'!$C:$C,$J138),""),"")</f>
        <v/>
      </c>
      <c r="D138" s="163">
        <f>IFERROR(IF($J138&gt;0,INDEX('Invullen groen'!$D:$D,$J138),""),"")</f>
        <v/>
      </c>
      <c r="E138" s="163">
        <f>IFERROR(IF($J138&gt;0,INDEX('Invullen groen'!$G:$G,$J138),""),"")</f>
        <v/>
      </c>
      <c r="F138" s="164">
        <f>IFERROR(IF($J138&gt;0,IF(INDEX('Invullen groen'!$H:$H,$J138)&lt;&gt;0,INDEX('Invullen groen'!$H:$H,$J138),""),""),"")</f>
        <v/>
      </c>
      <c r="G138" s="164">
        <f>IFERROR(IF($J138&gt;0,IF(INDEX('Invullen groen'!$I:$I,$J138)&lt;&gt;0,INDEX('Invullen groen'!$I:$I,$J138),""),""),"")</f>
        <v/>
      </c>
      <c r="H138" s="164">
        <f>IFERROR(IF($J138&gt;0,IF(INDEX('Invullen groen'!$J:$J,$J138)&lt;&gt;0,INDEX('Invullen groen'!$J:$J,$J138),""),""),"")</f>
        <v/>
      </c>
      <c r="I138" s="164">
        <f>IFERROR(IF($J138&gt;0,IF(INDEX('Invullen groen'!$K:$K,$J138)&lt;&gt;0,INDEX('Invullen groen'!$K:$K,$J138),""),""),"")</f>
        <v/>
      </c>
      <c r="J138" s="83">
        <f>IFERROR(MATCH(ROW()-4,'Invullen groen'!$P$17:$P$272,0)+16,0)</f>
        <v/>
      </c>
    </row>
    <row r="139" hidden="1" ht="15" customHeight="1" s="402">
      <c r="A139" s="161">
        <f>IFERROR(IF($J139&gt;0,ROW()-4,""),"")</f>
        <v/>
      </c>
      <c r="B139" s="161">
        <f>IFERROR(IF($J139&gt;0,INDEX('Invullen groen'!$A:$A,$J139),""),"")</f>
        <v/>
      </c>
      <c r="C139" s="161">
        <f>IFERROR(IF($J139&gt;0,INDEX('Invullen groen'!$C:$C,$J139),""),"")</f>
        <v/>
      </c>
      <c r="D139" s="161">
        <f>IFERROR(IF($J139&gt;0,INDEX('Invullen groen'!$D:$D,$J139),""),"")</f>
        <v/>
      </c>
      <c r="E139" s="161">
        <f>IFERROR(IF($J139&gt;0,INDEX('Invullen groen'!$G:$G,$J139),""),"")</f>
        <v/>
      </c>
      <c r="F139" s="162">
        <f>IFERROR(IF($J139&gt;0,IF(INDEX('Invullen groen'!$H:$H,$J139)&lt;&gt;0,INDEX('Invullen groen'!$H:$H,$J139),""),""),"")</f>
        <v/>
      </c>
      <c r="G139" s="162">
        <f>IFERROR(IF($J139&gt;0,IF(INDEX('Invullen groen'!$I:$I,$J139)&lt;&gt;0,INDEX('Invullen groen'!$I:$I,$J139),""),""),"")</f>
        <v/>
      </c>
      <c r="H139" s="162">
        <f>IFERROR(IF($J139&gt;0,IF(INDEX('Invullen groen'!$J:$J,$J139)&lt;&gt;0,INDEX('Invullen groen'!$J:$J,$J139),""),""),"")</f>
        <v/>
      </c>
      <c r="I139" s="162">
        <f>IFERROR(IF($J139&gt;0,IF(INDEX('Invullen groen'!$K:$K,$J139)&lt;&gt;0,INDEX('Invullen groen'!$K:$K,$J139),""),""),"")</f>
        <v/>
      </c>
      <c r="J139" s="83">
        <f>IFERROR(MATCH(ROW()-4,'Invullen groen'!$P$17:$P$272,0)+16,0)</f>
        <v/>
      </c>
    </row>
    <row r="140" hidden="1" ht="15" customHeight="1" s="402">
      <c r="A140" s="163">
        <f>IFERROR(IF($J140&gt;0,ROW()-4,""),"")</f>
        <v/>
      </c>
      <c r="B140" s="163">
        <f>IFERROR(IF($J140&gt;0,INDEX('Invullen groen'!$A:$A,$J140),""),"")</f>
        <v/>
      </c>
      <c r="C140" s="163">
        <f>IFERROR(IF($J140&gt;0,INDEX('Invullen groen'!$C:$C,$J140),""),"")</f>
        <v/>
      </c>
      <c r="D140" s="163">
        <f>IFERROR(IF($J140&gt;0,INDEX('Invullen groen'!$D:$D,$J140),""),"")</f>
        <v/>
      </c>
      <c r="E140" s="163">
        <f>IFERROR(IF($J140&gt;0,INDEX('Invullen groen'!$G:$G,$J140),""),"")</f>
        <v/>
      </c>
      <c r="F140" s="164">
        <f>IFERROR(IF($J140&gt;0,IF(INDEX('Invullen groen'!$H:$H,$J140)&lt;&gt;0,INDEX('Invullen groen'!$H:$H,$J140),""),""),"")</f>
        <v/>
      </c>
      <c r="G140" s="164">
        <f>IFERROR(IF($J140&gt;0,IF(INDEX('Invullen groen'!$I:$I,$J140)&lt;&gt;0,INDEX('Invullen groen'!$I:$I,$J140),""),""),"")</f>
        <v/>
      </c>
      <c r="H140" s="164">
        <f>IFERROR(IF($J140&gt;0,IF(INDEX('Invullen groen'!$J:$J,$J140)&lt;&gt;0,INDEX('Invullen groen'!$J:$J,$J140),""),""),"")</f>
        <v/>
      </c>
      <c r="I140" s="164">
        <f>IFERROR(IF($J140&gt;0,IF(INDEX('Invullen groen'!$K:$K,$J140)&lt;&gt;0,INDEX('Invullen groen'!$K:$K,$J140),""),""),"")</f>
        <v/>
      </c>
      <c r="J140" s="83">
        <f>IFERROR(MATCH(ROW()-4,'Invullen groen'!$P$17:$P$272,0)+16,0)</f>
        <v/>
      </c>
    </row>
    <row r="141" hidden="1" ht="15" customHeight="1" s="402">
      <c r="A141" s="161">
        <f>IFERROR(IF($J141&gt;0,ROW()-4,""),"")</f>
        <v/>
      </c>
      <c r="B141" s="161">
        <f>IFERROR(IF($J141&gt;0,INDEX('Invullen groen'!$A:$A,$J141),""),"")</f>
        <v/>
      </c>
      <c r="C141" s="161">
        <f>IFERROR(IF($J141&gt;0,INDEX('Invullen groen'!$C:$C,$J141),""),"")</f>
        <v/>
      </c>
      <c r="D141" s="161">
        <f>IFERROR(IF($J141&gt;0,INDEX('Invullen groen'!$D:$D,$J141),""),"")</f>
        <v/>
      </c>
      <c r="E141" s="161">
        <f>IFERROR(IF($J141&gt;0,INDEX('Invullen groen'!$G:$G,$J141),""),"")</f>
        <v/>
      </c>
      <c r="F141" s="162">
        <f>IFERROR(IF($J141&gt;0,IF(INDEX('Invullen groen'!$H:$H,$J141)&lt;&gt;0,INDEX('Invullen groen'!$H:$H,$J141),""),""),"")</f>
        <v/>
      </c>
      <c r="G141" s="162">
        <f>IFERROR(IF($J141&gt;0,IF(INDEX('Invullen groen'!$I:$I,$J141)&lt;&gt;0,INDEX('Invullen groen'!$I:$I,$J141),""),""),"")</f>
        <v/>
      </c>
      <c r="H141" s="162">
        <f>IFERROR(IF($J141&gt;0,IF(INDEX('Invullen groen'!$J:$J,$J141)&lt;&gt;0,INDEX('Invullen groen'!$J:$J,$J141),""),""),"")</f>
        <v/>
      </c>
      <c r="I141" s="162">
        <f>IFERROR(IF($J141&gt;0,IF(INDEX('Invullen groen'!$K:$K,$J141)&lt;&gt;0,INDEX('Invullen groen'!$K:$K,$J141),""),""),"")</f>
        <v/>
      </c>
      <c r="J141" s="83">
        <f>IFERROR(MATCH(ROW()-4,'Invullen groen'!$P$17:$P$272,0)+16,0)</f>
        <v/>
      </c>
    </row>
    <row r="142" hidden="1" ht="15" customHeight="1" s="402">
      <c r="A142" s="163">
        <f>IFERROR(IF($J142&gt;0,ROW()-4,""),"")</f>
        <v/>
      </c>
      <c r="B142" s="163">
        <f>IFERROR(IF($J142&gt;0,INDEX('Invullen groen'!$A:$A,$J142),""),"")</f>
        <v/>
      </c>
      <c r="C142" s="163">
        <f>IFERROR(IF($J142&gt;0,INDEX('Invullen groen'!$C:$C,$J142),""),"")</f>
        <v/>
      </c>
      <c r="D142" s="163">
        <f>IFERROR(IF($J142&gt;0,INDEX('Invullen groen'!$D:$D,$J142),""),"")</f>
        <v/>
      </c>
      <c r="E142" s="163">
        <f>IFERROR(IF($J142&gt;0,INDEX('Invullen groen'!$G:$G,$J142),""),"")</f>
        <v/>
      </c>
      <c r="F142" s="164">
        <f>IFERROR(IF($J142&gt;0,IF(INDEX('Invullen groen'!$H:$H,$J142)&lt;&gt;0,INDEX('Invullen groen'!$H:$H,$J142),""),""),"")</f>
        <v/>
      </c>
      <c r="G142" s="164">
        <f>IFERROR(IF($J142&gt;0,IF(INDEX('Invullen groen'!$I:$I,$J142)&lt;&gt;0,INDEX('Invullen groen'!$I:$I,$J142),""),""),"")</f>
        <v/>
      </c>
      <c r="H142" s="164">
        <f>IFERROR(IF($J142&gt;0,IF(INDEX('Invullen groen'!$J:$J,$J142)&lt;&gt;0,INDEX('Invullen groen'!$J:$J,$J142),""),""),"")</f>
        <v/>
      </c>
      <c r="I142" s="164">
        <f>IFERROR(IF($J142&gt;0,IF(INDEX('Invullen groen'!$K:$K,$J142)&lt;&gt;0,INDEX('Invullen groen'!$K:$K,$J142),""),""),"")</f>
        <v/>
      </c>
      <c r="J142" s="83">
        <f>IFERROR(MATCH(ROW()-4,'Invullen groen'!$P$17:$P$272,0)+16,0)</f>
        <v/>
      </c>
    </row>
    <row r="143" hidden="1" ht="15" customHeight="1" s="402">
      <c r="A143" s="161">
        <f>IFERROR(IF($J143&gt;0,ROW()-4,""),"")</f>
        <v/>
      </c>
      <c r="B143" s="161">
        <f>IFERROR(IF($J143&gt;0,INDEX('Invullen groen'!$A:$A,$J143),""),"")</f>
        <v/>
      </c>
      <c r="C143" s="161">
        <f>IFERROR(IF($J143&gt;0,INDEX('Invullen groen'!$C:$C,$J143),""),"")</f>
        <v/>
      </c>
      <c r="D143" s="161">
        <f>IFERROR(IF($J143&gt;0,INDEX('Invullen groen'!$D:$D,$J143),""),"")</f>
        <v/>
      </c>
      <c r="E143" s="161">
        <f>IFERROR(IF($J143&gt;0,INDEX('Invullen groen'!$G:$G,$J143),""),"")</f>
        <v/>
      </c>
      <c r="F143" s="162">
        <f>IFERROR(IF($J143&gt;0,IF(INDEX('Invullen groen'!$H:$H,$J143)&lt;&gt;0,INDEX('Invullen groen'!$H:$H,$J143),""),""),"")</f>
        <v/>
      </c>
      <c r="G143" s="162">
        <f>IFERROR(IF($J143&gt;0,IF(INDEX('Invullen groen'!$I:$I,$J143)&lt;&gt;0,INDEX('Invullen groen'!$I:$I,$J143),""),""),"")</f>
        <v/>
      </c>
      <c r="H143" s="162">
        <f>IFERROR(IF($J143&gt;0,IF(INDEX('Invullen groen'!$J:$J,$J143)&lt;&gt;0,INDEX('Invullen groen'!$J:$J,$J143),""),""),"")</f>
        <v/>
      </c>
      <c r="I143" s="162">
        <f>IFERROR(IF($J143&gt;0,IF(INDEX('Invullen groen'!$K:$K,$J143)&lt;&gt;0,INDEX('Invullen groen'!$K:$K,$J143),""),""),"")</f>
        <v/>
      </c>
      <c r="J143" s="83">
        <f>IFERROR(MATCH(ROW()-4,'Invullen groen'!$P$17:$P$272,0)+16,0)</f>
        <v/>
      </c>
    </row>
    <row r="144" hidden="1" ht="15" customHeight="1" s="402">
      <c r="A144" s="163">
        <f>IFERROR(IF($J144&gt;0,ROW()-4,""),"")</f>
        <v/>
      </c>
      <c r="B144" s="163">
        <f>IFERROR(IF($J144&gt;0,INDEX('Invullen groen'!$A:$A,$J144),""),"")</f>
        <v/>
      </c>
      <c r="C144" s="163">
        <f>IFERROR(IF($J144&gt;0,INDEX('Invullen groen'!$C:$C,$J144),""),"")</f>
        <v/>
      </c>
      <c r="D144" s="163">
        <f>IFERROR(IF($J144&gt;0,INDEX('Invullen groen'!$D:$D,$J144),""),"")</f>
        <v/>
      </c>
      <c r="E144" s="163">
        <f>IFERROR(IF($J144&gt;0,INDEX('Invullen groen'!$G:$G,$J144),""),"")</f>
        <v/>
      </c>
      <c r="F144" s="164">
        <f>IFERROR(IF($J144&gt;0,IF(INDEX('Invullen groen'!$H:$H,$J144)&lt;&gt;0,INDEX('Invullen groen'!$H:$H,$J144),""),""),"")</f>
        <v/>
      </c>
      <c r="G144" s="164">
        <f>IFERROR(IF($J144&gt;0,IF(INDEX('Invullen groen'!$I:$I,$J144)&lt;&gt;0,INDEX('Invullen groen'!$I:$I,$J144),""),""),"")</f>
        <v/>
      </c>
      <c r="H144" s="164">
        <f>IFERROR(IF($J144&gt;0,IF(INDEX('Invullen groen'!$J:$J,$J144)&lt;&gt;0,INDEX('Invullen groen'!$J:$J,$J144),""),""),"")</f>
        <v/>
      </c>
      <c r="I144" s="164">
        <f>IFERROR(IF($J144&gt;0,IF(INDEX('Invullen groen'!$K:$K,$J144)&lt;&gt;0,INDEX('Invullen groen'!$K:$K,$J144),""),""),"")</f>
        <v/>
      </c>
      <c r="J144" s="83">
        <f>IFERROR(MATCH(ROW()-4,'Invullen groen'!$P$17:$P$272,0)+16,0)</f>
        <v/>
      </c>
    </row>
    <row r="145" hidden="1" ht="15" customHeight="1" s="402">
      <c r="A145" s="161">
        <f>IFERROR(IF($J145&gt;0,ROW()-4,""),"")</f>
        <v/>
      </c>
      <c r="B145" s="161">
        <f>IFERROR(IF($J145&gt;0,INDEX('Invullen groen'!$A:$A,$J145),""),"")</f>
        <v/>
      </c>
      <c r="C145" s="161">
        <f>IFERROR(IF($J145&gt;0,INDEX('Invullen groen'!$C:$C,$J145),""),"")</f>
        <v/>
      </c>
      <c r="D145" s="161">
        <f>IFERROR(IF($J145&gt;0,INDEX('Invullen groen'!$D:$D,$J145),""),"")</f>
        <v/>
      </c>
      <c r="E145" s="161">
        <f>IFERROR(IF($J145&gt;0,INDEX('Invullen groen'!$G:$G,$J145),""),"")</f>
        <v/>
      </c>
      <c r="F145" s="162">
        <f>IFERROR(IF($J145&gt;0,IF(INDEX('Invullen groen'!$H:$H,$J145)&lt;&gt;0,INDEX('Invullen groen'!$H:$H,$J145),""),""),"")</f>
        <v/>
      </c>
      <c r="G145" s="162">
        <f>IFERROR(IF($J145&gt;0,IF(INDEX('Invullen groen'!$I:$I,$J145)&lt;&gt;0,INDEX('Invullen groen'!$I:$I,$J145),""),""),"")</f>
        <v/>
      </c>
      <c r="H145" s="162">
        <f>IFERROR(IF($J145&gt;0,IF(INDEX('Invullen groen'!$J:$J,$J145)&lt;&gt;0,INDEX('Invullen groen'!$J:$J,$J145),""),""),"")</f>
        <v/>
      </c>
      <c r="I145" s="162">
        <f>IFERROR(IF($J145&gt;0,IF(INDEX('Invullen groen'!$K:$K,$J145)&lt;&gt;0,INDEX('Invullen groen'!$K:$K,$J145),""),""),"")</f>
        <v/>
      </c>
      <c r="J145" s="83">
        <f>IFERROR(MATCH(ROW()-4,'Invullen groen'!$P$17:$P$272,0)+16,0)</f>
        <v/>
      </c>
    </row>
    <row r="146" hidden="1" ht="15" customHeight="1" s="402">
      <c r="A146" s="163">
        <f>IFERROR(IF($J146&gt;0,ROW()-4,""),"")</f>
        <v/>
      </c>
      <c r="B146" s="163">
        <f>IFERROR(IF($J146&gt;0,INDEX('Invullen groen'!$A:$A,$J146),""),"")</f>
        <v/>
      </c>
      <c r="C146" s="163">
        <f>IFERROR(IF($J146&gt;0,INDEX('Invullen groen'!$C:$C,$J146),""),"")</f>
        <v/>
      </c>
      <c r="D146" s="163">
        <f>IFERROR(IF($J146&gt;0,INDEX('Invullen groen'!$D:$D,$J146),""),"")</f>
        <v/>
      </c>
      <c r="E146" s="163">
        <f>IFERROR(IF($J146&gt;0,INDEX('Invullen groen'!$G:$G,$J146),""),"")</f>
        <v/>
      </c>
      <c r="F146" s="164">
        <f>IFERROR(IF($J146&gt;0,IF(INDEX('Invullen groen'!$H:$H,$J146)&lt;&gt;0,INDEX('Invullen groen'!$H:$H,$J146),""),""),"")</f>
        <v/>
      </c>
      <c r="G146" s="164">
        <f>IFERROR(IF($J146&gt;0,IF(INDEX('Invullen groen'!$I:$I,$J146)&lt;&gt;0,INDEX('Invullen groen'!$I:$I,$J146),""),""),"")</f>
        <v/>
      </c>
      <c r="H146" s="164">
        <f>IFERROR(IF($J146&gt;0,IF(INDEX('Invullen groen'!$J:$J,$J146)&lt;&gt;0,INDEX('Invullen groen'!$J:$J,$J146),""),""),"")</f>
        <v/>
      </c>
      <c r="I146" s="164">
        <f>IFERROR(IF($J146&gt;0,IF(INDEX('Invullen groen'!$K:$K,$J146)&lt;&gt;0,INDEX('Invullen groen'!$K:$K,$J146),""),""),"")</f>
        <v/>
      </c>
      <c r="J146" s="83">
        <f>IFERROR(MATCH(ROW()-4,'Invullen groen'!$P$17:$P$272,0)+16,0)</f>
        <v/>
      </c>
    </row>
    <row r="147" hidden="1" ht="15" customHeight="1" s="402">
      <c r="A147" s="161">
        <f>IFERROR(IF($J147&gt;0,ROW()-4,""),"")</f>
        <v/>
      </c>
      <c r="B147" s="161">
        <f>IFERROR(IF($J147&gt;0,INDEX('Invullen groen'!$A:$A,$J147),""),"")</f>
        <v/>
      </c>
      <c r="C147" s="161">
        <f>IFERROR(IF($J147&gt;0,INDEX('Invullen groen'!$C:$C,$J147),""),"")</f>
        <v/>
      </c>
      <c r="D147" s="161">
        <f>IFERROR(IF($J147&gt;0,INDEX('Invullen groen'!$D:$D,$J147),""),"")</f>
        <v/>
      </c>
      <c r="E147" s="161">
        <f>IFERROR(IF($J147&gt;0,INDEX('Invullen groen'!$G:$G,$J147),""),"")</f>
        <v/>
      </c>
      <c r="F147" s="162">
        <f>IFERROR(IF($J147&gt;0,IF(INDEX('Invullen groen'!$H:$H,$J147)&lt;&gt;0,INDEX('Invullen groen'!$H:$H,$J147),""),""),"")</f>
        <v/>
      </c>
      <c r="G147" s="162">
        <f>IFERROR(IF($J147&gt;0,IF(INDEX('Invullen groen'!$I:$I,$J147)&lt;&gt;0,INDEX('Invullen groen'!$I:$I,$J147),""),""),"")</f>
        <v/>
      </c>
      <c r="H147" s="162">
        <f>IFERROR(IF($J147&gt;0,IF(INDEX('Invullen groen'!$J:$J,$J147)&lt;&gt;0,INDEX('Invullen groen'!$J:$J,$J147),""),""),"")</f>
        <v/>
      </c>
      <c r="I147" s="162">
        <f>IFERROR(IF($J147&gt;0,IF(INDEX('Invullen groen'!$K:$K,$J147)&lt;&gt;0,INDEX('Invullen groen'!$K:$K,$J147),""),""),"")</f>
        <v/>
      </c>
      <c r="J147" s="83">
        <f>IFERROR(MATCH(ROW()-4,'Invullen groen'!$P$17:$P$272,0)+16,0)</f>
        <v/>
      </c>
    </row>
    <row r="148" hidden="1" ht="15" customHeight="1" s="402">
      <c r="A148" s="163">
        <f>IFERROR(IF($J148&gt;0,ROW()-4,""),"")</f>
        <v/>
      </c>
      <c r="B148" s="163">
        <f>IFERROR(IF($J148&gt;0,INDEX('Invullen groen'!$A:$A,$J148),""),"")</f>
        <v/>
      </c>
      <c r="C148" s="163">
        <f>IFERROR(IF($J148&gt;0,INDEX('Invullen groen'!$C:$C,$J148),""),"")</f>
        <v/>
      </c>
      <c r="D148" s="163">
        <f>IFERROR(IF($J148&gt;0,INDEX('Invullen groen'!$D:$D,$J148),""),"")</f>
        <v/>
      </c>
      <c r="E148" s="163">
        <f>IFERROR(IF($J148&gt;0,INDEX('Invullen groen'!$G:$G,$J148),""),"")</f>
        <v/>
      </c>
      <c r="F148" s="164">
        <f>IFERROR(IF($J148&gt;0,IF(INDEX('Invullen groen'!$H:$H,$J148)&lt;&gt;0,INDEX('Invullen groen'!$H:$H,$J148),""),""),"")</f>
        <v/>
      </c>
      <c r="G148" s="164">
        <f>IFERROR(IF($J148&gt;0,IF(INDEX('Invullen groen'!$I:$I,$J148)&lt;&gt;0,INDEX('Invullen groen'!$I:$I,$J148),""),""),"")</f>
        <v/>
      </c>
      <c r="H148" s="164">
        <f>IFERROR(IF($J148&gt;0,IF(INDEX('Invullen groen'!$J:$J,$J148)&lt;&gt;0,INDEX('Invullen groen'!$J:$J,$J148),""),""),"")</f>
        <v/>
      </c>
      <c r="I148" s="164">
        <f>IFERROR(IF($J148&gt;0,IF(INDEX('Invullen groen'!$K:$K,$J148)&lt;&gt;0,INDEX('Invullen groen'!$K:$K,$J148),""),""),"")</f>
        <v/>
      </c>
      <c r="J148" s="83">
        <f>IFERROR(MATCH(ROW()-4,'Invullen groen'!$P$17:$P$272,0)+16,0)</f>
        <v/>
      </c>
    </row>
    <row r="149" hidden="1" ht="15" customHeight="1" s="402">
      <c r="A149" s="161">
        <f>IFERROR(IF($J149&gt;0,ROW()-4,""),"")</f>
        <v/>
      </c>
      <c r="B149" s="161">
        <f>IFERROR(IF($J149&gt;0,INDEX('Invullen groen'!$A:$A,$J149),""),"")</f>
        <v/>
      </c>
      <c r="C149" s="161">
        <f>IFERROR(IF($J149&gt;0,INDEX('Invullen groen'!$C:$C,$J149),""),"")</f>
        <v/>
      </c>
      <c r="D149" s="161">
        <f>IFERROR(IF($J149&gt;0,INDEX('Invullen groen'!$D:$D,$J149),""),"")</f>
        <v/>
      </c>
      <c r="E149" s="161">
        <f>IFERROR(IF($J149&gt;0,INDEX('Invullen groen'!$G:$G,$J149),""),"")</f>
        <v/>
      </c>
      <c r="F149" s="162">
        <f>IFERROR(IF($J149&gt;0,IF(INDEX('Invullen groen'!$H:$H,$J149)&lt;&gt;0,INDEX('Invullen groen'!$H:$H,$J149),""),""),"")</f>
        <v/>
      </c>
      <c r="G149" s="162">
        <f>IFERROR(IF($J149&gt;0,IF(INDEX('Invullen groen'!$I:$I,$J149)&lt;&gt;0,INDEX('Invullen groen'!$I:$I,$J149),""),""),"")</f>
        <v/>
      </c>
      <c r="H149" s="162">
        <f>IFERROR(IF($J149&gt;0,IF(INDEX('Invullen groen'!$J:$J,$J149)&lt;&gt;0,INDEX('Invullen groen'!$J:$J,$J149),""),""),"")</f>
        <v/>
      </c>
      <c r="I149" s="162">
        <f>IFERROR(IF($J149&gt;0,IF(INDEX('Invullen groen'!$K:$K,$J149)&lt;&gt;0,INDEX('Invullen groen'!$K:$K,$J149),""),""),"")</f>
        <v/>
      </c>
      <c r="J149" s="83">
        <f>IFERROR(MATCH(ROW()-4,'Invullen groen'!$P$17:$P$272,0)+16,0)</f>
        <v/>
      </c>
    </row>
    <row r="150" hidden="1" ht="15" customHeight="1" s="402">
      <c r="A150" s="163">
        <f>IFERROR(IF($J150&gt;0,ROW()-4,""),"")</f>
        <v/>
      </c>
      <c r="B150" s="163">
        <f>IFERROR(IF($J150&gt;0,INDEX('Invullen groen'!$A:$A,$J150),""),"")</f>
        <v/>
      </c>
      <c r="C150" s="163">
        <f>IFERROR(IF($J150&gt;0,INDEX('Invullen groen'!$C:$C,$J150),""),"")</f>
        <v/>
      </c>
      <c r="D150" s="163">
        <f>IFERROR(IF($J150&gt;0,INDEX('Invullen groen'!$D:$D,$J150),""),"")</f>
        <v/>
      </c>
      <c r="E150" s="163">
        <f>IFERROR(IF($J150&gt;0,INDEX('Invullen groen'!$G:$G,$J150),""),"")</f>
        <v/>
      </c>
      <c r="F150" s="164">
        <f>IFERROR(IF($J150&gt;0,IF(INDEX('Invullen groen'!$H:$H,$J150)&lt;&gt;0,INDEX('Invullen groen'!$H:$H,$J150),""),""),"")</f>
        <v/>
      </c>
      <c r="G150" s="164">
        <f>IFERROR(IF($J150&gt;0,IF(INDEX('Invullen groen'!$I:$I,$J150)&lt;&gt;0,INDEX('Invullen groen'!$I:$I,$J150),""),""),"")</f>
        <v/>
      </c>
      <c r="H150" s="164">
        <f>IFERROR(IF($J150&gt;0,IF(INDEX('Invullen groen'!$J:$J,$J150)&lt;&gt;0,INDEX('Invullen groen'!$J:$J,$J150),""),""),"")</f>
        <v/>
      </c>
      <c r="I150" s="164">
        <f>IFERROR(IF($J150&gt;0,IF(INDEX('Invullen groen'!$K:$K,$J150)&lt;&gt;0,INDEX('Invullen groen'!$K:$K,$J150),""),""),"")</f>
        <v/>
      </c>
      <c r="J150" s="83">
        <f>IFERROR(MATCH(ROW()-4,'Invullen groen'!$P$17:$P$272,0)+16,0)</f>
        <v/>
      </c>
    </row>
    <row r="151" hidden="1" ht="15" customHeight="1" s="402">
      <c r="A151" s="161">
        <f>IFERROR(IF($J151&gt;0,ROW()-4,""),"")</f>
        <v/>
      </c>
      <c r="B151" s="161">
        <f>IFERROR(IF($J151&gt;0,INDEX('Invullen groen'!$A:$A,$J151),""),"")</f>
        <v/>
      </c>
      <c r="C151" s="161">
        <f>IFERROR(IF($J151&gt;0,INDEX('Invullen groen'!$C:$C,$J151),""),"")</f>
        <v/>
      </c>
      <c r="D151" s="161">
        <f>IFERROR(IF($J151&gt;0,INDEX('Invullen groen'!$D:$D,$J151),""),"")</f>
        <v/>
      </c>
      <c r="E151" s="161">
        <f>IFERROR(IF($J151&gt;0,INDEX('Invullen groen'!$G:$G,$J151),""),"")</f>
        <v/>
      </c>
      <c r="F151" s="162">
        <f>IFERROR(IF($J151&gt;0,IF(INDEX('Invullen groen'!$H:$H,$J151)&lt;&gt;0,INDEX('Invullen groen'!$H:$H,$J151),""),""),"")</f>
        <v/>
      </c>
      <c r="G151" s="162">
        <f>IFERROR(IF($J151&gt;0,IF(INDEX('Invullen groen'!$I:$I,$J151)&lt;&gt;0,INDEX('Invullen groen'!$I:$I,$J151),""),""),"")</f>
        <v/>
      </c>
      <c r="H151" s="162">
        <f>IFERROR(IF($J151&gt;0,IF(INDEX('Invullen groen'!$J:$J,$J151)&lt;&gt;0,INDEX('Invullen groen'!$J:$J,$J151),""),""),"")</f>
        <v/>
      </c>
      <c r="I151" s="162">
        <f>IFERROR(IF($J151&gt;0,IF(INDEX('Invullen groen'!$K:$K,$J151)&lt;&gt;0,INDEX('Invullen groen'!$K:$K,$J151),""),""),"")</f>
        <v/>
      </c>
      <c r="J151" s="83">
        <f>IFERROR(MATCH(ROW()-4,'Invullen groen'!$P$17:$P$272,0)+16,0)</f>
        <v/>
      </c>
    </row>
    <row r="152" hidden="1" ht="15" customHeight="1" s="402">
      <c r="A152" s="163">
        <f>IFERROR(IF($J152&gt;0,ROW()-4,""),"")</f>
        <v/>
      </c>
      <c r="B152" s="163">
        <f>IFERROR(IF($J152&gt;0,INDEX('Invullen groen'!$A:$A,$J152),""),"")</f>
        <v/>
      </c>
      <c r="C152" s="163">
        <f>IFERROR(IF($J152&gt;0,INDEX('Invullen groen'!$C:$C,$J152),""),"")</f>
        <v/>
      </c>
      <c r="D152" s="163">
        <f>IFERROR(IF($J152&gt;0,INDEX('Invullen groen'!$D:$D,$J152),""),"")</f>
        <v/>
      </c>
      <c r="E152" s="163">
        <f>IFERROR(IF($J152&gt;0,INDEX('Invullen groen'!$G:$G,$J152),""),"")</f>
        <v/>
      </c>
      <c r="F152" s="164">
        <f>IFERROR(IF($J152&gt;0,IF(INDEX('Invullen groen'!$H:$H,$J152)&lt;&gt;0,INDEX('Invullen groen'!$H:$H,$J152),""),""),"")</f>
        <v/>
      </c>
      <c r="G152" s="164">
        <f>IFERROR(IF($J152&gt;0,IF(INDEX('Invullen groen'!$I:$I,$J152)&lt;&gt;0,INDEX('Invullen groen'!$I:$I,$J152),""),""),"")</f>
        <v/>
      </c>
      <c r="H152" s="164">
        <f>IFERROR(IF($J152&gt;0,IF(INDEX('Invullen groen'!$J:$J,$J152)&lt;&gt;0,INDEX('Invullen groen'!$J:$J,$J152),""),""),"")</f>
        <v/>
      </c>
      <c r="I152" s="164">
        <f>IFERROR(IF($J152&gt;0,IF(INDEX('Invullen groen'!$K:$K,$J152)&lt;&gt;0,INDEX('Invullen groen'!$K:$K,$J152),""),""),"")</f>
        <v/>
      </c>
      <c r="J152" s="83">
        <f>IFERROR(MATCH(ROW()-4,'Invullen groen'!$P$17:$P$272,0)+16,0)</f>
        <v/>
      </c>
    </row>
    <row r="153" hidden="1" ht="15" customHeight="1" s="402">
      <c r="A153" s="161">
        <f>IFERROR(IF($J153&gt;0,ROW()-4,""),"")</f>
        <v/>
      </c>
      <c r="B153" s="161">
        <f>IFERROR(IF($J153&gt;0,INDEX('Invullen groen'!$A:$A,$J153),""),"")</f>
        <v/>
      </c>
      <c r="C153" s="161">
        <f>IFERROR(IF($J153&gt;0,INDEX('Invullen groen'!$C:$C,$J153),""),"")</f>
        <v/>
      </c>
      <c r="D153" s="161">
        <f>IFERROR(IF($J153&gt;0,INDEX('Invullen groen'!$D:$D,$J153),""),"")</f>
        <v/>
      </c>
      <c r="E153" s="161">
        <f>IFERROR(IF($J153&gt;0,INDEX('Invullen groen'!$G:$G,$J153),""),"")</f>
        <v/>
      </c>
      <c r="F153" s="162">
        <f>IFERROR(IF($J153&gt;0,IF(INDEX('Invullen groen'!$H:$H,$J153)&lt;&gt;0,INDEX('Invullen groen'!$H:$H,$J153),""),""),"")</f>
        <v/>
      </c>
      <c r="G153" s="162">
        <f>IFERROR(IF($J153&gt;0,IF(INDEX('Invullen groen'!$I:$I,$J153)&lt;&gt;0,INDEX('Invullen groen'!$I:$I,$J153),""),""),"")</f>
        <v/>
      </c>
      <c r="H153" s="162">
        <f>IFERROR(IF($J153&gt;0,IF(INDEX('Invullen groen'!$J:$J,$J153)&lt;&gt;0,INDEX('Invullen groen'!$J:$J,$J153),""),""),"")</f>
        <v/>
      </c>
      <c r="I153" s="162">
        <f>IFERROR(IF($J153&gt;0,IF(INDEX('Invullen groen'!$K:$K,$J153)&lt;&gt;0,INDEX('Invullen groen'!$K:$K,$J153),""),""),"")</f>
        <v/>
      </c>
      <c r="J153" s="83">
        <f>IFERROR(MATCH(ROW()-4,'Invullen groen'!$P$17:$P$272,0)+16,0)</f>
        <v/>
      </c>
    </row>
    <row r="154" hidden="1" ht="15" customHeight="1" s="402">
      <c r="A154" s="163">
        <f>IFERROR(IF($J154&gt;0,ROW()-4,""),"")</f>
        <v/>
      </c>
      <c r="B154" s="163">
        <f>IFERROR(IF($J154&gt;0,INDEX('Invullen groen'!$A:$A,$J154),""),"")</f>
        <v/>
      </c>
      <c r="C154" s="163">
        <f>IFERROR(IF($J154&gt;0,INDEX('Invullen groen'!$C:$C,$J154),""),"")</f>
        <v/>
      </c>
      <c r="D154" s="163">
        <f>IFERROR(IF($J154&gt;0,INDEX('Invullen groen'!$D:$D,$J154),""),"")</f>
        <v/>
      </c>
      <c r="E154" s="163">
        <f>IFERROR(IF($J154&gt;0,INDEX('Invullen groen'!$G:$G,$J154),""),"")</f>
        <v/>
      </c>
      <c r="F154" s="164">
        <f>IFERROR(IF($J154&gt;0,IF(INDEX('Invullen groen'!$H:$H,$J154)&lt;&gt;0,INDEX('Invullen groen'!$H:$H,$J154),""),""),"")</f>
        <v/>
      </c>
      <c r="G154" s="164">
        <f>IFERROR(IF($J154&gt;0,IF(INDEX('Invullen groen'!$I:$I,$J154)&lt;&gt;0,INDEX('Invullen groen'!$I:$I,$J154),""),""),"")</f>
        <v/>
      </c>
      <c r="H154" s="164">
        <f>IFERROR(IF($J154&gt;0,IF(INDEX('Invullen groen'!$J:$J,$J154)&lt;&gt;0,INDEX('Invullen groen'!$J:$J,$J154),""),""),"")</f>
        <v/>
      </c>
      <c r="I154" s="164">
        <f>IFERROR(IF($J154&gt;0,IF(INDEX('Invullen groen'!$K:$K,$J154)&lt;&gt;0,INDEX('Invullen groen'!$K:$K,$J154),""),""),"")</f>
        <v/>
      </c>
      <c r="J154" s="83">
        <f>IFERROR(MATCH(ROW()-4,'Invullen groen'!$P$17:$P$272,0)+16,0)</f>
        <v/>
      </c>
    </row>
    <row r="155" hidden="1" ht="15" customHeight="1" s="402">
      <c r="A155" s="161">
        <f>IFERROR(IF($J155&gt;0,ROW()-4,""),"")</f>
        <v/>
      </c>
      <c r="B155" s="161">
        <f>IFERROR(IF($J155&gt;0,INDEX('Invullen groen'!$A:$A,$J155),""),"")</f>
        <v/>
      </c>
      <c r="C155" s="161">
        <f>IFERROR(IF($J155&gt;0,INDEX('Invullen groen'!$C:$C,$J155),""),"")</f>
        <v/>
      </c>
      <c r="D155" s="161">
        <f>IFERROR(IF($J155&gt;0,INDEX('Invullen groen'!$D:$D,$J155),""),"")</f>
        <v/>
      </c>
      <c r="E155" s="161">
        <f>IFERROR(IF($J155&gt;0,INDEX('Invullen groen'!$G:$G,$J155),""),"")</f>
        <v/>
      </c>
      <c r="F155" s="162">
        <f>IFERROR(IF($J155&gt;0,IF(INDEX('Invullen groen'!$H:$H,$J155)&lt;&gt;0,INDEX('Invullen groen'!$H:$H,$J155),""),""),"")</f>
        <v/>
      </c>
      <c r="G155" s="162">
        <f>IFERROR(IF($J155&gt;0,IF(INDEX('Invullen groen'!$I:$I,$J155)&lt;&gt;0,INDEX('Invullen groen'!$I:$I,$J155),""),""),"")</f>
        <v/>
      </c>
      <c r="H155" s="162">
        <f>IFERROR(IF($J155&gt;0,IF(INDEX('Invullen groen'!$J:$J,$J155)&lt;&gt;0,INDEX('Invullen groen'!$J:$J,$J155),""),""),"")</f>
        <v/>
      </c>
      <c r="I155" s="162">
        <f>IFERROR(IF($J155&gt;0,IF(INDEX('Invullen groen'!$K:$K,$J155)&lt;&gt;0,INDEX('Invullen groen'!$K:$K,$J155),""),""),"")</f>
        <v/>
      </c>
      <c r="J155" s="83">
        <f>IFERROR(MATCH(ROW()-4,'Invullen groen'!$P$17:$P$272,0)+16,0)</f>
        <v/>
      </c>
    </row>
    <row r="156" hidden="1" ht="15" customHeight="1" s="402">
      <c r="A156" s="163">
        <f>IFERROR(IF($J156&gt;0,ROW()-4,""),"")</f>
        <v/>
      </c>
      <c r="B156" s="163">
        <f>IFERROR(IF($J156&gt;0,INDEX('Invullen groen'!$A:$A,$J156),""),"")</f>
        <v/>
      </c>
      <c r="C156" s="163">
        <f>IFERROR(IF($J156&gt;0,INDEX('Invullen groen'!$C:$C,$J156),""),"")</f>
        <v/>
      </c>
      <c r="D156" s="163">
        <f>IFERROR(IF($J156&gt;0,INDEX('Invullen groen'!$D:$D,$J156),""),"")</f>
        <v/>
      </c>
      <c r="E156" s="163">
        <f>IFERROR(IF($J156&gt;0,INDEX('Invullen groen'!$G:$G,$J156),""),"")</f>
        <v/>
      </c>
      <c r="F156" s="164">
        <f>IFERROR(IF($J156&gt;0,IF(INDEX('Invullen groen'!$H:$H,$J156)&lt;&gt;0,INDEX('Invullen groen'!$H:$H,$J156),""),""),"")</f>
        <v/>
      </c>
      <c r="G156" s="164">
        <f>IFERROR(IF($J156&gt;0,IF(INDEX('Invullen groen'!$I:$I,$J156)&lt;&gt;0,INDEX('Invullen groen'!$I:$I,$J156),""),""),"")</f>
        <v/>
      </c>
      <c r="H156" s="164">
        <f>IFERROR(IF($J156&gt;0,IF(INDEX('Invullen groen'!$J:$J,$J156)&lt;&gt;0,INDEX('Invullen groen'!$J:$J,$J156),""),""),"")</f>
        <v/>
      </c>
      <c r="I156" s="164">
        <f>IFERROR(IF($J156&gt;0,IF(INDEX('Invullen groen'!$K:$K,$J156)&lt;&gt;0,INDEX('Invullen groen'!$K:$K,$J156),""),""),"")</f>
        <v/>
      </c>
      <c r="J156" s="83">
        <f>IFERROR(MATCH(ROW()-4,'Invullen groen'!$P$17:$P$272,0)+16,0)</f>
        <v/>
      </c>
    </row>
    <row r="157" hidden="1" ht="15" customHeight="1" s="402">
      <c r="A157" s="161">
        <f>IFERROR(IF($J157&gt;0,ROW()-4,""),"")</f>
        <v/>
      </c>
      <c r="B157" s="161">
        <f>IFERROR(IF($J157&gt;0,INDEX('Invullen groen'!$A:$A,$J157),""),"")</f>
        <v/>
      </c>
      <c r="C157" s="161">
        <f>IFERROR(IF($J157&gt;0,INDEX('Invullen groen'!$C:$C,$J157),""),"")</f>
        <v/>
      </c>
      <c r="D157" s="161">
        <f>IFERROR(IF($J157&gt;0,INDEX('Invullen groen'!$D:$D,$J157),""),"")</f>
        <v/>
      </c>
      <c r="E157" s="161">
        <f>IFERROR(IF($J157&gt;0,INDEX('Invullen groen'!$G:$G,$J157),""),"")</f>
        <v/>
      </c>
      <c r="F157" s="162">
        <f>IFERROR(IF($J157&gt;0,IF(INDEX('Invullen groen'!$H:$H,$J157)&lt;&gt;0,INDEX('Invullen groen'!$H:$H,$J157),""),""),"")</f>
        <v/>
      </c>
      <c r="G157" s="162">
        <f>IFERROR(IF($J157&gt;0,IF(INDEX('Invullen groen'!$I:$I,$J157)&lt;&gt;0,INDEX('Invullen groen'!$I:$I,$J157),""),""),"")</f>
        <v/>
      </c>
      <c r="H157" s="162">
        <f>IFERROR(IF($J157&gt;0,IF(INDEX('Invullen groen'!$J:$J,$J157)&lt;&gt;0,INDEX('Invullen groen'!$J:$J,$J157),""),""),"")</f>
        <v/>
      </c>
      <c r="I157" s="162">
        <f>IFERROR(IF($J157&gt;0,IF(INDEX('Invullen groen'!$K:$K,$J157)&lt;&gt;0,INDEX('Invullen groen'!$K:$K,$J157),""),""),"")</f>
        <v/>
      </c>
      <c r="J157" s="83">
        <f>IFERROR(MATCH(ROW()-4,'Invullen groen'!$P$17:$P$272,0)+16,0)</f>
        <v/>
      </c>
    </row>
    <row r="158" hidden="1" ht="15" customHeight="1" s="402">
      <c r="A158" s="163">
        <f>IFERROR(IF($J158&gt;0,ROW()-4,""),"")</f>
        <v/>
      </c>
      <c r="B158" s="163">
        <f>IFERROR(IF($J158&gt;0,INDEX('Invullen groen'!$A:$A,$J158),""),"")</f>
        <v/>
      </c>
      <c r="C158" s="163">
        <f>IFERROR(IF($J158&gt;0,INDEX('Invullen groen'!$C:$C,$J158),""),"")</f>
        <v/>
      </c>
      <c r="D158" s="163">
        <f>IFERROR(IF($J158&gt;0,INDEX('Invullen groen'!$D:$D,$J158),""),"")</f>
        <v/>
      </c>
      <c r="E158" s="163">
        <f>IFERROR(IF($J158&gt;0,INDEX('Invullen groen'!$G:$G,$J158),""),"")</f>
        <v/>
      </c>
      <c r="F158" s="164">
        <f>IFERROR(IF($J158&gt;0,IF(INDEX('Invullen groen'!$H:$H,$J158)&lt;&gt;0,INDEX('Invullen groen'!$H:$H,$J158),""),""),"")</f>
        <v/>
      </c>
      <c r="G158" s="164">
        <f>IFERROR(IF($J158&gt;0,IF(INDEX('Invullen groen'!$I:$I,$J158)&lt;&gt;0,INDEX('Invullen groen'!$I:$I,$J158),""),""),"")</f>
        <v/>
      </c>
      <c r="H158" s="164">
        <f>IFERROR(IF($J158&gt;0,IF(INDEX('Invullen groen'!$J:$J,$J158)&lt;&gt;0,INDEX('Invullen groen'!$J:$J,$J158),""),""),"")</f>
        <v/>
      </c>
      <c r="I158" s="164">
        <f>IFERROR(IF($J158&gt;0,IF(INDEX('Invullen groen'!$K:$K,$J158)&lt;&gt;0,INDEX('Invullen groen'!$K:$K,$J158),""),""),"")</f>
        <v/>
      </c>
      <c r="J158" s="83">
        <f>IFERROR(MATCH(ROW()-4,'Invullen groen'!$P$17:$P$272,0)+16,0)</f>
        <v/>
      </c>
    </row>
    <row r="159" hidden="1" ht="15" customHeight="1" s="402">
      <c r="A159" s="161">
        <f>IFERROR(IF($J159&gt;0,ROW()-4,""),"")</f>
        <v/>
      </c>
      <c r="B159" s="161">
        <f>IFERROR(IF($J159&gt;0,INDEX('Invullen groen'!$A:$A,$J159),""),"")</f>
        <v/>
      </c>
      <c r="C159" s="161">
        <f>IFERROR(IF($J159&gt;0,INDEX('Invullen groen'!$C:$C,$J159),""),"")</f>
        <v/>
      </c>
      <c r="D159" s="161">
        <f>IFERROR(IF($J159&gt;0,INDEX('Invullen groen'!$D:$D,$J159),""),"")</f>
        <v/>
      </c>
      <c r="E159" s="161">
        <f>IFERROR(IF($J159&gt;0,INDEX('Invullen groen'!$G:$G,$J159),""),"")</f>
        <v/>
      </c>
      <c r="F159" s="162">
        <f>IFERROR(IF($J159&gt;0,IF(INDEX('Invullen groen'!$H:$H,$J159)&lt;&gt;0,INDEX('Invullen groen'!$H:$H,$J159),""),""),"")</f>
        <v/>
      </c>
      <c r="G159" s="162">
        <f>IFERROR(IF($J159&gt;0,IF(INDEX('Invullen groen'!$I:$I,$J159)&lt;&gt;0,INDEX('Invullen groen'!$I:$I,$J159),""),""),"")</f>
        <v/>
      </c>
      <c r="H159" s="162">
        <f>IFERROR(IF($J159&gt;0,IF(INDEX('Invullen groen'!$J:$J,$J159)&lt;&gt;0,INDEX('Invullen groen'!$J:$J,$J159),""),""),"")</f>
        <v/>
      </c>
      <c r="I159" s="162">
        <f>IFERROR(IF($J159&gt;0,IF(INDEX('Invullen groen'!$K:$K,$J159)&lt;&gt;0,INDEX('Invullen groen'!$K:$K,$J159),""),""),"")</f>
        <v/>
      </c>
      <c r="J159" s="83">
        <f>IFERROR(MATCH(ROW()-4,'Invullen groen'!$P$17:$P$272,0)+16,0)</f>
        <v/>
      </c>
    </row>
    <row r="160" hidden="1" ht="15" customHeight="1" s="402">
      <c r="A160" s="163">
        <f>IFERROR(IF($J160&gt;0,ROW()-4,""),"")</f>
        <v/>
      </c>
      <c r="B160" s="163">
        <f>IFERROR(IF($J160&gt;0,INDEX('Invullen groen'!$A:$A,$J160),""),"")</f>
        <v/>
      </c>
      <c r="C160" s="163">
        <f>IFERROR(IF($J160&gt;0,INDEX('Invullen groen'!$C:$C,$J160),""),"")</f>
        <v/>
      </c>
      <c r="D160" s="163">
        <f>IFERROR(IF($J160&gt;0,INDEX('Invullen groen'!$D:$D,$J160),""),"")</f>
        <v/>
      </c>
      <c r="E160" s="163">
        <f>IFERROR(IF($J160&gt;0,INDEX('Invullen groen'!$G:$G,$J160),""),"")</f>
        <v/>
      </c>
      <c r="F160" s="164">
        <f>IFERROR(IF($J160&gt;0,IF(INDEX('Invullen groen'!$H:$H,$J160)&lt;&gt;0,INDEX('Invullen groen'!$H:$H,$J160),""),""),"")</f>
        <v/>
      </c>
      <c r="G160" s="164">
        <f>IFERROR(IF($J160&gt;0,IF(INDEX('Invullen groen'!$I:$I,$J160)&lt;&gt;0,INDEX('Invullen groen'!$I:$I,$J160),""),""),"")</f>
        <v/>
      </c>
      <c r="H160" s="164">
        <f>IFERROR(IF($J160&gt;0,IF(INDEX('Invullen groen'!$J:$J,$J160)&lt;&gt;0,INDEX('Invullen groen'!$J:$J,$J160),""),""),"")</f>
        <v/>
      </c>
      <c r="I160" s="164">
        <f>IFERROR(IF($J160&gt;0,IF(INDEX('Invullen groen'!$K:$K,$J160)&lt;&gt;0,INDEX('Invullen groen'!$K:$K,$J160),""),""),"")</f>
        <v/>
      </c>
      <c r="J160" s="83">
        <f>IFERROR(MATCH(ROW()-4,'Invullen groen'!$P$17:$P$272,0)+16,0)</f>
        <v/>
      </c>
    </row>
    <row r="161" hidden="1" ht="15" customHeight="1" s="402">
      <c r="A161" s="161">
        <f>IFERROR(IF($J161&gt;0,ROW()-4,""),"")</f>
        <v/>
      </c>
      <c r="B161" s="161">
        <f>IFERROR(IF($J161&gt;0,INDEX('Invullen groen'!$A:$A,$J161),""),"")</f>
        <v/>
      </c>
      <c r="C161" s="161">
        <f>IFERROR(IF($J161&gt;0,INDEX('Invullen groen'!$C:$C,$J161),""),"")</f>
        <v/>
      </c>
      <c r="D161" s="161">
        <f>IFERROR(IF($J161&gt;0,INDEX('Invullen groen'!$D:$D,$J161),""),"")</f>
        <v/>
      </c>
      <c r="E161" s="161">
        <f>IFERROR(IF($J161&gt;0,INDEX('Invullen groen'!$G:$G,$J161),""),"")</f>
        <v/>
      </c>
      <c r="F161" s="162">
        <f>IFERROR(IF($J161&gt;0,IF(INDEX('Invullen groen'!$H:$H,$J161)&lt;&gt;0,INDEX('Invullen groen'!$H:$H,$J161),""),""),"")</f>
        <v/>
      </c>
      <c r="G161" s="162">
        <f>IFERROR(IF($J161&gt;0,IF(INDEX('Invullen groen'!$I:$I,$J161)&lt;&gt;0,INDEX('Invullen groen'!$I:$I,$J161),""),""),"")</f>
        <v/>
      </c>
      <c r="H161" s="162">
        <f>IFERROR(IF($J161&gt;0,IF(INDEX('Invullen groen'!$J:$J,$J161)&lt;&gt;0,INDEX('Invullen groen'!$J:$J,$J161),""),""),"")</f>
        <v/>
      </c>
      <c r="I161" s="162">
        <f>IFERROR(IF($J161&gt;0,IF(INDEX('Invullen groen'!$K:$K,$J161)&lt;&gt;0,INDEX('Invullen groen'!$K:$K,$J161),""),""),"")</f>
        <v/>
      </c>
      <c r="J161" s="83">
        <f>IFERROR(MATCH(ROW()-4,'Invullen groen'!$P$17:$P$272,0)+16,0)</f>
        <v/>
      </c>
    </row>
    <row r="162" hidden="1" ht="15" customHeight="1" s="402">
      <c r="A162" s="163">
        <f>IFERROR(IF($J162&gt;0,ROW()-4,""),"")</f>
        <v/>
      </c>
      <c r="B162" s="163">
        <f>IFERROR(IF($J162&gt;0,INDEX('Invullen groen'!$A:$A,$J162),""),"")</f>
        <v/>
      </c>
      <c r="C162" s="163">
        <f>IFERROR(IF($J162&gt;0,INDEX('Invullen groen'!$C:$C,$J162),""),"")</f>
        <v/>
      </c>
      <c r="D162" s="163">
        <f>IFERROR(IF($J162&gt;0,INDEX('Invullen groen'!$D:$D,$J162),""),"")</f>
        <v/>
      </c>
      <c r="E162" s="163">
        <f>IFERROR(IF($J162&gt;0,INDEX('Invullen groen'!$G:$G,$J162),""),"")</f>
        <v/>
      </c>
      <c r="F162" s="164">
        <f>IFERROR(IF($J162&gt;0,IF(INDEX('Invullen groen'!$H:$H,$J162)&lt;&gt;0,INDEX('Invullen groen'!$H:$H,$J162),""),""),"")</f>
        <v/>
      </c>
      <c r="G162" s="164">
        <f>IFERROR(IF($J162&gt;0,IF(INDEX('Invullen groen'!$I:$I,$J162)&lt;&gt;0,INDEX('Invullen groen'!$I:$I,$J162),""),""),"")</f>
        <v/>
      </c>
      <c r="H162" s="164">
        <f>IFERROR(IF($J162&gt;0,IF(INDEX('Invullen groen'!$J:$J,$J162)&lt;&gt;0,INDEX('Invullen groen'!$J:$J,$J162),""),""),"")</f>
        <v/>
      </c>
      <c r="I162" s="164">
        <f>IFERROR(IF($J162&gt;0,IF(INDEX('Invullen groen'!$K:$K,$J162)&lt;&gt;0,INDEX('Invullen groen'!$K:$K,$J162),""),""),"")</f>
        <v/>
      </c>
      <c r="J162" s="83">
        <f>IFERROR(MATCH(ROW()-4,'Invullen groen'!$P$17:$P$272,0)+16,0)</f>
        <v/>
      </c>
    </row>
    <row r="163" hidden="1" ht="15" customHeight="1" s="402">
      <c r="A163" s="161">
        <f>IFERROR(IF($J163&gt;0,ROW()-4,""),"")</f>
        <v/>
      </c>
      <c r="B163" s="161">
        <f>IFERROR(IF($J163&gt;0,INDEX('Invullen groen'!$A:$A,$J163),""),"")</f>
        <v/>
      </c>
      <c r="C163" s="161">
        <f>IFERROR(IF($J163&gt;0,INDEX('Invullen groen'!$C:$C,$J163),""),"")</f>
        <v/>
      </c>
      <c r="D163" s="161">
        <f>IFERROR(IF($J163&gt;0,INDEX('Invullen groen'!$D:$D,$J163),""),"")</f>
        <v/>
      </c>
      <c r="E163" s="161">
        <f>IFERROR(IF($J163&gt;0,INDEX('Invullen groen'!$G:$G,$J163),""),"")</f>
        <v/>
      </c>
      <c r="F163" s="162">
        <f>IFERROR(IF($J163&gt;0,IF(INDEX('Invullen groen'!$H:$H,$J163)&lt;&gt;0,INDEX('Invullen groen'!$H:$H,$J163),""),""),"")</f>
        <v/>
      </c>
      <c r="G163" s="162">
        <f>IFERROR(IF($J163&gt;0,IF(INDEX('Invullen groen'!$I:$I,$J163)&lt;&gt;0,INDEX('Invullen groen'!$I:$I,$J163),""),""),"")</f>
        <v/>
      </c>
      <c r="H163" s="162">
        <f>IFERROR(IF($J163&gt;0,IF(INDEX('Invullen groen'!$J:$J,$J163)&lt;&gt;0,INDEX('Invullen groen'!$J:$J,$J163),""),""),"")</f>
        <v/>
      </c>
      <c r="I163" s="162">
        <f>IFERROR(IF($J163&gt;0,IF(INDEX('Invullen groen'!$K:$K,$J163)&lt;&gt;0,INDEX('Invullen groen'!$K:$K,$J163),""),""),"")</f>
        <v/>
      </c>
      <c r="J163" s="83">
        <f>IFERROR(MATCH(ROW()-4,'Invullen groen'!$P$17:$P$272,0)+16,0)</f>
        <v/>
      </c>
    </row>
    <row r="164" hidden="1" ht="15" customHeight="1" s="402">
      <c r="A164" s="163">
        <f>IFERROR(IF($J164&gt;0,ROW()-4,""),"")</f>
        <v/>
      </c>
      <c r="B164" s="163">
        <f>IFERROR(IF($J164&gt;0,INDEX('Invullen groen'!$A:$A,$J164),""),"")</f>
        <v/>
      </c>
      <c r="C164" s="163">
        <f>IFERROR(IF($J164&gt;0,INDEX('Invullen groen'!$C:$C,$J164),""),"")</f>
        <v/>
      </c>
      <c r="D164" s="163">
        <f>IFERROR(IF($J164&gt;0,INDEX('Invullen groen'!$D:$D,$J164),""),"")</f>
        <v/>
      </c>
      <c r="E164" s="163">
        <f>IFERROR(IF($J164&gt;0,INDEX('Invullen groen'!$G:$G,$J164),""),"")</f>
        <v/>
      </c>
      <c r="F164" s="164">
        <f>IFERROR(IF($J164&gt;0,IF(INDEX('Invullen groen'!$H:$H,$J164)&lt;&gt;0,INDEX('Invullen groen'!$H:$H,$J164),""),""),"")</f>
        <v/>
      </c>
      <c r="G164" s="164">
        <f>IFERROR(IF($J164&gt;0,IF(INDEX('Invullen groen'!$I:$I,$J164)&lt;&gt;0,INDEX('Invullen groen'!$I:$I,$J164),""),""),"")</f>
        <v/>
      </c>
      <c r="H164" s="164">
        <f>IFERROR(IF($J164&gt;0,IF(INDEX('Invullen groen'!$J:$J,$J164)&lt;&gt;0,INDEX('Invullen groen'!$J:$J,$J164),""),""),"")</f>
        <v/>
      </c>
      <c r="I164" s="164">
        <f>IFERROR(IF($J164&gt;0,IF(INDEX('Invullen groen'!$K:$K,$J164)&lt;&gt;0,INDEX('Invullen groen'!$K:$K,$J164),""),""),"")</f>
        <v/>
      </c>
      <c r="J164" s="83">
        <f>IFERROR(MATCH(ROW()-4,'Invullen groen'!$P$17:$P$272,0)+16,0)</f>
        <v/>
      </c>
    </row>
    <row r="165" hidden="1" ht="15" customHeight="1" s="402">
      <c r="A165" s="161">
        <f>IFERROR(IF($J165&gt;0,ROW()-4,""),"")</f>
        <v/>
      </c>
      <c r="B165" s="161">
        <f>IFERROR(IF($J165&gt;0,INDEX('Invullen groen'!$A:$A,$J165),""),"")</f>
        <v/>
      </c>
      <c r="C165" s="161">
        <f>IFERROR(IF($J165&gt;0,INDEX('Invullen groen'!$C:$C,$J165),""),"")</f>
        <v/>
      </c>
      <c r="D165" s="161">
        <f>IFERROR(IF($J165&gt;0,INDEX('Invullen groen'!$D:$D,$J165),""),"")</f>
        <v/>
      </c>
      <c r="E165" s="161">
        <f>IFERROR(IF($J165&gt;0,INDEX('Invullen groen'!$G:$G,$J165),""),"")</f>
        <v/>
      </c>
      <c r="F165" s="162">
        <f>IFERROR(IF($J165&gt;0,IF(INDEX('Invullen groen'!$H:$H,$J165)&lt;&gt;0,INDEX('Invullen groen'!$H:$H,$J165),""),""),"")</f>
        <v/>
      </c>
      <c r="G165" s="162">
        <f>IFERROR(IF($J165&gt;0,IF(INDEX('Invullen groen'!$I:$I,$J165)&lt;&gt;0,INDEX('Invullen groen'!$I:$I,$J165),""),""),"")</f>
        <v/>
      </c>
      <c r="H165" s="162">
        <f>IFERROR(IF($J165&gt;0,IF(INDEX('Invullen groen'!$J:$J,$J165)&lt;&gt;0,INDEX('Invullen groen'!$J:$J,$J165),""),""),"")</f>
        <v/>
      </c>
      <c r="I165" s="162">
        <f>IFERROR(IF($J165&gt;0,IF(INDEX('Invullen groen'!$K:$K,$J165)&lt;&gt;0,INDEX('Invullen groen'!$K:$K,$J165),""),""),"")</f>
        <v/>
      </c>
      <c r="J165" s="83">
        <f>IFERROR(MATCH(ROW()-4,'Invullen groen'!$P$17:$P$272,0)+16,0)</f>
        <v/>
      </c>
    </row>
    <row r="166" hidden="1" ht="15" customHeight="1" s="402">
      <c r="A166" s="163">
        <f>IFERROR(IF($J166&gt;0,ROW()-4,""),"")</f>
        <v/>
      </c>
      <c r="B166" s="163">
        <f>IFERROR(IF($J166&gt;0,INDEX('Invullen groen'!$A:$A,$J166),""),"")</f>
        <v/>
      </c>
      <c r="C166" s="163">
        <f>IFERROR(IF($J166&gt;0,INDEX('Invullen groen'!$C:$C,$J166),""),"")</f>
        <v/>
      </c>
      <c r="D166" s="163">
        <f>IFERROR(IF($J166&gt;0,INDEX('Invullen groen'!$D:$D,$J166),""),"")</f>
        <v/>
      </c>
      <c r="E166" s="163">
        <f>IFERROR(IF($J166&gt;0,INDEX('Invullen groen'!$G:$G,$J166),""),"")</f>
        <v/>
      </c>
      <c r="F166" s="164">
        <f>IFERROR(IF($J166&gt;0,IF(INDEX('Invullen groen'!$H:$H,$J166)&lt;&gt;0,INDEX('Invullen groen'!$H:$H,$J166),""),""),"")</f>
        <v/>
      </c>
      <c r="G166" s="164">
        <f>IFERROR(IF($J166&gt;0,IF(INDEX('Invullen groen'!$I:$I,$J166)&lt;&gt;0,INDEX('Invullen groen'!$I:$I,$J166),""),""),"")</f>
        <v/>
      </c>
      <c r="H166" s="164">
        <f>IFERROR(IF($J166&gt;0,IF(INDEX('Invullen groen'!$J:$J,$J166)&lt;&gt;0,INDEX('Invullen groen'!$J:$J,$J166),""),""),"")</f>
        <v/>
      </c>
      <c r="I166" s="164">
        <f>IFERROR(IF($J166&gt;0,IF(INDEX('Invullen groen'!$K:$K,$J166)&lt;&gt;0,INDEX('Invullen groen'!$K:$K,$J166),""),""),"")</f>
        <v/>
      </c>
      <c r="J166" s="83">
        <f>IFERROR(MATCH(ROW()-4,'Invullen groen'!$P$17:$P$272,0)+16,0)</f>
        <v/>
      </c>
    </row>
    <row r="167" hidden="1" ht="15" customHeight="1" s="402">
      <c r="A167" s="161">
        <f>IFERROR(IF($J167&gt;0,ROW()-4,""),"")</f>
        <v/>
      </c>
      <c r="B167" s="161">
        <f>IFERROR(IF($J167&gt;0,INDEX('Invullen groen'!$A:$A,$J167),""),"")</f>
        <v/>
      </c>
      <c r="C167" s="161">
        <f>IFERROR(IF($J167&gt;0,INDEX('Invullen groen'!$C:$C,$J167),""),"")</f>
        <v/>
      </c>
      <c r="D167" s="161">
        <f>IFERROR(IF($J167&gt;0,INDEX('Invullen groen'!$D:$D,$J167),""),"")</f>
        <v/>
      </c>
      <c r="E167" s="161">
        <f>IFERROR(IF($J167&gt;0,INDEX('Invullen groen'!$G:$G,$J167),""),"")</f>
        <v/>
      </c>
      <c r="F167" s="162">
        <f>IFERROR(IF($J167&gt;0,IF(INDEX('Invullen groen'!$H:$H,$J167)&lt;&gt;0,INDEX('Invullen groen'!$H:$H,$J167),""),""),"")</f>
        <v/>
      </c>
      <c r="G167" s="162">
        <f>IFERROR(IF($J167&gt;0,IF(INDEX('Invullen groen'!$I:$I,$J167)&lt;&gt;0,INDEX('Invullen groen'!$I:$I,$J167),""),""),"")</f>
        <v/>
      </c>
      <c r="H167" s="162">
        <f>IFERROR(IF($J167&gt;0,IF(INDEX('Invullen groen'!$J:$J,$J167)&lt;&gt;0,INDEX('Invullen groen'!$J:$J,$J167),""),""),"")</f>
        <v/>
      </c>
      <c r="I167" s="162">
        <f>IFERROR(IF($J167&gt;0,IF(INDEX('Invullen groen'!$K:$K,$J167)&lt;&gt;0,INDEX('Invullen groen'!$K:$K,$J167),""),""),"")</f>
        <v/>
      </c>
      <c r="J167" s="83">
        <f>IFERROR(MATCH(ROW()-4,'Invullen groen'!$P$17:$P$272,0)+16,0)</f>
        <v/>
      </c>
    </row>
    <row r="168" hidden="1" ht="15" customHeight="1" s="402">
      <c r="A168" s="163">
        <f>IFERROR(IF($J168&gt;0,ROW()-4,""),"")</f>
        <v/>
      </c>
      <c r="B168" s="163">
        <f>IFERROR(IF($J168&gt;0,INDEX('Invullen groen'!$A:$A,$J168),""),"")</f>
        <v/>
      </c>
      <c r="C168" s="163">
        <f>IFERROR(IF($J168&gt;0,INDEX('Invullen groen'!$C:$C,$J168),""),"")</f>
        <v/>
      </c>
      <c r="D168" s="163">
        <f>IFERROR(IF($J168&gt;0,INDEX('Invullen groen'!$D:$D,$J168),""),"")</f>
        <v/>
      </c>
      <c r="E168" s="163">
        <f>IFERROR(IF($J168&gt;0,INDEX('Invullen groen'!$G:$G,$J168),""),"")</f>
        <v/>
      </c>
      <c r="F168" s="164">
        <f>IFERROR(IF($J168&gt;0,IF(INDEX('Invullen groen'!$H:$H,$J168)&lt;&gt;0,INDEX('Invullen groen'!$H:$H,$J168),""),""),"")</f>
        <v/>
      </c>
      <c r="G168" s="164">
        <f>IFERROR(IF($J168&gt;0,IF(INDEX('Invullen groen'!$I:$I,$J168)&lt;&gt;0,INDEX('Invullen groen'!$I:$I,$J168),""),""),"")</f>
        <v/>
      </c>
      <c r="H168" s="164">
        <f>IFERROR(IF($J168&gt;0,IF(INDEX('Invullen groen'!$J:$J,$J168)&lt;&gt;0,INDEX('Invullen groen'!$J:$J,$J168),""),""),"")</f>
        <v/>
      </c>
      <c r="I168" s="164">
        <f>IFERROR(IF($J168&gt;0,IF(INDEX('Invullen groen'!$K:$K,$J168)&lt;&gt;0,INDEX('Invullen groen'!$K:$K,$J168),""),""),"")</f>
        <v/>
      </c>
      <c r="J168" s="83">
        <f>IFERROR(MATCH(ROW()-4,'Invullen groen'!$P$17:$P$272,0)+16,0)</f>
        <v/>
      </c>
    </row>
    <row r="169" hidden="1" ht="15" customHeight="1" s="402">
      <c r="A169" s="161">
        <f>IFERROR(IF($J169&gt;0,ROW()-4,""),"")</f>
        <v/>
      </c>
      <c r="B169" s="161">
        <f>IFERROR(IF($J169&gt;0,INDEX('Invullen groen'!$A:$A,$J169),""),"")</f>
        <v/>
      </c>
      <c r="C169" s="161">
        <f>IFERROR(IF($J169&gt;0,INDEX('Invullen groen'!$C:$C,$J169),""),"")</f>
        <v/>
      </c>
      <c r="D169" s="161">
        <f>IFERROR(IF($J169&gt;0,INDEX('Invullen groen'!$D:$D,$J169),""),"")</f>
        <v/>
      </c>
      <c r="E169" s="161">
        <f>IFERROR(IF($J169&gt;0,INDEX('Invullen groen'!$G:$G,$J169),""),"")</f>
        <v/>
      </c>
      <c r="F169" s="162">
        <f>IFERROR(IF($J169&gt;0,IF(INDEX('Invullen groen'!$H:$H,$J169)&lt;&gt;0,INDEX('Invullen groen'!$H:$H,$J169),""),""),"")</f>
        <v/>
      </c>
      <c r="G169" s="162">
        <f>IFERROR(IF($J169&gt;0,IF(INDEX('Invullen groen'!$I:$I,$J169)&lt;&gt;0,INDEX('Invullen groen'!$I:$I,$J169),""),""),"")</f>
        <v/>
      </c>
      <c r="H169" s="162">
        <f>IFERROR(IF($J169&gt;0,IF(INDEX('Invullen groen'!$J:$J,$J169)&lt;&gt;0,INDEX('Invullen groen'!$J:$J,$J169),""),""),"")</f>
        <v/>
      </c>
      <c r="I169" s="162">
        <f>IFERROR(IF($J169&gt;0,IF(INDEX('Invullen groen'!$K:$K,$J169)&lt;&gt;0,INDEX('Invullen groen'!$K:$K,$J169),""),""),"")</f>
        <v/>
      </c>
      <c r="J169" s="83">
        <f>IFERROR(MATCH(ROW()-4,'Invullen groen'!$P$17:$P$272,0)+16,0)</f>
        <v/>
      </c>
    </row>
    <row r="170" hidden="1" ht="15" customHeight="1" s="402">
      <c r="A170" s="163">
        <f>IFERROR(IF($J170&gt;0,ROW()-4,""),"")</f>
        <v/>
      </c>
      <c r="B170" s="163">
        <f>IFERROR(IF($J170&gt;0,INDEX('Invullen groen'!$A:$A,$J170),""),"")</f>
        <v/>
      </c>
      <c r="C170" s="163">
        <f>IFERROR(IF($J170&gt;0,INDEX('Invullen groen'!$C:$C,$J170),""),"")</f>
        <v/>
      </c>
      <c r="D170" s="163">
        <f>IFERROR(IF($J170&gt;0,INDEX('Invullen groen'!$D:$D,$J170),""),"")</f>
        <v/>
      </c>
      <c r="E170" s="163">
        <f>IFERROR(IF($J170&gt;0,INDEX('Invullen groen'!$G:$G,$J170),""),"")</f>
        <v/>
      </c>
      <c r="F170" s="164">
        <f>IFERROR(IF($J170&gt;0,IF(INDEX('Invullen groen'!$H:$H,$J170)&lt;&gt;0,INDEX('Invullen groen'!$H:$H,$J170),""),""),"")</f>
        <v/>
      </c>
      <c r="G170" s="164">
        <f>IFERROR(IF($J170&gt;0,IF(INDEX('Invullen groen'!$I:$I,$J170)&lt;&gt;0,INDEX('Invullen groen'!$I:$I,$J170),""),""),"")</f>
        <v/>
      </c>
      <c r="H170" s="164">
        <f>IFERROR(IF($J170&gt;0,IF(INDEX('Invullen groen'!$J:$J,$J170)&lt;&gt;0,INDEX('Invullen groen'!$J:$J,$J170),""),""),"")</f>
        <v/>
      </c>
      <c r="I170" s="164">
        <f>IFERROR(IF($J170&gt;0,IF(INDEX('Invullen groen'!$K:$K,$J170)&lt;&gt;0,INDEX('Invullen groen'!$K:$K,$J170),""),""),"")</f>
        <v/>
      </c>
      <c r="J170" s="83">
        <f>IFERROR(MATCH(ROW()-4,'Invullen groen'!$P$17:$P$272,0)+16,0)</f>
        <v/>
      </c>
    </row>
    <row r="171" hidden="1" ht="15" customHeight="1" s="402">
      <c r="A171" s="161">
        <f>IFERROR(IF($J171&gt;0,ROW()-4,""),"")</f>
        <v/>
      </c>
      <c r="B171" s="161">
        <f>IFERROR(IF($J171&gt;0,INDEX('Invullen groen'!$A:$A,$J171),""),"")</f>
        <v/>
      </c>
      <c r="C171" s="161">
        <f>IFERROR(IF($J171&gt;0,INDEX('Invullen groen'!$C:$C,$J171),""),"")</f>
        <v/>
      </c>
      <c r="D171" s="161">
        <f>IFERROR(IF($J171&gt;0,INDEX('Invullen groen'!$D:$D,$J171),""),"")</f>
        <v/>
      </c>
      <c r="E171" s="161">
        <f>IFERROR(IF($J171&gt;0,INDEX('Invullen groen'!$G:$G,$J171),""),"")</f>
        <v/>
      </c>
      <c r="F171" s="162">
        <f>IFERROR(IF($J171&gt;0,IF(INDEX('Invullen groen'!$H:$H,$J171)&lt;&gt;0,INDEX('Invullen groen'!$H:$H,$J171),""),""),"")</f>
        <v/>
      </c>
      <c r="G171" s="162">
        <f>IFERROR(IF($J171&gt;0,IF(INDEX('Invullen groen'!$I:$I,$J171)&lt;&gt;0,INDEX('Invullen groen'!$I:$I,$J171),""),""),"")</f>
        <v/>
      </c>
      <c r="H171" s="162">
        <f>IFERROR(IF($J171&gt;0,IF(INDEX('Invullen groen'!$J:$J,$J171)&lt;&gt;0,INDEX('Invullen groen'!$J:$J,$J171),""),""),"")</f>
        <v/>
      </c>
      <c r="I171" s="162">
        <f>IFERROR(IF($J171&gt;0,IF(INDEX('Invullen groen'!$K:$K,$J171)&lt;&gt;0,INDEX('Invullen groen'!$K:$K,$J171),""),""),"")</f>
        <v/>
      </c>
      <c r="J171" s="83">
        <f>IFERROR(MATCH(ROW()-4,'Invullen groen'!$P$17:$P$272,0)+16,0)</f>
        <v/>
      </c>
    </row>
    <row r="172" hidden="1" ht="15" customHeight="1" s="402">
      <c r="A172" s="163">
        <f>IFERROR(IF($J172&gt;0,ROW()-4,""),"")</f>
        <v/>
      </c>
      <c r="B172" s="163">
        <f>IFERROR(IF($J172&gt;0,INDEX('Invullen groen'!$A:$A,$J172),""),"")</f>
        <v/>
      </c>
      <c r="C172" s="163">
        <f>IFERROR(IF($J172&gt;0,INDEX('Invullen groen'!$C:$C,$J172),""),"")</f>
        <v/>
      </c>
      <c r="D172" s="163">
        <f>IFERROR(IF($J172&gt;0,INDEX('Invullen groen'!$D:$D,$J172),""),"")</f>
        <v/>
      </c>
      <c r="E172" s="163">
        <f>IFERROR(IF($J172&gt;0,INDEX('Invullen groen'!$G:$G,$J172),""),"")</f>
        <v/>
      </c>
      <c r="F172" s="164">
        <f>IFERROR(IF($J172&gt;0,IF(INDEX('Invullen groen'!$H:$H,$J172)&lt;&gt;0,INDEX('Invullen groen'!$H:$H,$J172),""),""),"")</f>
        <v/>
      </c>
      <c r="G172" s="164">
        <f>IFERROR(IF($J172&gt;0,IF(INDEX('Invullen groen'!$I:$I,$J172)&lt;&gt;0,INDEX('Invullen groen'!$I:$I,$J172),""),""),"")</f>
        <v/>
      </c>
      <c r="H172" s="164">
        <f>IFERROR(IF($J172&gt;0,IF(INDEX('Invullen groen'!$J:$J,$J172)&lt;&gt;0,INDEX('Invullen groen'!$J:$J,$J172),""),""),"")</f>
        <v/>
      </c>
      <c r="I172" s="164">
        <f>IFERROR(IF($J172&gt;0,IF(INDEX('Invullen groen'!$K:$K,$J172)&lt;&gt;0,INDEX('Invullen groen'!$K:$K,$J172),""),""),"")</f>
        <v/>
      </c>
      <c r="J172" s="83">
        <f>IFERROR(MATCH(ROW()-4,'Invullen groen'!$P$17:$P$272,0)+16,0)</f>
        <v/>
      </c>
    </row>
    <row r="173" hidden="1" ht="15" customHeight="1" s="402">
      <c r="A173" s="161">
        <f>IFERROR(IF($J173&gt;0,ROW()-4,""),"")</f>
        <v/>
      </c>
      <c r="B173" s="161">
        <f>IFERROR(IF($J173&gt;0,INDEX('Invullen groen'!$A:$A,$J173),""),"")</f>
        <v/>
      </c>
      <c r="C173" s="161">
        <f>IFERROR(IF($J173&gt;0,INDEX('Invullen groen'!$C:$C,$J173),""),"")</f>
        <v/>
      </c>
      <c r="D173" s="161">
        <f>IFERROR(IF($J173&gt;0,INDEX('Invullen groen'!$D:$D,$J173),""),"")</f>
        <v/>
      </c>
      <c r="E173" s="161">
        <f>IFERROR(IF($J173&gt;0,INDEX('Invullen groen'!$G:$G,$J173),""),"")</f>
        <v/>
      </c>
      <c r="F173" s="162">
        <f>IFERROR(IF($J173&gt;0,IF(INDEX('Invullen groen'!$H:$H,$J173)&lt;&gt;0,INDEX('Invullen groen'!$H:$H,$J173),""),""),"")</f>
        <v/>
      </c>
      <c r="G173" s="162">
        <f>IFERROR(IF($J173&gt;0,IF(INDEX('Invullen groen'!$I:$I,$J173)&lt;&gt;0,INDEX('Invullen groen'!$I:$I,$J173),""),""),"")</f>
        <v/>
      </c>
      <c r="H173" s="162">
        <f>IFERROR(IF($J173&gt;0,IF(INDEX('Invullen groen'!$J:$J,$J173)&lt;&gt;0,INDEX('Invullen groen'!$J:$J,$J173),""),""),"")</f>
        <v/>
      </c>
      <c r="I173" s="162">
        <f>IFERROR(IF($J173&gt;0,IF(INDEX('Invullen groen'!$K:$K,$J173)&lt;&gt;0,INDEX('Invullen groen'!$K:$K,$J173),""),""),"")</f>
        <v/>
      </c>
      <c r="J173" s="83">
        <f>IFERROR(MATCH(ROW()-4,'Invullen groen'!$P$17:$P$272,0)+16,0)</f>
        <v/>
      </c>
    </row>
    <row r="174" hidden="1" ht="15" customHeight="1" s="402">
      <c r="A174" s="163">
        <f>IFERROR(IF($J174&gt;0,ROW()-4,""),"")</f>
        <v/>
      </c>
      <c r="B174" s="163">
        <f>IFERROR(IF($J174&gt;0,INDEX('Invullen groen'!$A:$A,$J174),""),"")</f>
        <v/>
      </c>
      <c r="C174" s="163">
        <f>IFERROR(IF($J174&gt;0,INDEX('Invullen groen'!$C:$C,$J174),""),"")</f>
        <v/>
      </c>
      <c r="D174" s="163">
        <f>IFERROR(IF($J174&gt;0,INDEX('Invullen groen'!$D:$D,$J174),""),"")</f>
        <v/>
      </c>
      <c r="E174" s="163">
        <f>IFERROR(IF($J174&gt;0,INDEX('Invullen groen'!$G:$G,$J174),""),"")</f>
        <v/>
      </c>
      <c r="F174" s="164">
        <f>IFERROR(IF($J174&gt;0,IF(INDEX('Invullen groen'!$H:$H,$J174)&lt;&gt;0,INDEX('Invullen groen'!$H:$H,$J174),""),""),"")</f>
        <v/>
      </c>
      <c r="G174" s="164">
        <f>IFERROR(IF($J174&gt;0,IF(INDEX('Invullen groen'!$I:$I,$J174)&lt;&gt;0,INDEX('Invullen groen'!$I:$I,$J174),""),""),"")</f>
        <v/>
      </c>
      <c r="H174" s="164">
        <f>IFERROR(IF($J174&gt;0,IF(INDEX('Invullen groen'!$J:$J,$J174)&lt;&gt;0,INDEX('Invullen groen'!$J:$J,$J174),""),""),"")</f>
        <v/>
      </c>
      <c r="I174" s="164">
        <f>IFERROR(IF($J174&gt;0,IF(INDEX('Invullen groen'!$K:$K,$J174)&lt;&gt;0,INDEX('Invullen groen'!$K:$K,$J174),""),""),"")</f>
        <v/>
      </c>
      <c r="J174" s="83">
        <f>IFERROR(MATCH(ROW()-4,'Invullen groen'!$P$17:$P$272,0)+16,0)</f>
        <v/>
      </c>
    </row>
    <row r="175" hidden="1" ht="15" customHeight="1" s="402">
      <c r="A175" s="161">
        <f>IFERROR(IF($J175&gt;0,ROW()-4,""),"")</f>
        <v/>
      </c>
      <c r="B175" s="161">
        <f>IFERROR(IF($J175&gt;0,INDEX('Invullen groen'!$A:$A,$J175),""),"")</f>
        <v/>
      </c>
      <c r="C175" s="161">
        <f>IFERROR(IF($J175&gt;0,INDEX('Invullen groen'!$C:$C,$J175),""),"")</f>
        <v/>
      </c>
      <c r="D175" s="161">
        <f>IFERROR(IF($J175&gt;0,INDEX('Invullen groen'!$D:$D,$J175),""),"")</f>
        <v/>
      </c>
      <c r="E175" s="161">
        <f>IFERROR(IF($J175&gt;0,INDEX('Invullen groen'!$G:$G,$J175),""),"")</f>
        <v/>
      </c>
      <c r="F175" s="162">
        <f>IFERROR(IF($J175&gt;0,IF(INDEX('Invullen groen'!$H:$H,$J175)&lt;&gt;0,INDEX('Invullen groen'!$H:$H,$J175),""),""),"")</f>
        <v/>
      </c>
      <c r="G175" s="162">
        <f>IFERROR(IF($J175&gt;0,IF(INDEX('Invullen groen'!$I:$I,$J175)&lt;&gt;0,INDEX('Invullen groen'!$I:$I,$J175),""),""),"")</f>
        <v/>
      </c>
      <c r="H175" s="162">
        <f>IFERROR(IF($J175&gt;0,IF(INDEX('Invullen groen'!$J:$J,$J175)&lt;&gt;0,INDEX('Invullen groen'!$J:$J,$J175),""),""),"")</f>
        <v/>
      </c>
      <c r="I175" s="162">
        <f>IFERROR(IF($J175&gt;0,IF(INDEX('Invullen groen'!$K:$K,$J175)&lt;&gt;0,INDEX('Invullen groen'!$K:$K,$J175),""),""),"")</f>
        <v/>
      </c>
      <c r="J175" s="83">
        <f>IFERROR(MATCH(ROW()-4,'Invullen groen'!$P$17:$P$272,0)+16,0)</f>
        <v/>
      </c>
    </row>
    <row r="176" hidden="1" ht="15" customHeight="1" s="402">
      <c r="A176" s="163">
        <f>IFERROR(IF($J176&gt;0,ROW()-4,""),"")</f>
        <v/>
      </c>
      <c r="B176" s="163">
        <f>IFERROR(IF($J176&gt;0,INDEX('Invullen groen'!$A:$A,$J176),""),"")</f>
        <v/>
      </c>
      <c r="C176" s="163">
        <f>IFERROR(IF($J176&gt;0,INDEX('Invullen groen'!$C:$C,$J176),""),"")</f>
        <v/>
      </c>
      <c r="D176" s="163">
        <f>IFERROR(IF($J176&gt;0,INDEX('Invullen groen'!$D:$D,$J176),""),"")</f>
        <v/>
      </c>
      <c r="E176" s="163">
        <f>IFERROR(IF($J176&gt;0,INDEX('Invullen groen'!$G:$G,$J176),""),"")</f>
        <v/>
      </c>
      <c r="F176" s="164">
        <f>IFERROR(IF($J176&gt;0,IF(INDEX('Invullen groen'!$H:$H,$J176)&lt;&gt;0,INDEX('Invullen groen'!$H:$H,$J176),""),""),"")</f>
        <v/>
      </c>
      <c r="G176" s="164">
        <f>IFERROR(IF($J176&gt;0,IF(INDEX('Invullen groen'!$I:$I,$J176)&lt;&gt;0,INDEX('Invullen groen'!$I:$I,$J176),""),""),"")</f>
        <v/>
      </c>
      <c r="H176" s="164">
        <f>IFERROR(IF($J176&gt;0,IF(INDEX('Invullen groen'!$J:$J,$J176)&lt;&gt;0,INDEX('Invullen groen'!$J:$J,$J176),""),""),"")</f>
        <v/>
      </c>
      <c r="I176" s="164">
        <f>IFERROR(IF($J176&gt;0,IF(INDEX('Invullen groen'!$K:$K,$J176)&lt;&gt;0,INDEX('Invullen groen'!$K:$K,$J176),""),""),"")</f>
        <v/>
      </c>
      <c r="J176" s="83">
        <f>IFERROR(MATCH(ROW()-4,'Invullen groen'!$P$17:$P$272,0)+16,0)</f>
        <v/>
      </c>
    </row>
    <row r="177" hidden="1" ht="15" customHeight="1" s="402">
      <c r="A177" s="161">
        <f>IFERROR(IF($J177&gt;0,ROW()-4,""),"")</f>
        <v/>
      </c>
      <c r="B177" s="161">
        <f>IFERROR(IF($J177&gt;0,INDEX('Invullen groen'!$A:$A,$J177),""),"")</f>
        <v/>
      </c>
      <c r="C177" s="161">
        <f>IFERROR(IF($J177&gt;0,INDEX('Invullen groen'!$C:$C,$J177),""),"")</f>
        <v/>
      </c>
      <c r="D177" s="161">
        <f>IFERROR(IF($J177&gt;0,INDEX('Invullen groen'!$D:$D,$J177),""),"")</f>
        <v/>
      </c>
      <c r="E177" s="161">
        <f>IFERROR(IF($J177&gt;0,INDEX('Invullen groen'!$G:$G,$J177),""),"")</f>
        <v/>
      </c>
      <c r="F177" s="162">
        <f>IFERROR(IF($J177&gt;0,IF(INDEX('Invullen groen'!$H:$H,$J177)&lt;&gt;0,INDEX('Invullen groen'!$H:$H,$J177),""),""),"")</f>
        <v/>
      </c>
      <c r="G177" s="162">
        <f>IFERROR(IF($J177&gt;0,IF(INDEX('Invullen groen'!$I:$I,$J177)&lt;&gt;0,INDEX('Invullen groen'!$I:$I,$J177),""),""),"")</f>
        <v/>
      </c>
      <c r="H177" s="162">
        <f>IFERROR(IF($J177&gt;0,IF(INDEX('Invullen groen'!$J:$J,$J177)&lt;&gt;0,INDEX('Invullen groen'!$J:$J,$J177),""),""),"")</f>
        <v/>
      </c>
      <c r="I177" s="162">
        <f>IFERROR(IF($J177&gt;0,IF(INDEX('Invullen groen'!$K:$K,$J177)&lt;&gt;0,INDEX('Invullen groen'!$K:$K,$J177),""),""),"")</f>
        <v/>
      </c>
      <c r="J177" s="83">
        <f>IFERROR(MATCH(ROW()-4,'Invullen groen'!$P$17:$P$272,0)+16,0)</f>
        <v/>
      </c>
    </row>
    <row r="178" hidden="1" ht="15" customHeight="1" s="402">
      <c r="A178" s="163">
        <f>IFERROR(IF($J178&gt;0,ROW()-4,""),"")</f>
        <v/>
      </c>
      <c r="B178" s="163">
        <f>IFERROR(IF($J178&gt;0,INDEX('Invullen groen'!$A:$A,$J178),""),"")</f>
        <v/>
      </c>
      <c r="C178" s="163">
        <f>IFERROR(IF($J178&gt;0,INDEX('Invullen groen'!$C:$C,$J178),""),"")</f>
        <v/>
      </c>
      <c r="D178" s="163">
        <f>IFERROR(IF($J178&gt;0,INDEX('Invullen groen'!$D:$D,$J178),""),"")</f>
        <v/>
      </c>
      <c r="E178" s="163">
        <f>IFERROR(IF($J178&gt;0,INDEX('Invullen groen'!$G:$G,$J178),""),"")</f>
        <v/>
      </c>
      <c r="F178" s="164">
        <f>IFERROR(IF($J178&gt;0,IF(INDEX('Invullen groen'!$H:$H,$J178)&lt;&gt;0,INDEX('Invullen groen'!$H:$H,$J178),""),""),"")</f>
        <v/>
      </c>
      <c r="G178" s="164">
        <f>IFERROR(IF($J178&gt;0,IF(INDEX('Invullen groen'!$I:$I,$J178)&lt;&gt;0,INDEX('Invullen groen'!$I:$I,$J178),""),""),"")</f>
        <v/>
      </c>
      <c r="H178" s="164">
        <f>IFERROR(IF($J178&gt;0,IF(INDEX('Invullen groen'!$J:$J,$J178)&lt;&gt;0,INDEX('Invullen groen'!$J:$J,$J178),""),""),"")</f>
        <v/>
      </c>
      <c r="I178" s="164">
        <f>IFERROR(IF($J178&gt;0,IF(INDEX('Invullen groen'!$K:$K,$J178)&lt;&gt;0,INDEX('Invullen groen'!$K:$K,$J178),""),""),"")</f>
        <v/>
      </c>
      <c r="J178" s="83">
        <f>IFERROR(MATCH(ROW()-4,'Invullen groen'!$P$17:$P$272,0)+16,0)</f>
        <v/>
      </c>
    </row>
    <row r="179" hidden="1" ht="15" customHeight="1" s="402">
      <c r="A179" s="161">
        <f>IFERROR(IF($J179&gt;0,ROW()-4,""),"")</f>
        <v/>
      </c>
      <c r="B179" s="161">
        <f>IFERROR(IF($J179&gt;0,INDEX('Invullen groen'!$A:$A,$J179),""),"")</f>
        <v/>
      </c>
      <c r="C179" s="161">
        <f>IFERROR(IF($J179&gt;0,INDEX('Invullen groen'!$C:$C,$J179),""),"")</f>
        <v/>
      </c>
      <c r="D179" s="161">
        <f>IFERROR(IF($J179&gt;0,INDEX('Invullen groen'!$D:$D,$J179),""),"")</f>
        <v/>
      </c>
      <c r="E179" s="161">
        <f>IFERROR(IF($J179&gt;0,INDEX('Invullen groen'!$G:$G,$J179),""),"")</f>
        <v/>
      </c>
      <c r="F179" s="162">
        <f>IFERROR(IF($J179&gt;0,IF(INDEX('Invullen groen'!$H:$H,$J179)&lt;&gt;0,INDEX('Invullen groen'!$H:$H,$J179),""),""),"")</f>
        <v/>
      </c>
      <c r="G179" s="162">
        <f>IFERROR(IF($J179&gt;0,IF(INDEX('Invullen groen'!$I:$I,$J179)&lt;&gt;0,INDEX('Invullen groen'!$I:$I,$J179),""),""),"")</f>
        <v/>
      </c>
      <c r="H179" s="162">
        <f>IFERROR(IF($J179&gt;0,IF(INDEX('Invullen groen'!$J:$J,$J179)&lt;&gt;0,INDEX('Invullen groen'!$J:$J,$J179),""),""),"")</f>
        <v/>
      </c>
      <c r="I179" s="162">
        <f>IFERROR(IF($J179&gt;0,IF(INDEX('Invullen groen'!$K:$K,$J179)&lt;&gt;0,INDEX('Invullen groen'!$K:$K,$J179),""),""),"")</f>
        <v/>
      </c>
      <c r="J179" s="83">
        <f>IFERROR(MATCH(ROW()-4,'Invullen groen'!$P$17:$P$272,0)+16,0)</f>
        <v/>
      </c>
    </row>
    <row r="180" hidden="1" ht="15" customHeight="1" s="402">
      <c r="A180" s="163">
        <f>IFERROR(IF($J180&gt;0,ROW()-4,""),"")</f>
        <v/>
      </c>
      <c r="B180" s="163">
        <f>IFERROR(IF($J180&gt;0,INDEX('Invullen groen'!$A:$A,$J180),""),"")</f>
        <v/>
      </c>
      <c r="C180" s="163">
        <f>IFERROR(IF($J180&gt;0,INDEX('Invullen groen'!$C:$C,$J180),""),"")</f>
        <v/>
      </c>
      <c r="D180" s="163">
        <f>IFERROR(IF($J180&gt;0,INDEX('Invullen groen'!$D:$D,$J180),""),"")</f>
        <v/>
      </c>
      <c r="E180" s="163">
        <f>IFERROR(IF($J180&gt;0,INDEX('Invullen groen'!$G:$G,$J180),""),"")</f>
        <v/>
      </c>
      <c r="F180" s="164">
        <f>IFERROR(IF($J180&gt;0,IF(INDEX('Invullen groen'!$H:$H,$J180)&lt;&gt;0,INDEX('Invullen groen'!$H:$H,$J180),""),""),"")</f>
        <v/>
      </c>
      <c r="G180" s="164">
        <f>IFERROR(IF($J180&gt;0,IF(INDEX('Invullen groen'!$I:$I,$J180)&lt;&gt;0,INDEX('Invullen groen'!$I:$I,$J180),""),""),"")</f>
        <v/>
      </c>
      <c r="H180" s="164">
        <f>IFERROR(IF($J180&gt;0,IF(INDEX('Invullen groen'!$J:$J,$J180)&lt;&gt;0,INDEX('Invullen groen'!$J:$J,$J180),""),""),"")</f>
        <v/>
      </c>
      <c r="I180" s="164">
        <f>IFERROR(IF($J180&gt;0,IF(INDEX('Invullen groen'!$K:$K,$J180)&lt;&gt;0,INDEX('Invullen groen'!$K:$K,$J180),""),""),"")</f>
        <v/>
      </c>
      <c r="J180" s="83">
        <f>IFERROR(MATCH(ROW()-4,'Invullen groen'!$P$17:$P$272,0)+16,0)</f>
        <v/>
      </c>
    </row>
    <row r="181" hidden="1" ht="15" customHeight="1" s="402">
      <c r="A181" s="161">
        <f>IFERROR(IF($J181&gt;0,ROW()-4,""),"")</f>
        <v/>
      </c>
      <c r="B181" s="161">
        <f>IFERROR(IF($J181&gt;0,INDEX('Invullen groen'!$A:$A,$J181),""),"")</f>
        <v/>
      </c>
      <c r="C181" s="161">
        <f>IFERROR(IF($J181&gt;0,INDEX('Invullen groen'!$C:$C,$J181),""),"")</f>
        <v/>
      </c>
      <c r="D181" s="161">
        <f>IFERROR(IF($J181&gt;0,INDEX('Invullen groen'!$D:$D,$J181),""),"")</f>
        <v/>
      </c>
      <c r="E181" s="161">
        <f>IFERROR(IF($J181&gt;0,INDEX('Invullen groen'!$G:$G,$J181),""),"")</f>
        <v/>
      </c>
      <c r="F181" s="162">
        <f>IFERROR(IF($J181&gt;0,IF(INDEX('Invullen groen'!$H:$H,$J181)&lt;&gt;0,INDEX('Invullen groen'!$H:$H,$J181),""),""),"")</f>
        <v/>
      </c>
      <c r="G181" s="162">
        <f>IFERROR(IF($J181&gt;0,IF(INDEX('Invullen groen'!$I:$I,$J181)&lt;&gt;0,INDEX('Invullen groen'!$I:$I,$J181),""),""),"")</f>
        <v/>
      </c>
      <c r="H181" s="162">
        <f>IFERROR(IF($J181&gt;0,IF(INDEX('Invullen groen'!$J:$J,$J181)&lt;&gt;0,INDEX('Invullen groen'!$J:$J,$J181),""),""),"")</f>
        <v/>
      </c>
      <c r="I181" s="162">
        <f>IFERROR(IF($J181&gt;0,IF(INDEX('Invullen groen'!$K:$K,$J181)&lt;&gt;0,INDEX('Invullen groen'!$K:$K,$J181),""),""),"")</f>
        <v/>
      </c>
      <c r="J181" s="83">
        <f>IFERROR(MATCH(ROW()-4,'Invullen groen'!$P$17:$P$272,0)+16,0)</f>
        <v/>
      </c>
    </row>
    <row r="182" hidden="1" ht="15" customHeight="1" s="402">
      <c r="A182" s="163">
        <f>IFERROR(IF($J182&gt;0,ROW()-4,""),"")</f>
        <v/>
      </c>
      <c r="B182" s="163">
        <f>IFERROR(IF($J182&gt;0,INDEX('Invullen groen'!$A:$A,$J182),""),"")</f>
        <v/>
      </c>
      <c r="C182" s="163">
        <f>IFERROR(IF($J182&gt;0,INDEX('Invullen groen'!$C:$C,$J182),""),"")</f>
        <v/>
      </c>
      <c r="D182" s="163">
        <f>IFERROR(IF($J182&gt;0,INDEX('Invullen groen'!$D:$D,$J182),""),"")</f>
        <v/>
      </c>
      <c r="E182" s="163">
        <f>IFERROR(IF($J182&gt;0,INDEX('Invullen groen'!$G:$G,$J182),""),"")</f>
        <v/>
      </c>
      <c r="F182" s="164">
        <f>IFERROR(IF($J182&gt;0,IF(INDEX('Invullen groen'!$H:$H,$J182)&lt;&gt;0,INDEX('Invullen groen'!$H:$H,$J182),""),""),"")</f>
        <v/>
      </c>
      <c r="G182" s="164">
        <f>IFERROR(IF($J182&gt;0,IF(INDEX('Invullen groen'!$I:$I,$J182)&lt;&gt;0,INDEX('Invullen groen'!$I:$I,$J182),""),""),"")</f>
        <v/>
      </c>
      <c r="H182" s="164">
        <f>IFERROR(IF($J182&gt;0,IF(INDEX('Invullen groen'!$J:$J,$J182)&lt;&gt;0,INDEX('Invullen groen'!$J:$J,$J182),""),""),"")</f>
        <v/>
      </c>
      <c r="I182" s="164">
        <f>IFERROR(IF($J182&gt;0,IF(INDEX('Invullen groen'!$K:$K,$J182)&lt;&gt;0,INDEX('Invullen groen'!$K:$K,$J182),""),""),"")</f>
        <v/>
      </c>
      <c r="J182" s="83">
        <f>IFERROR(MATCH(ROW()-4,'Invullen groen'!$P$17:$P$272,0)+16,0)</f>
        <v/>
      </c>
    </row>
    <row r="183" hidden="1" ht="15" customHeight="1" s="402">
      <c r="A183" s="161">
        <f>IFERROR(IF($J183&gt;0,ROW()-4,""),"")</f>
        <v/>
      </c>
      <c r="B183" s="161">
        <f>IFERROR(IF($J183&gt;0,INDEX('Invullen groen'!$A:$A,$J183),""),"")</f>
        <v/>
      </c>
      <c r="C183" s="161">
        <f>IFERROR(IF($J183&gt;0,INDEX('Invullen groen'!$C:$C,$J183),""),"")</f>
        <v/>
      </c>
      <c r="D183" s="161">
        <f>IFERROR(IF($J183&gt;0,INDEX('Invullen groen'!$D:$D,$J183),""),"")</f>
        <v/>
      </c>
      <c r="E183" s="161">
        <f>IFERROR(IF($J183&gt;0,INDEX('Invullen groen'!$G:$G,$J183),""),"")</f>
        <v/>
      </c>
      <c r="F183" s="162">
        <f>IFERROR(IF($J183&gt;0,IF(INDEX('Invullen groen'!$H:$H,$J183)&lt;&gt;0,INDEX('Invullen groen'!$H:$H,$J183),""),""),"")</f>
        <v/>
      </c>
      <c r="G183" s="162">
        <f>IFERROR(IF($J183&gt;0,IF(INDEX('Invullen groen'!$I:$I,$J183)&lt;&gt;0,INDEX('Invullen groen'!$I:$I,$J183),""),""),"")</f>
        <v/>
      </c>
      <c r="H183" s="162">
        <f>IFERROR(IF($J183&gt;0,IF(INDEX('Invullen groen'!$J:$J,$J183)&lt;&gt;0,INDEX('Invullen groen'!$J:$J,$J183),""),""),"")</f>
        <v/>
      </c>
      <c r="I183" s="162">
        <f>IFERROR(IF($J183&gt;0,IF(INDEX('Invullen groen'!$K:$K,$J183)&lt;&gt;0,INDEX('Invullen groen'!$K:$K,$J183),""),""),"")</f>
        <v/>
      </c>
      <c r="J183" s="83">
        <f>IFERROR(MATCH(ROW()-4,'Invullen groen'!$P$17:$P$272,0)+16,0)</f>
        <v/>
      </c>
    </row>
    <row r="184" hidden="1" ht="15" customHeight="1" s="402">
      <c r="A184" s="163">
        <f>IFERROR(IF($J184&gt;0,ROW()-4,""),"")</f>
        <v/>
      </c>
      <c r="B184" s="163">
        <f>IFERROR(IF($J184&gt;0,INDEX('Invullen groen'!$A:$A,$J184),""),"")</f>
        <v/>
      </c>
      <c r="C184" s="163">
        <f>IFERROR(IF($J184&gt;0,INDEX('Invullen groen'!$C:$C,$J184),""),"")</f>
        <v/>
      </c>
      <c r="D184" s="163">
        <f>IFERROR(IF($J184&gt;0,INDEX('Invullen groen'!$D:$D,$J184),""),"")</f>
        <v/>
      </c>
      <c r="E184" s="163">
        <f>IFERROR(IF($J184&gt;0,INDEX('Invullen groen'!$G:$G,$J184),""),"")</f>
        <v/>
      </c>
      <c r="F184" s="164">
        <f>IFERROR(IF($J184&gt;0,IF(INDEX('Invullen groen'!$H:$H,$J184)&lt;&gt;0,INDEX('Invullen groen'!$H:$H,$J184),""),""),"")</f>
        <v/>
      </c>
      <c r="G184" s="164">
        <f>IFERROR(IF($J184&gt;0,IF(INDEX('Invullen groen'!$I:$I,$J184)&lt;&gt;0,INDEX('Invullen groen'!$I:$I,$J184),""),""),"")</f>
        <v/>
      </c>
      <c r="H184" s="164">
        <f>IFERROR(IF($J184&gt;0,IF(INDEX('Invullen groen'!$J:$J,$J184)&lt;&gt;0,INDEX('Invullen groen'!$J:$J,$J184),""),""),"")</f>
        <v/>
      </c>
      <c r="I184" s="164">
        <f>IFERROR(IF($J184&gt;0,IF(INDEX('Invullen groen'!$K:$K,$J184)&lt;&gt;0,INDEX('Invullen groen'!$K:$K,$J184),""),""),"")</f>
        <v/>
      </c>
      <c r="J184" s="83">
        <f>IFERROR(MATCH(ROW()-4,'Invullen groen'!$P$17:$P$272,0)+16,0)</f>
        <v/>
      </c>
    </row>
    <row r="185" hidden="1" ht="15" customHeight="1" s="402">
      <c r="A185" s="161">
        <f>IFERROR(IF($J185&gt;0,ROW()-4,""),"")</f>
        <v/>
      </c>
      <c r="B185" s="161">
        <f>IFERROR(IF($J185&gt;0,INDEX('Invullen groen'!$A:$A,$J185),""),"")</f>
        <v/>
      </c>
      <c r="C185" s="161">
        <f>IFERROR(IF($J185&gt;0,INDEX('Invullen groen'!$C:$C,$J185),""),"")</f>
        <v/>
      </c>
      <c r="D185" s="161">
        <f>IFERROR(IF($J185&gt;0,INDEX('Invullen groen'!$D:$D,$J185),""),"")</f>
        <v/>
      </c>
      <c r="E185" s="161">
        <f>IFERROR(IF($J185&gt;0,INDEX('Invullen groen'!$G:$G,$J185),""),"")</f>
        <v/>
      </c>
      <c r="F185" s="162">
        <f>IFERROR(IF($J185&gt;0,IF(INDEX('Invullen groen'!$H:$H,$J185)&lt;&gt;0,INDEX('Invullen groen'!$H:$H,$J185),""),""),"")</f>
        <v/>
      </c>
      <c r="G185" s="162">
        <f>IFERROR(IF($J185&gt;0,IF(INDEX('Invullen groen'!$I:$I,$J185)&lt;&gt;0,INDEX('Invullen groen'!$I:$I,$J185),""),""),"")</f>
        <v/>
      </c>
      <c r="H185" s="162">
        <f>IFERROR(IF($J185&gt;0,IF(INDEX('Invullen groen'!$J:$J,$J185)&lt;&gt;0,INDEX('Invullen groen'!$J:$J,$J185),""),""),"")</f>
        <v/>
      </c>
      <c r="I185" s="162">
        <f>IFERROR(IF($J185&gt;0,IF(INDEX('Invullen groen'!$K:$K,$J185)&lt;&gt;0,INDEX('Invullen groen'!$K:$K,$J185),""),""),"")</f>
        <v/>
      </c>
      <c r="J185" s="83">
        <f>IFERROR(MATCH(ROW()-4,'Invullen groen'!$P$17:$P$272,0)+16,0)</f>
        <v/>
      </c>
    </row>
    <row r="186" hidden="1" ht="15" customHeight="1" s="402">
      <c r="A186" s="163">
        <f>IFERROR(IF($J186&gt;0,ROW()-4,""),"")</f>
        <v/>
      </c>
      <c r="B186" s="163">
        <f>IFERROR(IF($J186&gt;0,INDEX('Invullen groen'!$A:$A,$J186),""),"")</f>
        <v/>
      </c>
      <c r="C186" s="163">
        <f>IFERROR(IF($J186&gt;0,INDEX('Invullen groen'!$C:$C,$J186),""),"")</f>
        <v/>
      </c>
      <c r="D186" s="163">
        <f>IFERROR(IF($J186&gt;0,INDEX('Invullen groen'!$D:$D,$J186),""),"")</f>
        <v/>
      </c>
      <c r="E186" s="163">
        <f>IFERROR(IF($J186&gt;0,INDEX('Invullen groen'!$G:$G,$J186),""),"")</f>
        <v/>
      </c>
      <c r="F186" s="164">
        <f>IFERROR(IF($J186&gt;0,IF(INDEX('Invullen groen'!$H:$H,$J186)&lt;&gt;0,INDEX('Invullen groen'!$H:$H,$J186),""),""),"")</f>
        <v/>
      </c>
      <c r="G186" s="164">
        <f>IFERROR(IF($J186&gt;0,IF(INDEX('Invullen groen'!$I:$I,$J186)&lt;&gt;0,INDEX('Invullen groen'!$I:$I,$J186),""),""),"")</f>
        <v/>
      </c>
      <c r="H186" s="164">
        <f>IFERROR(IF($J186&gt;0,IF(INDEX('Invullen groen'!$J:$J,$J186)&lt;&gt;0,INDEX('Invullen groen'!$J:$J,$J186),""),""),"")</f>
        <v/>
      </c>
      <c r="I186" s="164">
        <f>IFERROR(IF($J186&gt;0,IF(INDEX('Invullen groen'!$K:$K,$J186)&lt;&gt;0,INDEX('Invullen groen'!$K:$K,$J186),""),""),"")</f>
        <v/>
      </c>
      <c r="J186" s="83">
        <f>IFERROR(MATCH(ROW()-4,'Invullen groen'!$P$17:$P$272,0)+16,0)</f>
        <v/>
      </c>
    </row>
    <row r="187" hidden="1" ht="15" customHeight="1" s="402">
      <c r="A187" s="161">
        <f>IFERROR(IF($J187&gt;0,ROW()-4,""),"")</f>
        <v/>
      </c>
      <c r="B187" s="161">
        <f>IFERROR(IF($J187&gt;0,INDEX('Invullen groen'!$A:$A,$J187),""),"")</f>
        <v/>
      </c>
      <c r="C187" s="161">
        <f>IFERROR(IF($J187&gt;0,INDEX('Invullen groen'!$C:$C,$J187),""),"")</f>
        <v/>
      </c>
      <c r="D187" s="161">
        <f>IFERROR(IF($J187&gt;0,INDEX('Invullen groen'!$D:$D,$J187),""),"")</f>
        <v/>
      </c>
      <c r="E187" s="161">
        <f>IFERROR(IF($J187&gt;0,INDEX('Invullen groen'!$G:$G,$J187),""),"")</f>
        <v/>
      </c>
      <c r="F187" s="162">
        <f>IFERROR(IF($J187&gt;0,IF(INDEX('Invullen groen'!$H:$H,$J187)&lt;&gt;0,INDEX('Invullen groen'!$H:$H,$J187),""),""),"")</f>
        <v/>
      </c>
      <c r="G187" s="162">
        <f>IFERROR(IF($J187&gt;0,IF(INDEX('Invullen groen'!$I:$I,$J187)&lt;&gt;0,INDEX('Invullen groen'!$I:$I,$J187),""),""),"")</f>
        <v/>
      </c>
      <c r="H187" s="162">
        <f>IFERROR(IF($J187&gt;0,IF(INDEX('Invullen groen'!$J:$J,$J187)&lt;&gt;0,INDEX('Invullen groen'!$J:$J,$J187),""),""),"")</f>
        <v/>
      </c>
      <c r="I187" s="162">
        <f>IFERROR(IF($J187&gt;0,IF(INDEX('Invullen groen'!$K:$K,$J187)&lt;&gt;0,INDEX('Invullen groen'!$K:$K,$J187),""),""),"")</f>
        <v/>
      </c>
      <c r="J187" s="83">
        <f>IFERROR(MATCH(ROW()-4,'Invullen groen'!$P$17:$P$272,0)+16,0)</f>
        <v/>
      </c>
    </row>
    <row r="188" hidden="1" ht="15" customHeight="1" s="402">
      <c r="A188" s="163">
        <f>IFERROR(IF($J188&gt;0,ROW()-4,""),"")</f>
        <v/>
      </c>
      <c r="B188" s="163">
        <f>IFERROR(IF($J188&gt;0,INDEX('Invullen groen'!$A:$A,$J188),""),"")</f>
        <v/>
      </c>
      <c r="C188" s="163">
        <f>IFERROR(IF($J188&gt;0,INDEX('Invullen groen'!$C:$C,$J188),""),"")</f>
        <v/>
      </c>
      <c r="D188" s="163">
        <f>IFERROR(IF($J188&gt;0,INDEX('Invullen groen'!$D:$D,$J188),""),"")</f>
        <v/>
      </c>
      <c r="E188" s="163">
        <f>IFERROR(IF($J188&gt;0,INDEX('Invullen groen'!$G:$G,$J188),""),"")</f>
        <v/>
      </c>
      <c r="F188" s="164">
        <f>IFERROR(IF($J188&gt;0,IF(INDEX('Invullen groen'!$H:$H,$J188)&lt;&gt;0,INDEX('Invullen groen'!$H:$H,$J188),""),""),"")</f>
        <v/>
      </c>
      <c r="G188" s="164">
        <f>IFERROR(IF($J188&gt;0,IF(INDEX('Invullen groen'!$I:$I,$J188)&lt;&gt;0,INDEX('Invullen groen'!$I:$I,$J188),""),""),"")</f>
        <v/>
      </c>
      <c r="H188" s="164">
        <f>IFERROR(IF($J188&gt;0,IF(INDEX('Invullen groen'!$J:$J,$J188)&lt;&gt;0,INDEX('Invullen groen'!$J:$J,$J188),""),""),"")</f>
        <v/>
      </c>
      <c r="I188" s="164">
        <f>IFERROR(IF($J188&gt;0,IF(INDEX('Invullen groen'!$K:$K,$J188)&lt;&gt;0,INDEX('Invullen groen'!$K:$K,$J188),""),""),"")</f>
        <v/>
      </c>
      <c r="J188" s="83">
        <f>IFERROR(MATCH(ROW()-4,'Invullen groen'!$P$17:$P$272,0)+16,0)</f>
        <v/>
      </c>
    </row>
    <row r="189" hidden="1" ht="15" customHeight="1" s="402">
      <c r="A189" s="161">
        <f>IFERROR(IF($J189&gt;0,ROW()-4,""),"")</f>
        <v/>
      </c>
      <c r="B189" s="161">
        <f>IFERROR(IF($J189&gt;0,INDEX('Invullen groen'!$A:$A,$J189),""),"")</f>
        <v/>
      </c>
      <c r="C189" s="161">
        <f>IFERROR(IF($J189&gt;0,INDEX('Invullen groen'!$C:$C,$J189),""),"")</f>
        <v/>
      </c>
      <c r="D189" s="161">
        <f>IFERROR(IF($J189&gt;0,INDEX('Invullen groen'!$D:$D,$J189),""),"")</f>
        <v/>
      </c>
      <c r="E189" s="161">
        <f>IFERROR(IF($J189&gt;0,INDEX('Invullen groen'!$G:$G,$J189),""),"")</f>
        <v/>
      </c>
      <c r="F189" s="162">
        <f>IFERROR(IF($J189&gt;0,IF(INDEX('Invullen groen'!$H:$H,$J189)&lt;&gt;0,INDEX('Invullen groen'!$H:$H,$J189),""),""),"")</f>
        <v/>
      </c>
      <c r="G189" s="162">
        <f>IFERROR(IF($J189&gt;0,IF(INDEX('Invullen groen'!$I:$I,$J189)&lt;&gt;0,INDEX('Invullen groen'!$I:$I,$J189),""),""),"")</f>
        <v/>
      </c>
      <c r="H189" s="162">
        <f>IFERROR(IF($J189&gt;0,IF(INDEX('Invullen groen'!$J:$J,$J189)&lt;&gt;0,INDEX('Invullen groen'!$J:$J,$J189),""),""),"")</f>
        <v/>
      </c>
      <c r="I189" s="162">
        <f>IFERROR(IF($J189&gt;0,IF(INDEX('Invullen groen'!$K:$K,$J189)&lt;&gt;0,INDEX('Invullen groen'!$K:$K,$J189),""),""),"")</f>
        <v/>
      </c>
      <c r="J189" s="83">
        <f>IFERROR(MATCH(ROW()-4,'Invullen groen'!$P$17:$P$272,0)+16,0)</f>
        <v/>
      </c>
    </row>
    <row r="190" hidden="1" ht="15" customHeight="1" s="402">
      <c r="A190" s="163">
        <f>IFERROR(IF($J190&gt;0,ROW()-4,""),"")</f>
        <v/>
      </c>
      <c r="B190" s="163">
        <f>IFERROR(IF($J190&gt;0,INDEX('Invullen groen'!$A:$A,$J190),""),"")</f>
        <v/>
      </c>
      <c r="C190" s="163">
        <f>IFERROR(IF($J190&gt;0,INDEX('Invullen groen'!$C:$C,$J190),""),"")</f>
        <v/>
      </c>
      <c r="D190" s="163">
        <f>IFERROR(IF($J190&gt;0,INDEX('Invullen groen'!$D:$D,$J190),""),"")</f>
        <v/>
      </c>
      <c r="E190" s="163">
        <f>IFERROR(IF($J190&gt;0,INDEX('Invullen groen'!$G:$G,$J190),""),"")</f>
        <v/>
      </c>
      <c r="F190" s="164">
        <f>IFERROR(IF($J190&gt;0,IF(INDEX('Invullen groen'!$H:$H,$J190)&lt;&gt;0,INDEX('Invullen groen'!$H:$H,$J190),""),""),"")</f>
        <v/>
      </c>
      <c r="G190" s="164">
        <f>IFERROR(IF($J190&gt;0,IF(INDEX('Invullen groen'!$I:$I,$J190)&lt;&gt;0,INDEX('Invullen groen'!$I:$I,$J190),""),""),"")</f>
        <v/>
      </c>
      <c r="H190" s="164">
        <f>IFERROR(IF($J190&gt;0,IF(INDEX('Invullen groen'!$J:$J,$J190)&lt;&gt;0,INDEX('Invullen groen'!$J:$J,$J190),""),""),"")</f>
        <v/>
      </c>
      <c r="I190" s="164">
        <f>IFERROR(IF($J190&gt;0,IF(INDEX('Invullen groen'!$K:$K,$J190)&lt;&gt;0,INDEX('Invullen groen'!$K:$K,$J190),""),""),"")</f>
        <v/>
      </c>
      <c r="J190" s="83">
        <f>IFERROR(MATCH(ROW()-4,'Invullen groen'!$P$17:$P$272,0)+16,0)</f>
        <v/>
      </c>
    </row>
    <row r="191" hidden="1" ht="15" customHeight="1" s="402">
      <c r="A191" s="161">
        <f>IFERROR(IF($J191&gt;0,ROW()-4,""),"")</f>
        <v/>
      </c>
      <c r="B191" s="161">
        <f>IFERROR(IF($J191&gt;0,INDEX('Invullen groen'!$A:$A,$J191),""),"")</f>
        <v/>
      </c>
      <c r="C191" s="161">
        <f>IFERROR(IF($J191&gt;0,INDEX('Invullen groen'!$C:$C,$J191),""),"")</f>
        <v/>
      </c>
      <c r="D191" s="161">
        <f>IFERROR(IF($J191&gt;0,INDEX('Invullen groen'!$D:$D,$J191),""),"")</f>
        <v/>
      </c>
      <c r="E191" s="161">
        <f>IFERROR(IF($J191&gt;0,INDEX('Invullen groen'!$G:$G,$J191),""),"")</f>
        <v/>
      </c>
      <c r="F191" s="162">
        <f>IFERROR(IF($J191&gt;0,IF(INDEX('Invullen groen'!$H:$H,$J191)&lt;&gt;0,INDEX('Invullen groen'!$H:$H,$J191),""),""),"")</f>
        <v/>
      </c>
      <c r="G191" s="162">
        <f>IFERROR(IF($J191&gt;0,IF(INDEX('Invullen groen'!$I:$I,$J191)&lt;&gt;0,INDEX('Invullen groen'!$I:$I,$J191),""),""),"")</f>
        <v/>
      </c>
      <c r="H191" s="162">
        <f>IFERROR(IF($J191&gt;0,IF(INDEX('Invullen groen'!$J:$J,$J191)&lt;&gt;0,INDEX('Invullen groen'!$J:$J,$J191),""),""),"")</f>
        <v/>
      </c>
      <c r="I191" s="162">
        <f>IFERROR(IF($J191&gt;0,IF(INDEX('Invullen groen'!$K:$K,$J191)&lt;&gt;0,INDEX('Invullen groen'!$K:$K,$J191),""),""),"")</f>
        <v/>
      </c>
      <c r="J191" s="83">
        <f>IFERROR(MATCH(ROW()-4,'Invullen groen'!$P$17:$P$272,0)+16,0)</f>
        <v/>
      </c>
    </row>
    <row r="192" hidden="1" ht="15" customHeight="1" s="402">
      <c r="A192" s="163">
        <f>IFERROR(IF($J192&gt;0,ROW()-4,""),"")</f>
        <v/>
      </c>
      <c r="B192" s="163">
        <f>IFERROR(IF($J192&gt;0,INDEX('Invullen groen'!$A:$A,$J192),""),"")</f>
        <v/>
      </c>
      <c r="C192" s="163">
        <f>IFERROR(IF($J192&gt;0,INDEX('Invullen groen'!$C:$C,$J192),""),"")</f>
        <v/>
      </c>
      <c r="D192" s="163">
        <f>IFERROR(IF($J192&gt;0,INDEX('Invullen groen'!$D:$D,$J192),""),"")</f>
        <v/>
      </c>
      <c r="E192" s="163">
        <f>IFERROR(IF($J192&gt;0,INDEX('Invullen groen'!$G:$G,$J192),""),"")</f>
        <v/>
      </c>
      <c r="F192" s="164">
        <f>IFERROR(IF($J192&gt;0,IF(INDEX('Invullen groen'!$H:$H,$J192)&lt;&gt;0,INDEX('Invullen groen'!$H:$H,$J192),""),""),"")</f>
        <v/>
      </c>
      <c r="G192" s="164">
        <f>IFERROR(IF($J192&gt;0,IF(INDEX('Invullen groen'!$I:$I,$J192)&lt;&gt;0,INDEX('Invullen groen'!$I:$I,$J192),""),""),"")</f>
        <v/>
      </c>
      <c r="H192" s="164">
        <f>IFERROR(IF($J192&gt;0,IF(INDEX('Invullen groen'!$J:$J,$J192)&lt;&gt;0,INDEX('Invullen groen'!$J:$J,$J192),""),""),"")</f>
        <v/>
      </c>
      <c r="I192" s="164">
        <f>IFERROR(IF($J192&gt;0,IF(INDEX('Invullen groen'!$K:$K,$J192)&lt;&gt;0,INDEX('Invullen groen'!$K:$K,$J192),""),""),"")</f>
        <v/>
      </c>
      <c r="J192" s="83">
        <f>IFERROR(MATCH(ROW()-4,'Invullen groen'!$P$17:$P$272,0)+16,0)</f>
        <v/>
      </c>
    </row>
    <row r="193" hidden="1" ht="15" customHeight="1" s="402">
      <c r="A193" s="161">
        <f>IFERROR(IF($J193&gt;0,ROW()-4,""),"")</f>
        <v/>
      </c>
      <c r="B193" s="161">
        <f>IFERROR(IF($J193&gt;0,INDEX('Invullen groen'!$A:$A,$J193),""),"")</f>
        <v/>
      </c>
      <c r="C193" s="161">
        <f>IFERROR(IF($J193&gt;0,INDEX('Invullen groen'!$C:$C,$J193),""),"")</f>
        <v/>
      </c>
      <c r="D193" s="161">
        <f>IFERROR(IF($J193&gt;0,INDEX('Invullen groen'!$D:$D,$J193),""),"")</f>
        <v/>
      </c>
      <c r="E193" s="161">
        <f>IFERROR(IF($J193&gt;0,INDEX('Invullen groen'!$G:$G,$J193),""),"")</f>
        <v/>
      </c>
      <c r="F193" s="162">
        <f>IFERROR(IF($J193&gt;0,IF(INDEX('Invullen groen'!$H:$H,$J193)&lt;&gt;0,INDEX('Invullen groen'!$H:$H,$J193),""),""),"")</f>
        <v/>
      </c>
      <c r="G193" s="162">
        <f>IFERROR(IF($J193&gt;0,IF(INDEX('Invullen groen'!$I:$I,$J193)&lt;&gt;0,INDEX('Invullen groen'!$I:$I,$J193),""),""),"")</f>
        <v/>
      </c>
      <c r="H193" s="162">
        <f>IFERROR(IF($J193&gt;0,IF(INDEX('Invullen groen'!$J:$J,$J193)&lt;&gt;0,INDEX('Invullen groen'!$J:$J,$J193),""),""),"")</f>
        <v/>
      </c>
      <c r="I193" s="162">
        <f>IFERROR(IF($J193&gt;0,IF(INDEX('Invullen groen'!$K:$K,$J193)&lt;&gt;0,INDEX('Invullen groen'!$K:$K,$J193),""),""),"")</f>
        <v/>
      </c>
      <c r="J193" s="83">
        <f>IFERROR(MATCH(ROW()-4,'Invullen groen'!$P$17:$P$272,0)+16,0)</f>
        <v/>
      </c>
    </row>
    <row r="194" hidden="1" ht="15" customHeight="1" s="402">
      <c r="A194" s="163">
        <f>IFERROR(IF($J194&gt;0,ROW()-4,""),"")</f>
        <v/>
      </c>
      <c r="B194" s="163">
        <f>IFERROR(IF($J194&gt;0,INDEX('Invullen groen'!$A:$A,$J194),""),"")</f>
        <v/>
      </c>
      <c r="C194" s="163">
        <f>IFERROR(IF($J194&gt;0,INDEX('Invullen groen'!$C:$C,$J194),""),"")</f>
        <v/>
      </c>
      <c r="D194" s="163">
        <f>IFERROR(IF($J194&gt;0,INDEX('Invullen groen'!$D:$D,$J194),""),"")</f>
        <v/>
      </c>
      <c r="E194" s="163">
        <f>IFERROR(IF($J194&gt;0,INDEX('Invullen groen'!$G:$G,$J194),""),"")</f>
        <v/>
      </c>
      <c r="F194" s="164">
        <f>IFERROR(IF($J194&gt;0,IF(INDEX('Invullen groen'!$H:$H,$J194)&lt;&gt;0,INDEX('Invullen groen'!$H:$H,$J194),""),""),"")</f>
        <v/>
      </c>
      <c r="G194" s="164">
        <f>IFERROR(IF($J194&gt;0,IF(INDEX('Invullen groen'!$I:$I,$J194)&lt;&gt;0,INDEX('Invullen groen'!$I:$I,$J194),""),""),"")</f>
        <v/>
      </c>
      <c r="H194" s="164">
        <f>IFERROR(IF($J194&gt;0,IF(INDEX('Invullen groen'!$J:$J,$J194)&lt;&gt;0,INDEX('Invullen groen'!$J:$J,$J194),""),""),"")</f>
        <v/>
      </c>
      <c r="I194" s="164">
        <f>IFERROR(IF($J194&gt;0,IF(INDEX('Invullen groen'!$K:$K,$J194)&lt;&gt;0,INDEX('Invullen groen'!$K:$K,$J194),""),""),"")</f>
        <v/>
      </c>
      <c r="J194" s="83">
        <f>IFERROR(MATCH(ROW()-4,'Invullen groen'!$P$17:$P$272,0)+16,0)</f>
        <v/>
      </c>
    </row>
    <row r="195" hidden="1" ht="15" customHeight="1" s="402">
      <c r="A195" s="161">
        <f>IFERROR(IF($J195&gt;0,ROW()-4,""),"")</f>
        <v/>
      </c>
      <c r="B195" s="161">
        <f>IFERROR(IF($J195&gt;0,INDEX('Invullen groen'!$A:$A,$J195),""),"")</f>
        <v/>
      </c>
      <c r="C195" s="161">
        <f>IFERROR(IF($J195&gt;0,INDEX('Invullen groen'!$C:$C,$J195),""),"")</f>
        <v/>
      </c>
      <c r="D195" s="161">
        <f>IFERROR(IF($J195&gt;0,INDEX('Invullen groen'!$D:$D,$J195),""),"")</f>
        <v/>
      </c>
      <c r="E195" s="161">
        <f>IFERROR(IF($J195&gt;0,INDEX('Invullen groen'!$G:$G,$J195),""),"")</f>
        <v/>
      </c>
      <c r="F195" s="162">
        <f>IFERROR(IF($J195&gt;0,IF(INDEX('Invullen groen'!$H:$H,$J195)&lt;&gt;0,INDEX('Invullen groen'!$H:$H,$J195),""),""),"")</f>
        <v/>
      </c>
      <c r="G195" s="162">
        <f>IFERROR(IF($J195&gt;0,IF(INDEX('Invullen groen'!$I:$I,$J195)&lt;&gt;0,INDEX('Invullen groen'!$I:$I,$J195),""),""),"")</f>
        <v/>
      </c>
      <c r="H195" s="162">
        <f>IFERROR(IF($J195&gt;0,IF(INDEX('Invullen groen'!$J:$J,$J195)&lt;&gt;0,INDEX('Invullen groen'!$J:$J,$J195),""),""),"")</f>
        <v/>
      </c>
      <c r="I195" s="162">
        <f>IFERROR(IF($J195&gt;0,IF(INDEX('Invullen groen'!$K:$K,$J195)&lt;&gt;0,INDEX('Invullen groen'!$K:$K,$J195),""),""),"")</f>
        <v/>
      </c>
      <c r="J195" s="83">
        <f>IFERROR(MATCH(ROW()-4,'Invullen groen'!$P$17:$P$272,0)+16,0)</f>
        <v/>
      </c>
    </row>
    <row r="196" hidden="1" ht="15" customHeight="1" s="402">
      <c r="A196" s="163">
        <f>IFERROR(IF($J196&gt;0,ROW()-4,""),"")</f>
        <v/>
      </c>
      <c r="B196" s="163">
        <f>IFERROR(IF($J196&gt;0,INDEX('Invullen groen'!$A:$A,$J196),""),"")</f>
        <v/>
      </c>
      <c r="C196" s="163">
        <f>IFERROR(IF($J196&gt;0,INDEX('Invullen groen'!$C:$C,$J196),""),"")</f>
        <v/>
      </c>
      <c r="D196" s="163">
        <f>IFERROR(IF($J196&gt;0,INDEX('Invullen groen'!$D:$D,$J196),""),"")</f>
        <v/>
      </c>
      <c r="E196" s="163">
        <f>IFERROR(IF($J196&gt;0,INDEX('Invullen groen'!$G:$G,$J196),""),"")</f>
        <v/>
      </c>
      <c r="F196" s="164">
        <f>IFERROR(IF($J196&gt;0,IF(INDEX('Invullen groen'!$H:$H,$J196)&lt;&gt;0,INDEX('Invullen groen'!$H:$H,$J196),""),""),"")</f>
        <v/>
      </c>
      <c r="G196" s="164">
        <f>IFERROR(IF($J196&gt;0,IF(INDEX('Invullen groen'!$I:$I,$J196)&lt;&gt;0,INDEX('Invullen groen'!$I:$I,$J196),""),""),"")</f>
        <v/>
      </c>
      <c r="H196" s="164">
        <f>IFERROR(IF($J196&gt;0,IF(INDEX('Invullen groen'!$J:$J,$J196)&lt;&gt;0,INDEX('Invullen groen'!$J:$J,$J196),""),""),"")</f>
        <v/>
      </c>
      <c r="I196" s="164">
        <f>IFERROR(IF($J196&gt;0,IF(INDEX('Invullen groen'!$K:$K,$J196)&lt;&gt;0,INDEX('Invullen groen'!$K:$K,$J196),""),""),"")</f>
        <v/>
      </c>
      <c r="J196" s="83">
        <f>IFERROR(MATCH(ROW()-4,'Invullen groen'!$P$17:$P$272,0)+16,0)</f>
        <v/>
      </c>
    </row>
    <row r="197" hidden="1" ht="15" customHeight="1" s="402">
      <c r="A197" s="161">
        <f>IFERROR(IF($J197&gt;0,ROW()-4,""),"")</f>
        <v/>
      </c>
      <c r="B197" s="161">
        <f>IFERROR(IF($J197&gt;0,INDEX('Invullen groen'!$A:$A,$J197),""),"")</f>
        <v/>
      </c>
      <c r="C197" s="161">
        <f>IFERROR(IF($J197&gt;0,INDEX('Invullen groen'!$C:$C,$J197),""),"")</f>
        <v/>
      </c>
      <c r="D197" s="161">
        <f>IFERROR(IF($J197&gt;0,INDEX('Invullen groen'!$D:$D,$J197),""),"")</f>
        <v/>
      </c>
      <c r="E197" s="161">
        <f>IFERROR(IF($J197&gt;0,INDEX('Invullen groen'!$G:$G,$J197),""),"")</f>
        <v/>
      </c>
      <c r="F197" s="162">
        <f>IFERROR(IF($J197&gt;0,IF(INDEX('Invullen groen'!$H:$H,$J197)&lt;&gt;0,INDEX('Invullen groen'!$H:$H,$J197),""),""),"")</f>
        <v/>
      </c>
      <c r="G197" s="162">
        <f>IFERROR(IF($J197&gt;0,IF(INDEX('Invullen groen'!$I:$I,$J197)&lt;&gt;0,INDEX('Invullen groen'!$I:$I,$J197),""),""),"")</f>
        <v/>
      </c>
      <c r="H197" s="162">
        <f>IFERROR(IF($J197&gt;0,IF(INDEX('Invullen groen'!$J:$J,$J197)&lt;&gt;0,INDEX('Invullen groen'!$J:$J,$J197),""),""),"")</f>
        <v/>
      </c>
      <c r="I197" s="162">
        <f>IFERROR(IF($J197&gt;0,IF(INDEX('Invullen groen'!$K:$K,$J197)&lt;&gt;0,INDEX('Invullen groen'!$K:$K,$J197),""),""),"")</f>
        <v/>
      </c>
      <c r="J197" s="83">
        <f>IFERROR(MATCH(ROW()-4,'Invullen groen'!$P$17:$P$272,0)+16,0)</f>
        <v/>
      </c>
    </row>
    <row r="198" hidden="1" ht="15" customHeight="1" s="402">
      <c r="A198" s="163">
        <f>IFERROR(IF($J198&gt;0,ROW()-4,""),"")</f>
        <v/>
      </c>
      <c r="B198" s="163">
        <f>IFERROR(IF($J198&gt;0,INDEX('Invullen groen'!$A:$A,$J198),""),"")</f>
        <v/>
      </c>
      <c r="C198" s="163">
        <f>IFERROR(IF($J198&gt;0,INDEX('Invullen groen'!$C:$C,$J198),""),"")</f>
        <v/>
      </c>
      <c r="D198" s="163">
        <f>IFERROR(IF($J198&gt;0,INDEX('Invullen groen'!$D:$D,$J198),""),"")</f>
        <v/>
      </c>
      <c r="E198" s="163">
        <f>IFERROR(IF($J198&gt;0,INDEX('Invullen groen'!$G:$G,$J198),""),"")</f>
        <v/>
      </c>
      <c r="F198" s="164">
        <f>IFERROR(IF($J198&gt;0,IF(INDEX('Invullen groen'!$H:$H,$J198)&lt;&gt;0,INDEX('Invullen groen'!$H:$H,$J198),""),""),"")</f>
        <v/>
      </c>
      <c r="G198" s="164">
        <f>IFERROR(IF($J198&gt;0,IF(INDEX('Invullen groen'!$I:$I,$J198)&lt;&gt;0,INDEX('Invullen groen'!$I:$I,$J198),""),""),"")</f>
        <v/>
      </c>
      <c r="H198" s="164">
        <f>IFERROR(IF($J198&gt;0,IF(INDEX('Invullen groen'!$J:$J,$J198)&lt;&gt;0,INDEX('Invullen groen'!$J:$J,$J198),""),""),"")</f>
        <v/>
      </c>
      <c r="I198" s="164">
        <f>IFERROR(IF($J198&gt;0,IF(INDEX('Invullen groen'!$K:$K,$J198)&lt;&gt;0,INDEX('Invullen groen'!$K:$K,$J198),""),""),"")</f>
        <v/>
      </c>
      <c r="J198" s="83">
        <f>IFERROR(MATCH(ROW()-4,'Invullen groen'!$P$17:$P$272,0)+16,0)</f>
        <v/>
      </c>
    </row>
    <row r="199" hidden="1" ht="15" customHeight="1" s="402">
      <c r="A199" s="161">
        <f>IFERROR(IF($J199&gt;0,ROW()-4,""),"")</f>
        <v/>
      </c>
      <c r="B199" s="161">
        <f>IFERROR(IF($J199&gt;0,INDEX('Invullen groen'!$A:$A,$J199),""),"")</f>
        <v/>
      </c>
      <c r="C199" s="161">
        <f>IFERROR(IF($J199&gt;0,INDEX('Invullen groen'!$C:$C,$J199),""),"")</f>
        <v/>
      </c>
      <c r="D199" s="161">
        <f>IFERROR(IF($J199&gt;0,INDEX('Invullen groen'!$D:$D,$J199),""),"")</f>
        <v/>
      </c>
      <c r="E199" s="161">
        <f>IFERROR(IF($J199&gt;0,INDEX('Invullen groen'!$G:$G,$J199),""),"")</f>
        <v/>
      </c>
      <c r="F199" s="162">
        <f>IFERROR(IF($J199&gt;0,IF(INDEX('Invullen groen'!$H:$H,$J199)&lt;&gt;0,INDEX('Invullen groen'!$H:$H,$J199),""),""),"")</f>
        <v/>
      </c>
      <c r="G199" s="162">
        <f>IFERROR(IF($J199&gt;0,IF(INDEX('Invullen groen'!$I:$I,$J199)&lt;&gt;0,INDEX('Invullen groen'!$I:$I,$J199),""),""),"")</f>
        <v/>
      </c>
      <c r="H199" s="162">
        <f>IFERROR(IF($J199&gt;0,IF(INDEX('Invullen groen'!$J:$J,$J199)&lt;&gt;0,INDEX('Invullen groen'!$J:$J,$J199),""),""),"")</f>
        <v/>
      </c>
      <c r="I199" s="162">
        <f>IFERROR(IF($J199&gt;0,IF(INDEX('Invullen groen'!$K:$K,$J199)&lt;&gt;0,INDEX('Invullen groen'!$K:$K,$J199),""),""),"")</f>
        <v/>
      </c>
      <c r="J199" s="83">
        <f>IFERROR(MATCH(ROW()-4,'Invullen groen'!$P$17:$P$272,0)+16,0)</f>
        <v/>
      </c>
    </row>
    <row r="200" hidden="1" ht="15" customHeight="1" s="402">
      <c r="A200" s="163">
        <f>IFERROR(IF($J200&gt;0,ROW()-4,""),"")</f>
        <v/>
      </c>
      <c r="B200" s="163">
        <f>IFERROR(IF($J200&gt;0,INDEX('Invullen groen'!$A:$A,$J200),""),"")</f>
        <v/>
      </c>
      <c r="C200" s="163">
        <f>IFERROR(IF($J200&gt;0,INDEX('Invullen groen'!$C:$C,$J200),""),"")</f>
        <v/>
      </c>
      <c r="D200" s="163">
        <f>IFERROR(IF($J200&gt;0,INDEX('Invullen groen'!$D:$D,$J200),""),"")</f>
        <v/>
      </c>
      <c r="E200" s="163">
        <f>IFERROR(IF($J200&gt;0,INDEX('Invullen groen'!$G:$G,$J200),""),"")</f>
        <v/>
      </c>
      <c r="F200" s="164">
        <f>IFERROR(IF($J200&gt;0,IF(INDEX('Invullen groen'!$H:$H,$J200)&lt;&gt;0,INDEX('Invullen groen'!$H:$H,$J200),""),""),"")</f>
        <v/>
      </c>
      <c r="G200" s="164">
        <f>IFERROR(IF($J200&gt;0,IF(INDEX('Invullen groen'!$I:$I,$J200)&lt;&gt;0,INDEX('Invullen groen'!$I:$I,$J200),""),""),"")</f>
        <v/>
      </c>
      <c r="H200" s="164">
        <f>IFERROR(IF($J200&gt;0,IF(INDEX('Invullen groen'!$J:$J,$J200)&lt;&gt;0,INDEX('Invullen groen'!$J:$J,$J200),""),""),"")</f>
        <v/>
      </c>
      <c r="I200" s="164">
        <f>IFERROR(IF($J200&gt;0,IF(INDEX('Invullen groen'!$K:$K,$J200)&lt;&gt;0,INDEX('Invullen groen'!$K:$K,$J200),""),""),"")</f>
        <v/>
      </c>
      <c r="J200" s="83">
        <f>IFERROR(MATCH(ROW()-4,'Invullen groen'!$P$17:$P$272,0)+16,0)</f>
        <v/>
      </c>
    </row>
    <row r="201" hidden="1" ht="15" customHeight="1" s="402">
      <c r="A201" s="161">
        <f>IFERROR(IF($J201&gt;0,ROW()-4,""),"")</f>
        <v/>
      </c>
      <c r="B201" s="161">
        <f>IFERROR(IF($J201&gt;0,INDEX('Invullen groen'!$A:$A,$J201),""),"")</f>
        <v/>
      </c>
      <c r="C201" s="161">
        <f>IFERROR(IF($J201&gt;0,INDEX('Invullen groen'!$C:$C,$J201),""),"")</f>
        <v/>
      </c>
      <c r="D201" s="161">
        <f>IFERROR(IF($J201&gt;0,INDEX('Invullen groen'!$D:$D,$J201),""),"")</f>
        <v/>
      </c>
      <c r="E201" s="161">
        <f>IFERROR(IF($J201&gt;0,INDEX('Invullen groen'!$G:$G,$J201),""),"")</f>
        <v/>
      </c>
      <c r="F201" s="162">
        <f>IFERROR(IF($J201&gt;0,IF(INDEX('Invullen groen'!$H:$H,$J201)&lt;&gt;0,INDEX('Invullen groen'!$H:$H,$J201),""),""),"")</f>
        <v/>
      </c>
      <c r="G201" s="162">
        <f>IFERROR(IF($J201&gt;0,IF(INDEX('Invullen groen'!$I:$I,$J201)&lt;&gt;0,INDEX('Invullen groen'!$I:$I,$J201),""),""),"")</f>
        <v/>
      </c>
      <c r="H201" s="162">
        <f>IFERROR(IF($J201&gt;0,IF(INDEX('Invullen groen'!$J:$J,$J201)&lt;&gt;0,INDEX('Invullen groen'!$J:$J,$J201),""),""),"")</f>
        <v/>
      </c>
      <c r="I201" s="162">
        <f>IFERROR(IF($J201&gt;0,IF(INDEX('Invullen groen'!$K:$K,$J201)&lt;&gt;0,INDEX('Invullen groen'!$K:$K,$J201),""),""),"")</f>
        <v/>
      </c>
      <c r="J201" s="83">
        <f>IFERROR(MATCH(ROW()-4,'Invullen groen'!$P$17:$P$272,0)+16,0)</f>
        <v/>
      </c>
    </row>
    <row r="202" hidden="1" ht="15" customHeight="1" s="402">
      <c r="A202" s="163">
        <f>IFERROR(IF($J202&gt;0,ROW()-4,""),"")</f>
        <v/>
      </c>
      <c r="B202" s="163">
        <f>IFERROR(IF($J202&gt;0,INDEX('Invullen groen'!$A:$A,$J202),""),"")</f>
        <v/>
      </c>
      <c r="C202" s="163">
        <f>IFERROR(IF($J202&gt;0,INDEX('Invullen groen'!$C:$C,$J202),""),"")</f>
        <v/>
      </c>
      <c r="D202" s="163">
        <f>IFERROR(IF($J202&gt;0,INDEX('Invullen groen'!$D:$D,$J202),""),"")</f>
        <v/>
      </c>
      <c r="E202" s="163">
        <f>IFERROR(IF($J202&gt;0,INDEX('Invullen groen'!$G:$G,$J202),""),"")</f>
        <v/>
      </c>
      <c r="F202" s="164">
        <f>IFERROR(IF($J202&gt;0,IF(INDEX('Invullen groen'!$H:$H,$J202)&lt;&gt;0,INDEX('Invullen groen'!$H:$H,$J202),""),""),"")</f>
        <v/>
      </c>
      <c r="G202" s="164">
        <f>IFERROR(IF($J202&gt;0,IF(INDEX('Invullen groen'!$I:$I,$J202)&lt;&gt;0,INDEX('Invullen groen'!$I:$I,$J202),""),""),"")</f>
        <v/>
      </c>
      <c r="H202" s="164">
        <f>IFERROR(IF($J202&gt;0,IF(INDEX('Invullen groen'!$J:$J,$J202)&lt;&gt;0,INDEX('Invullen groen'!$J:$J,$J202),""),""),"")</f>
        <v/>
      </c>
      <c r="I202" s="164">
        <f>IFERROR(IF($J202&gt;0,IF(INDEX('Invullen groen'!$K:$K,$J202)&lt;&gt;0,INDEX('Invullen groen'!$K:$K,$J202),""),""),"")</f>
        <v/>
      </c>
      <c r="J202" s="83">
        <f>IFERROR(MATCH(ROW()-4,'Invullen groen'!$P$17:$P$272,0)+16,0)</f>
        <v/>
      </c>
    </row>
    <row r="203" hidden="1" ht="15" customHeight="1" s="402">
      <c r="A203" s="161">
        <f>IFERROR(IF($J203&gt;0,ROW()-4,""),"")</f>
        <v/>
      </c>
      <c r="B203" s="161">
        <f>IFERROR(IF($J203&gt;0,INDEX('Invullen groen'!$A:$A,$J203),""),"")</f>
        <v/>
      </c>
      <c r="C203" s="161">
        <f>IFERROR(IF($J203&gt;0,INDEX('Invullen groen'!$C:$C,$J203),""),"")</f>
        <v/>
      </c>
      <c r="D203" s="161">
        <f>IFERROR(IF($J203&gt;0,INDEX('Invullen groen'!$D:$D,$J203),""),"")</f>
        <v/>
      </c>
      <c r="E203" s="161">
        <f>IFERROR(IF($J203&gt;0,INDEX('Invullen groen'!$G:$G,$J203),""),"")</f>
        <v/>
      </c>
      <c r="F203" s="162">
        <f>IFERROR(IF($J203&gt;0,IF(INDEX('Invullen groen'!$H:$H,$J203)&lt;&gt;0,INDEX('Invullen groen'!$H:$H,$J203),""),""),"")</f>
        <v/>
      </c>
      <c r="G203" s="162">
        <f>IFERROR(IF($J203&gt;0,IF(INDEX('Invullen groen'!$I:$I,$J203)&lt;&gt;0,INDEX('Invullen groen'!$I:$I,$J203),""),""),"")</f>
        <v/>
      </c>
      <c r="H203" s="162">
        <f>IFERROR(IF($J203&gt;0,IF(INDEX('Invullen groen'!$J:$J,$J203)&lt;&gt;0,INDEX('Invullen groen'!$J:$J,$J203),""),""),"")</f>
        <v/>
      </c>
      <c r="I203" s="162">
        <f>IFERROR(IF($J203&gt;0,IF(INDEX('Invullen groen'!$K:$K,$J203)&lt;&gt;0,INDEX('Invullen groen'!$K:$K,$J203),""),""),"")</f>
        <v/>
      </c>
      <c r="J203" s="83">
        <f>IFERROR(MATCH(ROW()-4,'Invullen groen'!$P$17:$P$272,0)+16,0)</f>
        <v/>
      </c>
    </row>
    <row r="204" hidden="1" ht="15" customHeight="1" s="402">
      <c r="A204" s="163">
        <f>IFERROR(IF($J204&gt;0,ROW()-4,""),"")</f>
        <v/>
      </c>
      <c r="B204" s="163">
        <f>IFERROR(IF($J204&gt;0,INDEX('Invullen groen'!$A:$A,$J204),""),"")</f>
        <v/>
      </c>
      <c r="C204" s="163">
        <f>IFERROR(IF($J204&gt;0,INDEX('Invullen groen'!$C:$C,$J204),""),"")</f>
        <v/>
      </c>
      <c r="D204" s="163">
        <f>IFERROR(IF($J204&gt;0,INDEX('Invullen groen'!$D:$D,$J204),""),"")</f>
        <v/>
      </c>
      <c r="E204" s="163">
        <f>IFERROR(IF($J204&gt;0,INDEX('Invullen groen'!$G:$G,$J204),""),"")</f>
        <v/>
      </c>
      <c r="F204" s="164">
        <f>IFERROR(IF($J204&gt;0,IF(INDEX('Invullen groen'!$H:$H,$J204)&lt;&gt;0,INDEX('Invullen groen'!$H:$H,$J204),""),""),"")</f>
        <v/>
      </c>
      <c r="G204" s="164">
        <f>IFERROR(IF($J204&gt;0,IF(INDEX('Invullen groen'!$I:$I,$J204)&lt;&gt;0,INDEX('Invullen groen'!$I:$I,$J204),""),""),"")</f>
        <v/>
      </c>
      <c r="H204" s="164">
        <f>IFERROR(IF($J204&gt;0,IF(INDEX('Invullen groen'!$J:$J,$J204)&lt;&gt;0,INDEX('Invullen groen'!$J:$J,$J204),""),""),"")</f>
        <v/>
      </c>
      <c r="I204" s="164">
        <f>IFERROR(IF($J204&gt;0,IF(INDEX('Invullen groen'!$K:$K,$J204)&lt;&gt;0,INDEX('Invullen groen'!$K:$K,$J204),""),""),"")</f>
        <v/>
      </c>
      <c r="J204" s="83">
        <f>IFERROR(MATCH(ROW()-4,'Invullen groen'!$P$17:$P$272,0)+16,0)</f>
        <v/>
      </c>
    </row>
    <row r="205" hidden="1" ht="15" customHeight="1" s="402">
      <c r="A205" s="161">
        <f>IFERROR(IF($J205&gt;0,ROW()-4,""),"")</f>
        <v/>
      </c>
      <c r="B205" s="161">
        <f>IFERROR(IF($J205&gt;0,INDEX('Invullen groen'!$A:$A,$J205),""),"")</f>
        <v/>
      </c>
      <c r="C205" s="161">
        <f>IFERROR(IF($J205&gt;0,INDEX('Invullen groen'!$C:$C,$J205),""),"")</f>
        <v/>
      </c>
      <c r="D205" s="161">
        <f>IFERROR(IF($J205&gt;0,INDEX('Invullen groen'!$D:$D,$J205),""),"")</f>
        <v/>
      </c>
      <c r="E205" s="161">
        <f>IFERROR(IF($J205&gt;0,INDEX('Invullen groen'!$G:$G,$J205),""),"")</f>
        <v/>
      </c>
      <c r="F205" s="162">
        <f>IFERROR(IF($J205&gt;0,IF(INDEX('Invullen groen'!$H:$H,$J205)&lt;&gt;0,INDEX('Invullen groen'!$H:$H,$J205),""),""),"")</f>
        <v/>
      </c>
      <c r="G205" s="162">
        <f>IFERROR(IF($J205&gt;0,IF(INDEX('Invullen groen'!$I:$I,$J205)&lt;&gt;0,INDEX('Invullen groen'!$I:$I,$J205),""),""),"")</f>
        <v/>
      </c>
      <c r="H205" s="162">
        <f>IFERROR(IF($J205&gt;0,IF(INDEX('Invullen groen'!$J:$J,$J205)&lt;&gt;0,INDEX('Invullen groen'!$J:$J,$J205),""),""),"")</f>
        <v/>
      </c>
      <c r="I205" s="162">
        <f>IFERROR(IF($J205&gt;0,IF(INDEX('Invullen groen'!$K:$K,$J205)&lt;&gt;0,INDEX('Invullen groen'!$K:$K,$J205),""),""),"")</f>
        <v/>
      </c>
      <c r="J205" s="83">
        <f>IFERROR(MATCH(ROW()-4,'Invullen groen'!$P$17:$P$272,0)+16,0)</f>
        <v/>
      </c>
    </row>
    <row r="206" hidden="1" ht="15" customHeight="1" s="402">
      <c r="A206" s="163">
        <f>IFERROR(IF($J206&gt;0,ROW()-4,""),"")</f>
        <v/>
      </c>
      <c r="B206" s="163">
        <f>IFERROR(IF($J206&gt;0,INDEX('Invullen groen'!$A:$A,$J206),""),"")</f>
        <v/>
      </c>
      <c r="C206" s="163">
        <f>IFERROR(IF($J206&gt;0,INDEX('Invullen groen'!$C:$C,$J206),""),"")</f>
        <v/>
      </c>
      <c r="D206" s="163">
        <f>IFERROR(IF($J206&gt;0,INDEX('Invullen groen'!$D:$D,$J206),""),"")</f>
        <v/>
      </c>
      <c r="E206" s="163">
        <f>IFERROR(IF($J206&gt;0,INDEX('Invullen groen'!$G:$G,$J206),""),"")</f>
        <v/>
      </c>
      <c r="F206" s="164">
        <f>IFERROR(IF($J206&gt;0,IF(INDEX('Invullen groen'!$H:$H,$J206)&lt;&gt;0,INDEX('Invullen groen'!$H:$H,$J206),""),""),"")</f>
        <v/>
      </c>
      <c r="G206" s="164">
        <f>IFERROR(IF($J206&gt;0,IF(INDEX('Invullen groen'!$I:$I,$J206)&lt;&gt;0,INDEX('Invullen groen'!$I:$I,$J206),""),""),"")</f>
        <v/>
      </c>
      <c r="H206" s="164">
        <f>IFERROR(IF($J206&gt;0,IF(INDEX('Invullen groen'!$J:$J,$J206)&lt;&gt;0,INDEX('Invullen groen'!$J:$J,$J206),""),""),"")</f>
        <v/>
      </c>
      <c r="I206" s="164">
        <f>IFERROR(IF($J206&gt;0,IF(INDEX('Invullen groen'!$K:$K,$J206)&lt;&gt;0,INDEX('Invullen groen'!$K:$K,$J206),""),""),"")</f>
        <v/>
      </c>
      <c r="J206" s="83">
        <f>IFERROR(MATCH(ROW()-4,'Invullen groen'!$P$17:$P$272,0)+16,0)</f>
        <v/>
      </c>
    </row>
    <row r="207" hidden="1" ht="15" customHeight="1" s="402">
      <c r="A207" s="161">
        <f>IFERROR(IF($J207&gt;0,ROW()-4,""),"")</f>
        <v/>
      </c>
      <c r="B207" s="161">
        <f>IFERROR(IF($J207&gt;0,INDEX('Invullen groen'!$A:$A,$J207),""),"")</f>
        <v/>
      </c>
      <c r="C207" s="161">
        <f>IFERROR(IF($J207&gt;0,INDEX('Invullen groen'!$C:$C,$J207),""),"")</f>
        <v/>
      </c>
      <c r="D207" s="161">
        <f>IFERROR(IF($J207&gt;0,INDEX('Invullen groen'!$D:$D,$J207),""),"")</f>
        <v/>
      </c>
      <c r="E207" s="161">
        <f>IFERROR(IF($J207&gt;0,INDEX('Invullen groen'!$G:$G,$J207),""),"")</f>
        <v/>
      </c>
      <c r="F207" s="162">
        <f>IFERROR(IF($J207&gt;0,IF(INDEX('Invullen groen'!$H:$H,$J207)&lt;&gt;0,INDEX('Invullen groen'!$H:$H,$J207),""),""),"")</f>
        <v/>
      </c>
      <c r="G207" s="162">
        <f>IFERROR(IF($J207&gt;0,IF(INDEX('Invullen groen'!$I:$I,$J207)&lt;&gt;0,INDEX('Invullen groen'!$I:$I,$J207),""),""),"")</f>
        <v/>
      </c>
      <c r="H207" s="162">
        <f>IFERROR(IF($J207&gt;0,IF(INDEX('Invullen groen'!$J:$J,$J207)&lt;&gt;0,INDEX('Invullen groen'!$J:$J,$J207),""),""),"")</f>
        <v/>
      </c>
      <c r="I207" s="162">
        <f>IFERROR(IF($J207&gt;0,IF(INDEX('Invullen groen'!$K:$K,$J207)&lt;&gt;0,INDEX('Invullen groen'!$K:$K,$J207),""),""),"")</f>
        <v/>
      </c>
      <c r="J207" s="83">
        <f>IFERROR(MATCH(ROW()-4,'Invullen groen'!$P$17:$P$272,0)+16,0)</f>
        <v/>
      </c>
    </row>
    <row r="208" hidden="1" ht="15" customHeight="1" s="402">
      <c r="A208" s="163">
        <f>IFERROR(IF($J208&gt;0,ROW()-4,""),"")</f>
        <v/>
      </c>
      <c r="B208" s="163">
        <f>IFERROR(IF($J208&gt;0,INDEX('Invullen groen'!$A:$A,$J208),""),"")</f>
        <v/>
      </c>
      <c r="C208" s="163">
        <f>IFERROR(IF($J208&gt;0,INDEX('Invullen groen'!$C:$C,$J208),""),"")</f>
        <v/>
      </c>
      <c r="D208" s="163">
        <f>IFERROR(IF($J208&gt;0,INDEX('Invullen groen'!$D:$D,$J208),""),"")</f>
        <v/>
      </c>
      <c r="E208" s="163">
        <f>IFERROR(IF($J208&gt;0,INDEX('Invullen groen'!$G:$G,$J208),""),"")</f>
        <v/>
      </c>
      <c r="F208" s="164">
        <f>IFERROR(IF($J208&gt;0,IF(INDEX('Invullen groen'!$H:$H,$J208)&lt;&gt;0,INDEX('Invullen groen'!$H:$H,$J208),""),""),"")</f>
        <v/>
      </c>
      <c r="G208" s="164">
        <f>IFERROR(IF($J208&gt;0,IF(INDEX('Invullen groen'!$I:$I,$J208)&lt;&gt;0,INDEX('Invullen groen'!$I:$I,$J208),""),""),"")</f>
        <v/>
      </c>
      <c r="H208" s="164">
        <f>IFERROR(IF($J208&gt;0,IF(INDEX('Invullen groen'!$J:$J,$J208)&lt;&gt;0,INDEX('Invullen groen'!$J:$J,$J208),""),""),"")</f>
        <v/>
      </c>
      <c r="I208" s="164">
        <f>IFERROR(IF($J208&gt;0,IF(INDEX('Invullen groen'!$K:$K,$J208)&lt;&gt;0,INDEX('Invullen groen'!$K:$K,$J208),""),""),"")</f>
        <v/>
      </c>
      <c r="J208" s="83">
        <f>IFERROR(MATCH(ROW()-4,'Invullen groen'!$P$17:$P$272,0)+16,0)</f>
        <v/>
      </c>
    </row>
    <row r="209" hidden="1" ht="15" customHeight="1" s="402">
      <c r="A209" s="161">
        <f>IFERROR(IF($J209&gt;0,ROW()-4,""),"")</f>
        <v/>
      </c>
      <c r="B209" s="161">
        <f>IFERROR(IF($J209&gt;0,INDEX('Invullen groen'!$A:$A,$J209),""),"")</f>
        <v/>
      </c>
      <c r="C209" s="161">
        <f>IFERROR(IF($J209&gt;0,INDEX('Invullen groen'!$C:$C,$J209),""),"")</f>
        <v/>
      </c>
      <c r="D209" s="161">
        <f>IFERROR(IF($J209&gt;0,INDEX('Invullen groen'!$D:$D,$J209),""),"")</f>
        <v/>
      </c>
      <c r="E209" s="161">
        <f>IFERROR(IF($J209&gt;0,INDEX('Invullen groen'!$G:$G,$J209),""),"")</f>
        <v/>
      </c>
      <c r="F209" s="162">
        <f>IFERROR(IF($J209&gt;0,IF(INDEX('Invullen groen'!$H:$H,$J209)&lt;&gt;0,INDEX('Invullen groen'!$H:$H,$J209),""),""),"")</f>
        <v/>
      </c>
      <c r="G209" s="162">
        <f>IFERROR(IF($J209&gt;0,IF(INDEX('Invullen groen'!$I:$I,$J209)&lt;&gt;0,INDEX('Invullen groen'!$I:$I,$J209),""),""),"")</f>
        <v/>
      </c>
      <c r="H209" s="162">
        <f>IFERROR(IF($J209&gt;0,IF(INDEX('Invullen groen'!$J:$J,$J209)&lt;&gt;0,INDEX('Invullen groen'!$J:$J,$J209),""),""),"")</f>
        <v/>
      </c>
      <c r="I209" s="162">
        <f>IFERROR(IF($J209&gt;0,IF(INDEX('Invullen groen'!$K:$K,$J209)&lt;&gt;0,INDEX('Invullen groen'!$K:$K,$J209),""),""),"")</f>
        <v/>
      </c>
      <c r="J209" s="83">
        <f>IFERROR(MATCH(ROW()-4,'Invullen groen'!$P$17:$P$272,0)+16,0)</f>
        <v/>
      </c>
    </row>
    <row r="210" hidden="1" ht="15" customHeight="1" s="402">
      <c r="A210" s="163">
        <f>IFERROR(IF($J210&gt;0,ROW()-4,""),"")</f>
        <v/>
      </c>
      <c r="B210" s="163">
        <f>IFERROR(IF($J210&gt;0,INDEX('Invullen groen'!$A:$A,$J210),""),"")</f>
        <v/>
      </c>
      <c r="C210" s="163">
        <f>IFERROR(IF($J210&gt;0,INDEX('Invullen groen'!$C:$C,$J210),""),"")</f>
        <v/>
      </c>
      <c r="D210" s="163">
        <f>IFERROR(IF($J210&gt;0,INDEX('Invullen groen'!$D:$D,$J210),""),"")</f>
        <v/>
      </c>
      <c r="E210" s="163">
        <f>IFERROR(IF($J210&gt;0,INDEX('Invullen groen'!$G:$G,$J210),""),"")</f>
        <v/>
      </c>
      <c r="F210" s="164">
        <f>IFERROR(IF($J210&gt;0,IF(INDEX('Invullen groen'!$H:$H,$J210)&lt;&gt;0,INDEX('Invullen groen'!$H:$H,$J210),""),""),"")</f>
        <v/>
      </c>
      <c r="G210" s="164">
        <f>IFERROR(IF($J210&gt;0,IF(INDEX('Invullen groen'!$I:$I,$J210)&lt;&gt;0,INDEX('Invullen groen'!$I:$I,$J210),""),""),"")</f>
        <v/>
      </c>
      <c r="H210" s="164">
        <f>IFERROR(IF($J210&gt;0,IF(INDEX('Invullen groen'!$J:$J,$J210)&lt;&gt;0,INDEX('Invullen groen'!$J:$J,$J210),""),""),"")</f>
        <v/>
      </c>
      <c r="I210" s="164">
        <f>IFERROR(IF($J210&gt;0,IF(INDEX('Invullen groen'!$K:$K,$J210)&lt;&gt;0,INDEX('Invullen groen'!$K:$K,$J210),""),""),"")</f>
        <v/>
      </c>
      <c r="J210" s="83">
        <f>IFERROR(MATCH(ROW()-4,'Invullen groen'!$P$17:$P$272,0)+16,0)</f>
        <v/>
      </c>
    </row>
    <row r="211" hidden="1" ht="15" customHeight="1" s="402">
      <c r="A211" s="161">
        <f>IFERROR(IF($J211&gt;0,ROW()-4,""),"")</f>
        <v/>
      </c>
      <c r="B211" s="161">
        <f>IFERROR(IF($J211&gt;0,INDEX('Invullen groen'!$A:$A,$J211),""),"")</f>
        <v/>
      </c>
      <c r="C211" s="161">
        <f>IFERROR(IF($J211&gt;0,INDEX('Invullen groen'!$C:$C,$J211),""),"")</f>
        <v/>
      </c>
      <c r="D211" s="161">
        <f>IFERROR(IF($J211&gt;0,INDEX('Invullen groen'!$D:$D,$J211),""),"")</f>
        <v/>
      </c>
      <c r="E211" s="161">
        <f>IFERROR(IF($J211&gt;0,INDEX('Invullen groen'!$G:$G,$J211),""),"")</f>
        <v/>
      </c>
      <c r="F211" s="162">
        <f>IFERROR(IF($J211&gt;0,IF(INDEX('Invullen groen'!$H:$H,$J211)&lt;&gt;0,INDEX('Invullen groen'!$H:$H,$J211),""),""),"")</f>
        <v/>
      </c>
      <c r="G211" s="162">
        <f>IFERROR(IF($J211&gt;0,IF(INDEX('Invullen groen'!$I:$I,$J211)&lt;&gt;0,INDEX('Invullen groen'!$I:$I,$J211),""),""),"")</f>
        <v/>
      </c>
      <c r="H211" s="162">
        <f>IFERROR(IF($J211&gt;0,IF(INDEX('Invullen groen'!$J:$J,$J211)&lt;&gt;0,INDEX('Invullen groen'!$J:$J,$J211),""),""),"")</f>
        <v/>
      </c>
      <c r="I211" s="162">
        <f>IFERROR(IF($J211&gt;0,IF(INDEX('Invullen groen'!$K:$K,$J211)&lt;&gt;0,INDEX('Invullen groen'!$K:$K,$J211),""),""),"")</f>
        <v/>
      </c>
      <c r="J211" s="83">
        <f>IFERROR(MATCH(ROW()-4,'Invullen groen'!$P$17:$P$272,0)+16,0)</f>
        <v/>
      </c>
    </row>
    <row r="212" hidden="1" ht="15" customHeight="1" s="402">
      <c r="A212" s="163">
        <f>IFERROR(IF($J212&gt;0,ROW()-4,""),"")</f>
        <v/>
      </c>
      <c r="B212" s="163">
        <f>IFERROR(IF($J212&gt;0,INDEX('Invullen groen'!$A:$A,$J212),""),"")</f>
        <v/>
      </c>
      <c r="C212" s="163">
        <f>IFERROR(IF($J212&gt;0,INDEX('Invullen groen'!$C:$C,$J212),""),"")</f>
        <v/>
      </c>
      <c r="D212" s="163">
        <f>IFERROR(IF($J212&gt;0,INDEX('Invullen groen'!$D:$D,$J212),""),"")</f>
        <v/>
      </c>
      <c r="E212" s="163">
        <f>IFERROR(IF($J212&gt;0,INDEX('Invullen groen'!$G:$G,$J212),""),"")</f>
        <v/>
      </c>
      <c r="F212" s="164">
        <f>IFERROR(IF($J212&gt;0,IF(INDEX('Invullen groen'!$H:$H,$J212)&lt;&gt;0,INDEX('Invullen groen'!$H:$H,$J212),""),""),"")</f>
        <v/>
      </c>
      <c r="G212" s="164">
        <f>IFERROR(IF($J212&gt;0,IF(INDEX('Invullen groen'!$I:$I,$J212)&lt;&gt;0,INDEX('Invullen groen'!$I:$I,$J212),""),""),"")</f>
        <v/>
      </c>
      <c r="H212" s="164">
        <f>IFERROR(IF($J212&gt;0,IF(INDEX('Invullen groen'!$J:$J,$J212)&lt;&gt;0,INDEX('Invullen groen'!$J:$J,$J212),""),""),"")</f>
        <v/>
      </c>
      <c r="I212" s="164">
        <f>IFERROR(IF($J212&gt;0,IF(INDEX('Invullen groen'!$K:$K,$J212)&lt;&gt;0,INDEX('Invullen groen'!$K:$K,$J212),""),""),"")</f>
        <v/>
      </c>
      <c r="J212" s="83">
        <f>IFERROR(MATCH(ROW()-4,'Invullen groen'!$P$17:$P$272,0)+16,0)</f>
        <v/>
      </c>
    </row>
    <row r="213" hidden="1" ht="15" customHeight="1" s="402">
      <c r="A213" s="161">
        <f>IFERROR(IF($J213&gt;0,ROW()-4,""),"")</f>
        <v/>
      </c>
      <c r="B213" s="161">
        <f>IFERROR(IF($J213&gt;0,INDEX('Invullen groen'!$A:$A,$J213),""),"")</f>
        <v/>
      </c>
      <c r="C213" s="161">
        <f>IFERROR(IF($J213&gt;0,INDEX('Invullen groen'!$C:$C,$J213),""),"")</f>
        <v/>
      </c>
      <c r="D213" s="161">
        <f>IFERROR(IF($J213&gt;0,INDEX('Invullen groen'!$D:$D,$J213),""),"")</f>
        <v/>
      </c>
      <c r="E213" s="161">
        <f>IFERROR(IF($J213&gt;0,INDEX('Invullen groen'!$G:$G,$J213),""),"")</f>
        <v/>
      </c>
      <c r="F213" s="162">
        <f>IFERROR(IF($J213&gt;0,IF(INDEX('Invullen groen'!$H:$H,$J213)&lt;&gt;0,INDEX('Invullen groen'!$H:$H,$J213),""),""),"")</f>
        <v/>
      </c>
      <c r="G213" s="162">
        <f>IFERROR(IF($J213&gt;0,IF(INDEX('Invullen groen'!$I:$I,$J213)&lt;&gt;0,INDEX('Invullen groen'!$I:$I,$J213),""),""),"")</f>
        <v/>
      </c>
      <c r="H213" s="162">
        <f>IFERROR(IF($J213&gt;0,IF(INDEX('Invullen groen'!$J:$J,$J213)&lt;&gt;0,INDEX('Invullen groen'!$J:$J,$J213),""),""),"")</f>
        <v/>
      </c>
      <c r="I213" s="162">
        <f>IFERROR(IF($J213&gt;0,IF(INDEX('Invullen groen'!$K:$K,$J213)&lt;&gt;0,INDEX('Invullen groen'!$K:$K,$J213),""),""),"")</f>
        <v/>
      </c>
      <c r="J213" s="83">
        <f>IFERROR(MATCH(ROW()-4,'Invullen groen'!$P$17:$P$272,0)+16,0)</f>
        <v/>
      </c>
    </row>
    <row r="214" hidden="1" ht="15" customHeight="1" s="402">
      <c r="A214" s="163">
        <f>IFERROR(IF($J214&gt;0,ROW()-4,""),"")</f>
        <v/>
      </c>
      <c r="B214" s="163">
        <f>IFERROR(IF($J214&gt;0,INDEX('Invullen groen'!$A:$A,$J214),""),"")</f>
        <v/>
      </c>
      <c r="C214" s="163">
        <f>IFERROR(IF($J214&gt;0,INDEX('Invullen groen'!$C:$C,$J214),""),"")</f>
        <v/>
      </c>
      <c r="D214" s="163">
        <f>IFERROR(IF($J214&gt;0,INDEX('Invullen groen'!$D:$D,$J214),""),"")</f>
        <v/>
      </c>
      <c r="E214" s="163">
        <f>IFERROR(IF($J214&gt;0,INDEX('Invullen groen'!$G:$G,$J214),""),"")</f>
        <v/>
      </c>
      <c r="F214" s="164">
        <f>IFERROR(IF($J214&gt;0,IF(INDEX('Invullen groen'!$H:$H,$J214)&lt;&gt;0,INDEX('Invullen groen'!$H:$H,$J214),""),""),"")</f>
        <v/>
      </c>
      <c r="G214" s="164">
        <f>IFERROR(IF($J214&gt;0,IF(INDEX('Invullen groen'!$I:$I,$J214)&lt;&gt;0,INDEX('Invullen groen'!$I:$I,$J214),""),""),"")</f>
        <v/>
      </c>
      <c r="H214" s="164">
        <f>IFERROR(IF($J214&gt;0,IF(INDEX('Invullen groen'!$J:$J,$J214)&lt;&gt;0,INDEX('Invullen groen'!$J:$J,$J214),""),""),"")</f>
        <v/>
      </c>
      <c r="I214" s="164">
        <f>IFERROR(IF($J214&gt;0,IF(INDEX('Invullen groen'!$K:$K,$J214)&lt;&gt;0,INDEX('Invullen groen'!$K:$K,$J214),""),""),"")</f>
        <v/>
      </c>
      <c r="J214" s="83">
        <f>IFERROR(MATCH(ROW()-4,'Invullen groen'!$P$17:$P$272,0)+16,0)</f>
        <v/>
      </c>
    </row>
    <row r="215" hidden="1" ht="15" customHeight="1" s="402">
      <c r="A215" s="161">
        <f>IFERROR(IF($J215&gt;0,ROW()-4,""),"")</f>
        <v/>
      </c>
      <c r="B215" s="161">
        <f>IFERROR(IF($J215&gt;0,INDEX('Invullen groen'!$A:$A,$J215),""),"")</f>
        <v/>
      </c>
      <c r="C215" s="161">
        <f>IFERROR(IF($J215&gt;0,INDEX('Invullen groen'!$C:$C,$J215),""),"")</f>
        <v/>
      </c>
      <c r="D215" s="161">
        <f>IFERROR(IF($J215&gt;0,INDEX('Invullen groen'!$D:$D,$J215),""),"")</f>
        <v/>
      </c>
      <c r="E215" s="161">
        <f>IFERROR(IF($J215&gt;0,INDEX('Invullen groen'!$G:$G,$J215),""),"")</f>
        <v/>
      </c>
      <c r="F215" s="162">
        <f>IFERROR(IF($J215&gt;0,IF(INDEX('Invullen groen'!$H:$H,$J215)&lt;&gt;0,INDEX('Invullen groen'!$H:$H,$J215),""),""),"")</f>
        <v/>
      </c>
      <c r="G215" s="162">
        <f>IFERROR(IF($J215&gt;0,IF(INDEX('Invullen groen'!$I:$I,$J215)&lt;&gt;0,INDEX('Invullen groen'!$I:$I,$J215),""),""),"")</f>
        <v/>
      </c>
      <c r="H215" s="162">
        <f>IFERROR(IF($J215&gt;0,IF(INDEX('Invullen groen'!$J:$J,$J215)&lt;&gt;0,INDEX('Invullen groen'!$J:$J,$J215),""),""),"")</f>
        <v/>
      </c>
      <c r="I215" s="162">
        <f>IFERROR(IF($J215&gt;0,IF(INDEX('Invullen groen'!$K:$K,$J215)&lt;&gt;0,INDEX('Invullen groen'!$K:$K,$J215),""),""),"")</f>
        <v/>
      </c>
      <c r="J215" s="83">
        <f>IFERROR(MATCH(ROW()-4,'Invullen groen'!$P$17:$P$272,0)+16,0)</f>
        <v/>
      </c>
    </row>
    <row r="216" hidden="1" ht="15" customHeight="1" s="402">
      <c r="A216" s="163">
        <f>IFERROR(IF($J216&gt;0,ROW()-4,""),"")</f>
        <v/>
      </c>
      <c r="B216" s="163">
        <f>IFERROR(IF($J216&gt;0,INDEX('Invullen groen'!$A:$A,$J216),""),"")</f>
        <v/>
      </c>
      <c r="C216" s="163">
        <f>IFERROR(IF($J216&gt;0,INDEX('Invullen groen'!$C:$C,$J216),""),"")</f>
        <v/>
      </c>
      <c r="D216" s="163">
        <f>IFERROR(IF($J216&gt;0,INDEX('Invullen groen'!$D:$D,$J216),""),"")</f>
        <v/>
      </c>
      <c r="E216" s="163">
        <f>IFERROR(IF($J216&gt;0,INDEX('Invullen groen'!$G:$G,$J216),""),"")</f>
        <v/>
      </c>
      <c r="F216" s="164">
        <f>IFERROR(IF($J216&gt;0,IF(INDEX('Invullen groen'!$H:$H,$J216)&lt;&gt;0,INDEX('Invullen groen'!$H:$H,$J216),""),""),"")</f>
        <v/>
      </c>
      <c r="G216" s="164">
        <f>IFERROR(IF($J216&gt;0,IF(INDEX('Invullen groen'!$I:$I,$J216)&lt;&gt;0,INDEX('Invullen groen'!$I:$I,$J216),""),""),"")</f>
        <v/>
      </c>
      <c r="H216" s="164">
        <f>IFERROR(IF($J216&gt;0,IF(INDEX('Invullen groen'!$J:$J,$J216)&lt;&gt;0,INDEX('Invullen groen'!$J:$J,$J216),""),""),"")</f>
        <v/>
      </c>
      <c r="I216" s="164">
        <f>IFERROR(IF($J216&gt;0,IF(INDEX('Invullen groen'!$K:$K,$J216)&lt;&gt;0,INDEX('Invullen groen'!$K:$K,$J216),""),""),"")</f>
        <v/>
      </c>
      <c r="J216" s="83">
        <f>IFERROR(MATCH(ROW()-4,'Invullen groen'!$P$17:$P$272,0)+16,0)</f>
        <v/>
      </c>
    </row>
    <row r="217" hidden="1" ht="15" customHeight="1" s="402">
      <c r="A217" s="161">
        <f>IFERROR(IF($J217&gt;0,ROW()-4,""),"")</f>
        <v/>
      </c>
      <c r="B217" s="161">
        <f>IFERROR(IF($J217&gt;0,INDEX('Invullen groen'!$A:$A,$J217),""),"")</f>
        <v/>
      </c>
      <c r="C217" s="161">
        <f>IFERROR(IF($J217&gt;0,INDEX('Invullen groen'!$C:$C,$J217),""),"")</f>
        <v/>
      </c>
      <c r="D217" s="161">
        <f>IFERROR(IF($J217&gt;0,INDEX('Invullen groen'!$D:$D,$J217),""),"")</f>
        <v/>
      </c>
      <c r="E217" s="161">
        <f>IFERROR(IF($J217&gt;0,INDEX('Invullen groen'!$G:$G,$J217),""),"")</f>
        <v/>
      </c>
      <c r="F217" s="162">
        <f>IFERROR(IF($J217&gt;0,IF(INDEX('Invullen groen'!$H:$H,$J217)&lt;&gt;0,INDEX('Invullen groen'!$H:$H,$J217),""),""),"")</f>
        <v/>
      </c>
      <c r="G217" s="162">
        <f>IFERROR(IF($J217&gt;0,IF(INDEX('Invullen groen'!$I:$I,$J217)&lt;&gt;0,INDEX('Invullen groen'!$I:$I,$J217),""),""),"")</f>
        <v/>
      </c>
      <c r="H217" s="162">
        <f>IFERROR(IF($J217&gt;0,IF(INDEX('Invullen groen'!$J:$J,$J217)&lt;&gt;0,INDEX('Invullen groen'!$J:$J,$J217),""),""),"")</f>
        <v/>
      </c>
      <c r="I217" s="162">
        <f>IFERROR(IF($J217&gt;0,IF(INDEX('Invullen groen'!$K:$K,$J217)&lt;&gt;0,INDEX('Invullen groen'!$K:$K,$J217),""),""),"")</f>
        <v/>
      </c>
      <c r="J217" s="83">
        <f>IFERROR(MATCH(ROW()-4,'Invullen groen'!$P$17:$P$272,0)+16,0)</f>
        <v/>
      </c>
    </row>
    <row r="218" hidden="1" ht="15" customHeight="1" s="402">
      <c r="A218" s="163">
        <f>IFERROR(IF($J218&gt;0,ROW()-4,""),"")</f>
        <v/>
      </c>
      <c r="B218" s="163">
        <f>IFERROR(IF($J218&gt;0,INDEX('Invullen groen'!$A:$A,$J218),""),"")</f>
        <v/>
      </c>
      <c r="C218" s="163">
        <f>IFERROR(IF($J218&gt;0,INDEX('Invullen groen'!$C:$C,$J218),""),"")</f>
        <v/>
      </c>
      <c r="D218" s="163">
        <f>IFERROR(IF($J218&gt;0,INDEX('Invullen groen'!$D:$D,$J218),""),"")</f>
        <v/>
      </c>
      <c r="E218" s="163">
        <f>IFERROR(IF($J218&gt;0,INDEX('Invullen groen'!$G:$G,$J218),""),"")</f>
        <v/>
      </c>
      <c r="F218" s="164">
        <f>IFERROR(IF($J218&gt;0,IF(INDEX('Invullen groen'!$H:$H,$J218)&lt;&gt;0,INDEX('Invullen groen'!$H:$H,$J218),""),""),"")</f>
        <v/>
      </c>
      <c r="G218" s="164">
        <f>IFERROR(IF($J218&gt;0,IF(INDEX('Invullen groen'!$I:$I,$J218)&lt;&gt;0,INDEX('Invullen groen'!$I:$I,$J218),""),""),"")</f>
        <v/>
      </c>
      <c r="H218" s="164">
        <f>IFERROR(IF($J218&gt;0,IF(INDEX('Invullen groen'!$J:$J,$J218)&lt;&gt;0,INDEX('Invullen groen'!$J:$J,$J218),""),""),"")</f>
        <v/>
      </c>
      <c r="I218" s="164">
        <f>IFERROR(IF($J218&gt;0,IF(INDEX('Invullen groen'!$K:$K,$J218)&lt;&gt;0,INDEX('Invullen groen'!$K:$K,$J218),""),""),"")</f>
        <v/>
      </c>
      <c r="J218" s="83">
        <f>IFERROR(MATCH(ROW()-4,'Invullen groen'!$P$17:$P$272,0)+16,0)</f>
        <v/>
      </c>
    </row>
    <row r="219" hidden="1" ht="15" customHeight="1" s="402">
      <c r="A219" s="161">
        <f>IFERROR(IF($J219&gt;0,ROW()-4,""),"")</f>
        <v/>
      </c>
      <c r="B219" s="161">
        <f>IFERROR(IF($J219&gt;0,INDEX('Invullen groen'!$A:$A,$J219),""),"")</f>
        <v/>
      </c>
      <c r="C219" s="161">
        <f>IFERROR(IF($J219&gt;0,INDEX('Invullen groen'!$C:$C,$J219),""),"")</f>
        <v/>
      </c>
      <c r="D219" s="161">
        <f>IFERROR(IF($J219&gt;0,INDEX('Invullen groen'!$D:$D,$J219),""),"")</f>
        <v/>
      </c>
      <c r="E219" s="161">
        <f>IFERROR(IF($J219&gt;0,INDEX('Invullen groen'!$G:$G,$J219),""),"")</f>
        <v/>
      </c>
      <c r="F219" s="162">
        <f>IFERROR(IF($J219&gt;0,IF(INDEX('Invullen groen'!$H:$H,$J219)&lt;&gt;0,INDEX('Invullen groen'!$H:$H,$J219),""),""),"")</f>
        <v/>
      </c>
      <c r="G219" s="162">
        <f>IFERROR(IF($J219&gt;0,IF(INDEX('Invullen groen'!$I:$I,$J219)&lt;&gt;0,INDEX('Invullen groen'!$I:$I,$J219),""),""),"")</f>
        <v/>
      </c>
      <c r="H219" s="162">
        <f>IFERROR(IF($J219&gt;0,IF(INDEX('Invullen groen'!$J:$J,$J219)&lt;&gt;0,INDEX('Invullen groen'!$J:$J,$J219),""),""),"")</f>
        <v/>
      </c>
      <c r="I219" s="162">
        <f>IFERROR(IF($J219&gt;0,IF(INDEX('Invullen groen'!$K:$K,$J219)&lt;&gt;0,INDEX('Invullen groen'!$K:$K,$J219),""),""),"")</f>
        <v/>
      </c>
      <c r="J219" s="83">
        <f>IFERROR(MATCH(ROW()-4,'Invullen groen'!$P$17:$P$272,0)+16,0)</f>
        <v/>
      </c>
    </row>
    <row r="220" hidden="1" ht="15" customHeight="1" s="402">
      <c r="A220" s="163">
        <f>IFERROR(IF($J220&gt;0,ROW()-4,""),"")</f>
        <v/>
      </c>
      <c r="B220" s="163">
        <f>IFERROR(IF($J220&gt;0,INDEX('Invullen groen'!$A:$A,$J220),""),"")</f>
        <v/>
      </c>
      <c r="C220" s="163">
        <f>IFERROR(IF($J220&gt;0,INDEX('Invullen groen'!$C:$C,$J220),""),"")</f>
        <v/>
      </c>
      <c r="D220" s="163">
        <f>IFERROR(IF($J220&gt;0,INDEX('Invullen groen'!$D:$D,$J220),""),"")</f>
        <v/>
      </c>
      <c r="E220" s="163">
        <f>IFERROR(IF($J220&gt;0,INDEX('Invullen groen'!$G:$G,$J220),""),"")</f>
        <v/>
      </c>
      <c r="F220" s="164">
        <f>IFERROR(IF($J220&gt;0,IF(INDEX('Invullen groen'!$H:$H,$J220)&lt;&gt;0,INDEX('Invullen groen'!$H:$H,$J220),""),""),"")</f>
        <v/>
      </c>
      <c r="G220" s="164">
        <f>IFERROR(IF($J220&gt;0,IF(INDEX('Invullen groen'!$I:$I,$J220)&lt;&gt;0,INDEX('Invullen groen'!$I:$I,$J220),""),""),"")</f>
        <v/>
      </c>
      <c r="H220" s="164">
        <f>IFERROR(IF($J220&gt;0,IF(INDEX('Invullen groen'!$J:$J,$J220)&lt;&gt;0,INDEX('Invullen groen'!$J:$J,$J220),""),""),"")</f>
        <v/>
      </c>
      <c r="I220" s="164">
        <f>IFERROR(IF($J220&gt;0,IF(INDEX('Invullen groen'!$K:$K,$J220)&lt;&gt;0,INDEX('Invullen groen'!$K:$K,$J220),""),""),"")</f>
        <v/>
      </c>
      <c r="J220" s="83">
        <f>IFERROR(MATCH(ROW()-4,'Invullen groen'!$P$17:$P$272,0)+16,0)</f>
        <v/>
      </c>
    </row>
    <row r="221" hidden="1" ht="15" customHeight="1" s="402">
      <c r="A221" s="161">
        <f>IFERROR(IF($J221&gt;0,ROW()-4,""),"")</f>
        <v/>
      </c>
      <c r="B221" s="161">
        <f>IFERROR(IF($J221&gt;0,INDEX('Invullen groen'!$A:$A,$J221),""),"")</f>
        <v/>
      </c>
      <c r="C221" s="161">
        <f>IFERROR(IF($J221&gt;0,INDEX('Invullen groen'!$C:$C,$J221),""),"")</f>
        <v/>
      </c>
      <c r="D221" s="161">
        <f>IFERROR(IF($J221&gt;0,INDEX('Invullen groen'!$D:$D,$J221),""),"")</f>
        <v/>
      </c>
      <c r="E221" s="161">
        <f>IFERROR(IF($J221&gt;0,INDEX('Invullen groen'!$G:$G,$J221),""),"")</f>
        <v/>
      </c>
      <c r="F221" s="162">
        <f>IFERROR(IF($J221&gt;0,IF(INDEX('Invullen groen'!$H:$H,$J221)&lt;&gt;0,INDEX('Invullen groen'!$H:$H,$J221),""),""),"")</f>
        <v/>
      </c>
      <c r="G221" s="162">
        <f>IFERROR(IF($J221&gt;0,IF(INDEX('Invullen groen'!$I:$I,$J221)&lt;&gt;0,INDEX('Invullen groen'!$I:$I,$J221),""),""),"")</f>
        <v/>
      </c>
      <c r="H221" s="162">
        <f>IFERROR(IF($J221&gt;0,IF(INDEX('Invullen groen'!$J:$J,$J221)&lt;&gt;0,INDEX('Invullen groen'!$J:$J,$J221),""),""),"")</f>
        <v/>
      </c>
      <c r="I221" s="162">
        <f>IFERROR(IF($J221&gt;0,IF(INDEX('Invullen groen'!$K:$K,$J221)&lt;&gt;0,INDEX('Invullen groen'!$K:$K,$J221),""),""),"")</f>
        <v/>
      </c>
      <c r="J221" s="83">
        <f>IFERROR(MATCH(ROW()-4,'Invullen groen'!$P$17:$P$272,0)+16,0)</f>
        <v/>
      </c>
    </row>
    <row r="222" hidden="1" ht="15" customHeight="1" s="402">
      <c r="A222" s="163">
        <f>IFERROR(IF($J222&gt;0,ROW()-4,""),"")</f>
        <v/>
      </c>
      <c r="B222" s="163">
        <f>IFERROR(IF($J222&gt;0,INDEX('Invullen groen'!$A:$A,$J222),""),"")</f>
        <v/>
      </c>
      <c r="C222" s="163">
        <f>IFERROR(IF($J222&gt;0,INDEX('Invullen groen'!$C:$C,$J222),""),"")</f>
        <v/>
      </c>
      <c r="D222" s="163">
        <f>IFERROR(IF($J222&gt;0,INDEX('Invullen groen'!$D:$D,$J222),""),"")</f>
        <v/>
      </c>
      <c r="E222" s="163">
        <f>IFERROR(IF($J222&gt;0,INDEX('Invullen groen'!$G:$G,$J222),""),"")</f>
        <v/>
      </c>
      <c r="F222" s="164">
        <f>IFERROR(IF($J222&gt;0,IF(INDEX('Invullen groen'!$H:$H,$J222)&lt;&gt;0,INDEX('Invullen groen'!$H:$H,$J222),""),""),"")</f>
        <v/>
      </c>
      <c r="G222" s="164">
        <f>IFERROR(IF($J222&gt;0,IF(INDEX('Invullen groen'!$I:$I,$J222)&lt;&gt;0,INDEX('Invullen groen'!$I:$I,$J222),""),""),"")</f>
        <v/>
      </c>
      <c r="H222" s="164">
        <f>IFERROR(IF($J222&gt;0,IF(INDEX('Invullen groen'!$J:$J,$J222)&lt;&gt;0,INDEX('Invullen groen'!$J:$J,$J222),""),""),"")</f>
        <v/>
      </c>
      <c r="I222" s="164">
        <f>IFERROR(IF($J222&gt;0,IF(INDEX('Invullen groen'!$K:$K,$J222)&lt;&gt;0,INDEX('Invullen groen'!$K:$K,$J222),""),""),"")</f>
        <v/>
      </c>
      <c r="J222" s="83">
        <f>IFERROR(MATCH(ROW()-4,'Invullen groen'!$P$17:$P$272,0)+16,0)</f>
        <v/>
      </c>
    </row>
    <row r="223" hidden="1" ht="15" customHeight="1" s="402">
      <c r="A223" s="161">
        <f>IFERROR(IF($J223&gt;0,ROW()-4,""),"")</f>
        <v/>
      </c>
      <c r="B223" s="161">
        <f>IFERROR(IF($J223&gt;0,INDEX('Invullen groen'!$A:$A,$J223),""),"")</f>
        <v/>
      </c>
      <c r="C223" s="161">
        <f>IFERROR(IF($J223&gt;0,INDEX('Invullen groen'!$C:$C,$J223),""),"")</f>
        <v/>
      </c>
      <c r="D223" s="161">
        <f>IFERROR(IF($J223&gt;0,INDEX('Invullen groen'!$D:$D,$J223),""),"")</f>
        <v/>
      </c>
      <c r="E223" s="161">
        <f>IFERROR(IF($J223&gt;0,INDEX('Invullen groen'!$G:$G,$J223),""),"")</f>
        <v/>
      </c>
      <c r="F223" s="162">
        <f>IFERROR(IF($J223&gt;0,IF(INDEX('Invullen groen'!$H:$H,$J223)&lt;&gt;0,INDEX('Invullen groen'!$H:$H,$J223),""),""),"")</f>
        <v/>
      </c>
      <c r="G223" s="162">
        <f>IFERROR(IF($J223&gt;0,IF(INDEX('Invullen groen'!$I:$I,$J223)&lt;&gt;0,INDEX('Invullen groen'!$I:$I,$J223),""),""),"")</f>
        <v/>
      </c>
      <c r="H223" s="162">
        <f>IFERROR(IF($J223&gt;0,IF(INDEX('Invullen groen'!$J:$J,$J223)&lt;&gt;0,INDEX('Invullen groen'!$J:$J,$J223),""),""),"")</f>
        <v/>
      </c>
      <c r="I223" s="162">
        <f>IFERROR(IF($J223&gt;0,IF(INDEX('Invullen groen'!$K:$K,$J223)&lt;&gt;0,INDEX('Invullen groen'!$K:$K,$J223),""),""),"")</f>
        <v/>
      </c>
      <c r="J223" s="83">
        <f>IFERROR(MATCH(ROW()-4,'Invullen groen'!$P$17:$P$272,0)+16,0)</f>
        <v/>
      </c>
    </row>
    <row r="224" hidden="1" ht="15" customHeight="1" s="402">
      <c r="A224" s="163">
        <f>IFERROR(IF($J224&gt;0,ROW()-4,""),"")</f>
        <v/>
      </c>
      <c r="B224" s="163">
        <f>IFERROR(IF($J224&gt;0,INDEX('Invullen groen'!$A:$A,$J224),""),"")</f>
        <v/>
      </c>
      <c r="C224" s="163">
        <f>IFERROR(IF($J224&gt;0,INDEX('Invullen groen'!$C:$C,$J224),""),"")</f>
        <v/>
      </c>
      <c r="D224" s="163">
        <f>IFERROR(IF($J224&gt;0,INDEX('Invullen groen'!$D:$D,$J224),""),"")</f>
        <v/>
      </c>
      <c r="E224" s="163">
        <f>IFERROR(IF($J224&gt;0,INDEX('Invullen groen'!$G:$G,$J224),""),"")</f>
        <v/>
      </c>
      <c r="F224" s="164">
        <f>IFERROR(IF($J224&gt;0,IF(INDEX('Invullen groen'!$H:$H,$J224)&lt;&gt;0,INDEX('Invullen groen'!$H:$H,$J224),""),""),"")</f>
        <v/>
      </c>
      <c r="G224" s="164">
        <f>IFERROR(IF($J224&gt;0,IF(INDEX('Invullen groen'!$I:$I,$J224)&lt;&gt;0,INDEX('Invullen groen'!$I:$I,$J224),""),""),"")</f>
        <v/>
      </c>
      <c r="H224" s="164">
        <f>IFERROR(IF($J224&gt;0,IF(INDEX('Invullen groen'!$J:$J,$J224)&lt;&gt;0,INDEX('Invullen groen'!$J:$J,$J224),""),""),"")</f>
        <v/>
      </c>
      <c r="I224" s="164">
        <f>IFERROR(IF($J224&gt;0,IF(INDEX('Invullen groen'!$K:$K,$J224)&lt;&gt;0,INDEX('Invullen groen'!$K:$K,$J224),""),""),"")</f>
        <v/>
      </c>
      <c r="J224" s="83">
        <f>IFERROR(MATCH(ROW()-4,'Invullen groen'!$P$17:$P$272,0)+16,0)</f>
        <v/>
      </c>
    </row>
    <row r="225" hidden="1" ht="15" customHeight="1" s="402">
      <c r="A225" s="161">
        <f>IFERROR(IF($J225&gt;0,ROW()-4,""),"")</f>
        <v/>
      </c>
      <c r="B225" s="161">
        <f>IFERROR(IF($J225&gt;0,INDEX('Invullen groen'!$A:$A,$J225),""),"")</f>
        <v/>
      </c>
      <c r="C225" s="161">
        <f>IFERROR(IF($J225&gt;0,INDEX('Invullen groen'!$C:$C,$J225),""),"")</f>
        <v/>
      </c>
      <c r="D225" s="161">
        <f>IFERROR(IF($J225&gt;0,INDEX('Invullen groen'!$D:$D,$J225),""),"")</f>
        <v/>
      </c>
      <c r="E225" s="161">
        <f>IFERROR(IF($J225&gt;0,INDEX('Invullen groen'!$G:$G,$J225),""),"")</f>
        <v/>
      </c>
      <c r="F225" s="162">
        <f>IFERROR(IF($J225&gt;0,IF(INDEX('Invullen groen'!$H:$H,$J225)&lt;&gt;0,INDEX('Invullen groen'!$H:$H,$J225),""),""),"")</f>
        <v/>
      </c>
      <c r="G225" s="162">
        <f>IFERROR(IF($J225&gt;0,IF(INDEX('Invullen groen'!$I:$I,$J225)&lt;&gt;0,INDEX('Invullen groen'!$I:$I,$J225),""),""),"")</f>
        <v/>
      </c>
      <c r="H225" s="162">
        <f>IFERROR(IF($J225&gt;0,IF(INDEX('Invullen groen'!$J:$J,$J225)&lt;&gt;0,INDEX('Invullen groen'!$J:$J,$J225),""),""),"")</f>
        <v/>
      </c>
      <c r="I225" s="162">
        <f>IFERROR(IF($J225&gt;0,IF(INDEX('Invullen groen'!$K:$K,$J225)&lt;&gt;0,INDEX('Invullen groen'!$K:$K,$J225),""),""),"")</f>
        <v/>
      </c>
      <c r="J225" s="83">
        <f>IFERROR(MATCH(ROW()-4,'Invullen groen'!$P$17:$P$272,0)+16,0)</f>
        <v/>
      </c>
    </row>
    <row r="226" hidden="1" ht="15" customHeight="1" s="402">
      <c r="A226" s="163">
        <f>IFERROR(IF($J226&gt;0,ROW()-4,""),"")</f>
        <v/>
      </c>
      <c r="B226" s="163">
        <f>IFERROR(IF($J226&gt;0,INDEX('Invullen groen'!$A:$A,$J226),""),"")</f>
        <v/>
      </c>
      <c r="C226" s="163">
        <f>IFERROR(IF($J226&gt;0,INDEX('Invullen groen'!$C:$C,$J226),""),"")</f>
        <v/>
      </c>
      <c r="D226" s="163">
        <f>IFERROR(IF($J226&gt;0,INDEX('Invullen groen'!$D:$D,$J226),""),"")</f>
        <v/>
      </c>
      <c r="E226" s="163">
        <f>IFERROR(IF($J226&gt;0,INDEX('Invullen groen'!$G:$G,$J226),""),"")</f>
        <v/>
      </c>
      <c r="F226" s="164">
        <f>IFERROR(IF($J226&gt;0,IF(INDEX('Invullen groen'!$H:$H,$J226)&lt;&gt;0,INDEX('Invullen groen'!$H:$H,$J226),""),""),"")</f>
        <v/>
      </c>
      <c r="G226" s="164">
        <f>IFERROR(IF($J226&gt;0,IF(INDEX('Invullen groen'!$I:$I,$J226)&lt;&gt;0,INDEX('Invullen groen'!$I:$I,$J226),""),""),"")</f>
        <v/>
      </c>
      <c r="H226" s="164">
        <f>IFERROR(IF($J226&gt;0,IF(INDEX('Invullen groen'!$J:$J,$J226)&lt;&gt;0,INDEX('Invullen groen'!$J:$J,$J226),""),""),"")</f>
        <v/>
      </c>
      <c r="I226" s="164">
        <f>IFERROR(IF($J226&gt;0,IF(INDEX('Invullen groen'!$K:$K,$J226)&lt;&gt;0,INDEX('Invullen groen'!$K:$K,$J226),""),""),"")</f>
        <v/>
      </c>
      <c r="J226" s="83">
        <f>IFERROR(MATCH(ROW()-4,'Invullen groen'!$P$17:$P$272,0)+16,0)</f>
        <v/>
      </c>
    </row>
    <row r="227" hidden="1" ht="15" customHeight="1" s="402">
      <c r="A227" s="161">
        <f>IFERROR(IF($J227&gt;0,ROW()-4,""),"")</f>
        <v/>
      </c>
      <c r="B227" s="161">
        <f>IFERROR(IF($J227&gt;0,INDEX('Invullen groen'!$A:$A,$J227),""),"")</f>
        <v/>
      </c>
      <c r="C227" s="161">
        <f>IFERROR(IF($J227&gt;0,INDEX('Invullen groen'!$C:$C,$J227),""),"")</f>
        <v/>
      </c>
      <c r="D227" s="161">
        <f>IFERROR(IF($J227&gt;0,INDEX('Invullen groen'!$D:$D,$J227),""),"")</f>
        <v/>
      </c>
      <c r="E227" s="161">
        <f>IFERROR(IF($J227&gt;0,INDEX('Invullen groen'!$G:$G,$J227),""),"")</f>
        <v/>
      </c>
      <c r="F227" s="162">
        <f>IFERROR(IF($J227&gt;0,IF(INDEX('Invullen groen'!$H:$H,$J227)&lt;&gt;0,INDEX('Invullen groen'!$H:$H,$J227),""),""),"")</f>
        <v/>
      </c>
      <c r="G227" s="162">
        <f>IFERROR(IF($J227&gt;0,IF(INDEX('Invullen groen'!$I:$I,$J227)&lt;&gt;0,INDEX('Invullen groen'!$I:$I,$J227),""),""),"")</f>
        <v/>
      </c>
      <c r="H227" s="162">
        <f>IFERROR(IF($J227&gt;0,IF(INDEX('Invullen groen'!$J:$J,$J227)&lt;&gt;0,INDEX('Invullen groen'!$J:$J,$J227),""),""),"")</f>
        <v/>
      </c>
      <c r="I227" s="162">
        <f>IFERROR(IF($J227&gt;0,IF(INDEX('Invullen groen'!$K:$K,$J227)&lt;&gt;0,INDEX('Invullen groen'!$K:$K,$J227),""),""),"")</f>
        <v/>
      </c>
      <c r="J227" s="83">
        <f>IFERROR(MATCH(ROW()-4,'Invullen groen'!$P$17:$P$272,0)+16,0)</f>
        <v/>
      </c>
    </row>
    <row r="228" hidden="1" ht="15" customHeight="1" s="402">
      <c r="A228" s="163">
        <f>IFERROR(IF($J228&gt;0,ROW()-4,""),"")</f>
        <v/>
      </c>
      <c r="B228" s="163">
        <f>IFERROR(IF($J228&gt;0,INDEX('Invullen groen'!$A:$A,$J228),""),"")</f>
        <v/>
      </c>
      <c r="C228" s="163">
        <f>IFERROR(IF($J228&gt;0,INDEX('Invullen groen'!$C:$C,$J228),""),"")</f>
        <v/>
      </c>
      <c r="D228" s="163">
        <f>IFERROR(IF($J228&gt;0,INDEX('Invullen groen'!$D:$D,$J228),""),"")</f>
        <v/>
      </c>
      <c r="E228" s="163">
        <f>IFERROR(IF($J228&gt;0,INDEX('Invullen groen'!$G:$G,$J228),""),"")</f>
        <v/>
      </c>
      <c r="F228" s="164">
        <f>IFERROR(IF($J228&gt;0,IF(INDEX('Invullen groen'!$H:$H,$J228)&lt;&gt;0,INDEX('Invullen groen'!$H:$H,$J228),""),""),"")</f>
        <v/>
      </c>
      <c r="G228" s="164">
        <f>IFERROR(IF($J228&gt;0,IF(INDEX('Invullen groen'!$I:$I,$J228)&lt;&gt;0,INDEX('Invullen groen'!$I:$I,$J228),""),""),"")</f>
        <v/>
      </c>
      <c r="H228" s="164">
        <f>IFERROR(IF($J228&gt;0,IF(INDEX('Invullen groen'!$J:$J,$J228)&lt;&gt;0,INDEX('Invullen groen'!$J:$J,$J228),""),""),"")</f>
        <v/>
      </c>
      <c r="I228" s="164">
        <f>IFERROR(IF($J228&gt;0,IF(INDEX('Invullen groen'!$K:$K,$J228)&lt;&gt;0,INDEX('Invullen groen'!$K:$K,$J228),""),""),"")</f>
        <v/>
      </c>
      <c r="J228" s="83">
        <f>IFERROR(MATCH(ROW()-4,'Invullen groen'!$P$17:$P$272,0)+16,0)</f>
        <v/>
      </c>
    </row>
    <row r="229" hidden="1" ht="15" customHeight="1" s="402">
      <c r="A229" s="78">
        <f>IFERROR(IF($J229&gt;0,ROW()-4,""),"")</f>
        <v/>
      </c>
      <c r="B229" s="78">
        <f>IFERROR(IF($J229&gt;0,INDEX('Invullen groen'!$A:$A,$J229),""),"")</f>
        <v/>
      </c>
      <c r="C229" s="78">
        <f>IFERROR(IF($J229&gt;0,INDEX('Invullen groen'!$C:$C,$J229),""),"")</f>
        <v/>
      </c>
      <c r="D229" s="78">
        <f>IFERROR(IF($J229&gt;0,INDEX('Invullen groen'!$D:$D,$J229),""),"")</f>
        <v/>
      </c>
      <c r="E229" s="78">
        <f>IFERROR(IF($J229&gt;0,INDEX('Invullen groen'!$G:$G,$J229),""),"")</f>
        <v/>
      </c>
      <c r="F229" s="100">
        <f>IFERROR(IF($J229&gt;0,IF(INDEX('Invullen groen'!$H:$H,$J229)&lt;&gt;0,INDEX('Invullen groen'!$H:$H,$J229),""),""),"")</f>
        <v/>
      </c>
      <c r="G229" s="100">
        <f>IFERROR(IF($J229&gt;0,IF(INDEX('Invullen groen'!$I:$I,$J229)&lt;&gt;0,INDEX('Invullen groen'!$I:$I,$J229),""),""),"")</f>
        <v/>
      </c>
      <c r="H229" s="100">
        <f>IFERROR(IF($J229&gt;0,IF(INDEX('Invullen groen'!$J:$J,$J229)&lt;&gt;0,INDEX('Invullen groen'!$J:$J,$J229),""),""),"")</f>
        <v/>
      </c>
      <c r="I229" s="100">
        <f>IFERROR(IF($J229&gt;0,IF(INDEX('Invullen groen'!$K:$K,$J229)&lt;&gt;0,INDEX('Invullen groen'!$K:$K,$J229),""),""),"")</f>
        <v/>
      </c>
      <c r="J229" s="83">
        <f>IFERROR(MATCH(ROW()-4,'Invullen groen'!$P$17:$P$272,0)+16,0)</f>
        <v/>
      </c>
    </row>
    <row r="230" hidden="1" ht="15" customHeight="1" s="402">
      <c r="A230" s="64">
        <f>IFERROR(IF($J230&gt;0,ROW()-4,""),"")</f>
        <v/>
      </c>
      <c r="B230" s="83">
        <f>IFERROR(IF($J230&gt;0,INDEX('Invullen groen'!$A:$A,$J230),""),"")</f>
        <v/>
      </c>
      <c r="C230" s="83">
        <f>IFERROR(IF($J230&gt;0,INDEX('Invullen groen'!$C:$C,$J230),""),"")</f>
        <v/>
      </c>
      <c r="D230" s="83">
        <f>IFERROR(IF($J230&gt;0,INDEX('Invullen groen'!$D:$D,$J230),""),"")</f>
        <v/>
      </c>
      <c r="E230" s="83">
        <f>IFERROR(IF($J230&gt;0,INDEX('Invullen groen'!$G:$G,$J230),""),"")</f>
        <v/>
      </c>
      <c r="F230" s="165">
        <f>IFERROR(IF($J230&gt;0,IF(INDEX('Invullen groen'!$H:$H,$J230)&lt;&gt;0,INDEX('Invullen groen'!$H:$H,$J230),""),""),"")</f>
        <v/>
      </c>
      <c r="G230" s="165">
        <f>IFERROR(IF($J230&gt;0,IF(INDEX('Invullen groen'!$I:$I,$J230)&lt;&gt;0,INDEX('Invullen groen'!$I:$I,$J230),""),""),"")</f>
        <v/>
      </c>
      <c r="H230" s="165">
        <f>IFERROR(IF($J230&gt;0,IF(INDEX('Invullen groen'!$J:$J,$J230)&lt;&gt;0,INDEX('Invullen groen'!$J:$J,$J230),""),""),"")</f>
        <v/>
      </c>
      <c r="I230" s="165">
        <f>IFERROR(IF($J230&gt;0,IF(INDEX('Invullen groen'!$K:$K,$J230)&lt;&gt;0,INDEX('Invullen groen'!$K:$K,$J230),""),""),"")</f>
        <v/>
      </c>
      <c r="J230" s="83">
        <f>IFERROR(MATCH(ROW()-4,'Invullen groen'!$P$17:$P$272,0)+16,0)</f>
        <v/>
      </c>
    </row>
    <row r="231" hidden="1" ht="15" customHeight="1" s="402">
      <c r="A231" s="65">
        <f>IFERROR(IF($J231&gt;0,ROW()-4,""),"")</f>
        <v/>
      </c>
      <c r="B231" s="83">
        <f>IFERROR(IF($J231&gt;0,INDEX('Invullen groen'!$A:$A,$J231),""),"")</f>
        <v/>
      </c>
      <c r="C231" s="83">
        <f>IFERROR(IF($J231&gt;0,INDEX('Invullen groen'!$C:$C,$J231),""),"")</f>
        <v/>
      </c>
      <c r="D231" s="83">
        <f>IFERROR(IF($J231&gt;0,INDEX('Invullen groen'!$D:$D,$J231),""),"")</f>
        <v/>
      </c>
      <c r="E231" s="83">
        <f>IFERROR(IF($J231&gt;0,INDEX('Invullen groen'!$G:$G,$J231),""),"")</f>
        <v/>
      </c>
      <c r="F231" s="166">
        <f>IFERROR(IF($J231&gt;0,IF(INDEX('Invullen groen'!$H:$H,$J231)&lt;&gt;0,INDEX('Invullen groen'!$H:$H,$J231),""),""),"")</f>
        <v/>
      </c>
      <c r="G231" s="166">
        <f>IFERROR(IF($J231&gt;0,IF(INDEX('Invullen groen'!$I:$I,$J231)&lt;&gt;0,INDEX('Invullen groen'!$I:$I,$J231),""),""),"")</f>
        <v/>
      </c>
      <c r="H231" s="166">
        <f>IFERROR(IF($J231&gt;0,IF(INDEX('Invullen groen'!$J:$J,$J231)&lt;&gt;0,INDEX('Invullen groen'!$J:$J,$J231),""),""),"")</f>
        <v/>
      </c>
      <c r="I231" s="166">
        <f>IFERROR(IF($J231&gt;0,IF(INDEX('Invullen groen'!$K:$K,$J231)&lt;&gt;0,INDEX('Invullen groen'!$K:$K,$J231),""),""),"")</f>
        <v/>
      </c>
      <c r="J231" s="83">
        <f>IFERROR(MATCH(ROW()-4,'Invullen groen'!$P$17:$P$272,0)+16,0)</f>
        <v/>
      </c>
    </row>
    <row r="232" hidden="1" ht="15" customHeight="1" s="402">
      <c r="A232" s="66">
        <f>IFERROR(IF($J232&gt;0,ROW()-4,""),"")</f>
        <v/>
      </c>
      <c r="B232" s="83">
        <f>IFERROR(IF($J232&gt;0,INDEX('Invullen groen'!$A:$A,$J232),""),"")</f>
        <v/>
      </c>
      <c r="C232" s="83">
        <f>IFERROR(IF($J232&gt;0,INDEX('Invullen groen'!$C:$C,$J232),""),"")</f>
        <v/>
      </c>
      <c r="D232" s="83">
        <f>IFERROR(IF($J232&gt;0,INDEX('Invullen groen'!$D:$D,$J232),""),"")</f>
        <v/>
      </c>
      <c r="E232" s="83">
        <f>IFERROR(IF($J232&gt;0,INDEX('Invullen groen'!$G:$G,$J232),""),"")</f>
        <v/>
      </c>
      <c r="F232" s="167">
        <f>IFERROR(IF($J232&gt;0,IF(INDEX('Invullen groen'!$H:$H,$J232)&lt;&gt;0,INDEX('Invullen groen'!$H:$H,$J232),""),""),"")</f>
        <v/>
      </c>
      <c r="G232" s="167">
        <f>IFERROR(IF($J232&gt;0,IF(INDEX('Invullen groen'!$I:$I,$J232)&lt;&gt;0,INDEX('Invullen groen'!$I:$I,$J232),""),""),"")</f>
        <v/>
      </c>
      <c r="H232" s="167">
        <f>IFERROR(IF($J232&gt;0,IF(INDEX('Invullen groen'!$J:$J,$J232)&lt;&gt;0,INDEX('Invullen groen'!$J:$J,$J232),""),""),"")</f>
        <v/>
      </c>
      <c r="I232" s="167">
        <f>IFERROR(IF($J232&gt;0,IF(INDEX('Invullen groen'!$K:$K,$J232)&lt;&gt;0,INDEX('Invullen groen'!$K:$K,$J232),""),""),"")</f>
        <v/>
      </c>
      <c r="J232" s="83">
        <f>IFERROR(MATCH(ROW()-4,'Invullen groen'!$P$17:$P$272,0)+16,0)</f>
        <v/>
      </c>
    </row>
    <row r="233" hidden="1" ht="15" customHeight="1" s="402">
      <c r="A233" s="78">
        <f>IFERROR(IF($J233&gt;0,ROW()-4,""),"")</f>
        <v/>
      </c>
      <c r="B233" s="78">
        <f>IFERROR(IF($J233&gt;0,INDEX('Invullen groen'!$A:$A,$J233),""),"")</f>
        <v/>
      </c>
      <c r="C233" s="78">
        <f>IFERROR(IF($J233&gt;0,INDEX('Invullen groen'!$C:$C,$J233),""),"")</f>
        <v/>
      </c>
      <c r="D233" s="78">
        <f>IFERROR(IF($J233&gt;0,INDEX('Invullen groen'!$D:$D,$J233),""),"")</f>
        <v/>
      </c>
      <c r="E233" s="78">
        <f>IFERROR(IF($J233&gt;0,INDEX('Invullen groen'!$G:$G,$J233),""),"")</f>
        <v/>
      </c>
      <c r="F233" s="100">
        <f>IFERROR(IF($J233&gt;0,IF(INDEX('Invullen groen'!$H:$H,$J233)&lt;&gt;0,INDEX('Invullen groen'!$H:$H,$J233),""),""),"")</f>
        <v/>
      </c>
      <c r="G233" s="100">
        <f>IFERROR(IF($J233&gt;0,IF(INDEX('Invullen groen'!$I:$I,$J233)&lt;&gt;0,INDEX('Invullen groen'!$I:$I,$J233),""),""),"")</f>
        <v/>
      </c>
      <c r="H233" s="100">
        <f>IFERROR(IF($J233&gt;0,IF(INDEX('Invullen groen'!$J:$J,$J233)&lt;&gt;0,INDEX('Invullen groen'!$J:$J,$J233),""),""),"")</f>
        <v/>
      </c>
      <c r="I233" s="100">
        <f>IFERROR(IF($J233&gt;0,IF(INDEX('Invullen groen'!$K:$K,$J233)&lt;&gt;0,INDEX('Invullen groen'!$K:$K,$J233),""),""),"")</f>
        <v/>
      </c>
      <c r="J233" s="83">
        <f>IFERROR(MATCH(ROW()-4,'Invullen groen'!$P$17:$P$272,0)+16,0)</f>
        <v/>
      </c>
    </row>
    <row r="234" hidden="1" ht="15" customHeight="1" s="402">
      <c r="A234" s="77">
        <f>IFERROR(IF($J234&gt;0,ROW()-4,""),"")</f>
        <v/>
      </c>
      <c r="B234" s="83">
        <f>IFERROR(IF($J234&gt;0,INDEX('Invullen groen'!$A:$A,$J234),""),"")</f>
        <v/>
      </c>
      <c r="C234" s="83">
        <f>IFERROR(IF($J234&gt;0,INDEX('Invullen groen'!$C:$C,$J234),""),"")</f>
        <v/>
      </c>
      <c r="D234" s="83">
        <f>IFERROR(IF($J234&gt;0,INDEX('Invullen groen'!$D:$D,$J234),""),"")</f>
        <v/>
      </c>
      <c r="E234" s="83">
        <f>IFERROR(IF($J234&gt;0,INDEX('Invullen groen'!$G:$G,$J234),""),"")</f>
        <v/>
      </c>
      <c r="F234" s="83">
        <f>IFERROR(IF($J234&gt;0,IF(INDEX('Invullen groen'!$H:$H,$J234)&lt;&gt;0,INDEX('Invullen groen'!$H:$H,$J234),""),""),"")</f>
        <v/>
      </c>
      <c r="G234" s="83">
        <f>IFERROR(IF($J234&gt;0,IF(INDEX('Invullen groen'!$I:$I,$J234)&lt;&gt;0,INDEX('Invullen groen'!$I:$I,$J234),""),""),"")</f>
        <v/>
      </c>
      <c r="H234" s="83">
        <f>IFERROR(IF($J234&gt;0,IF(INDEX('Invullen groen'!$J:$J,$J234)&lt;&gt;0,INDEX('Invullen groen'!$J:$J,$J234),""),""),"")</f>
        <v/>
      </c>
      <c r="I234" s="83">
        <f>IFERROR(IF($J234&gt;0,IF(INDEX('Invullen groen'!$K:$K,$J234)&lt;&gt;0,INDEX('Invullen groen'!$K:$K,$J234),""),""),"")</f>
        <v/>
      </c>
      <c r="J234" s="83">
        <f>IFERROR(MATCH(ROW()-4,'Invullen groen'!$P$17:$P$272,0)+16,0)</f>
        <v/>
      </c>
    </row>
    <row r="235" hidden="1" s="402">
      <c r="A235" s="83">
        <f>IFERROR(IF($J235&gt;0,ROW()-4,""),"")</f>
        <v/>
      </c>
      <c r="B235" s="83">
        <f>IFERROR(IF($J235&gt;0,INDEX('Invullen groen'!$A:$A,$J235),""),"")</f>
        <v/>
      </c>
      <c r="C235" s="83">
        <f>IFERROR(IF($J235&gt;0,INDEX('Invullen groen'!$C:$C,$J235),""),"")</f>
        <v/>
      </c>
      <c r="D235" s="83">
        <f>IFERROR(IF($J235&gt;0,INDEX('Invullen groen'!$D:$D,$J235),""),"")</f>
        <v/>
      </c>
      <c r="E235" s="83">
        <f>IFERROR(IF($J235&gt;0,INDEX('Invullen groen'!$G:$G,$J235),""),"")</f>
        <v/>
      </c>
      <c r="F235" s="83">
        <f>IFERROR(IF($J235&gt;0,IF(INDEX('Invullen groen'!$H:$H,$J235)&lt;&gt;0,INDEX('Invullen groen'!$H:$H,$J235),""),""),"")</f>
        <v/>
      </c>
      <c r="G235" s="83">
        <f>IFERROR(IF($J235&gt;0,IF(INDEX('Invullen groen'!$I:$I,$J235)&lt;&gt;0,INDEX('Invullen groen'!$I:$I,$J235),""),""),"")</f>
        <v/>
      </c>
      <c r="H235" s="83">
        <f>IFERROR(IF($J235&gt;0,IF(INDEX('Invullen groen'!$J:$J,$J235)&lt;&gt;0,INDEX('Invullen groen'!$J:$J,$J235),""),""),"")</f>
        <v/>
      </c>
      <c r="I235" s="83">
        <f>IFERROR(IF($J235&gt;0,IF(INDEX('Invullen groen'!$K:$K,$J235)&lt;&gt;0,INDEX('Invullen groen'!$K:$K,$J235),""),""),"")</f>
        <v/>
      </c>
      <c r="J235" s="83">
        <f>IFERROR(MATCH(ROW()-4,'Invullen groen'!$P$17:$P$272,0)+16,0)</f>
        <v/>
      </c>
    </row>
    <row r="236" hidden="1" s="402">
      <c r="A236" s="83">
        <f>IFERROR(IF($J236&gt;0,ROW()-4,""),"")</f>
        <v/>
      </c>
      <c r="B236" s="83">
        <f>IFERROR(IF($J236&gt;0,INDEX('Invullen groen'!$A:$A,$J236),""),"")</f>
        <v/>
      </c>
      <c r="C236" s="83">
        <f>IFERROR(IF($J236&gt;0,INDEX('Invullen groen'!$C:$C,$J236),""),"")</f>
        <v/>
      </c>
      <c r="D236" s="83">
        <f>IFERROR(IF($J236&gt;0,INDEX('Invullen groen'!$D:$D,$J236),""),"")</f>
        <v/>
      </c>
      <c r="E236" s="83">
        <f>IFERROR(IF($J236&gt;0,INDEX('Invullen groen'!$G:$G,$J236),""),"")</f>
        <v/>
      </c>
      <c r="F236" s="83">
        <f>IFERROR(IF($J236&gt;0,IF(INDEX('Invullen groen'!$H:$H,$J236)&lt;&gt;0,INDEX('Invullen groen'!$H:$H,$J236),""),""),"")</f>
        <v/>
      </c>
      <c r="G236" s="83">
        <f>IFERROR(IF($J236&gt;0,IF(INDEX('Invullen groen'!$I:$I,$J236)&lt;&gt;0,INDEX('Invullen groen'!$I:$I,$J236),""),""),"")</f>
        <v/>
      </c>
      <c r="H236" s="83">
        <f>IFERROR(IF($J236&gt;0,IF(INDEX('Invullen groen'!$J:$J,$J236)&lt;&gt;0,INDEX('Invullen groen'!$J:$J,$J236),""),""),"")</f>
        <v/>
      </c>
      <c r="I236" s="83">
        <f>IFERROR(IF($J236&gt;0,IF(INDEX('Invullen groen'!$K:$K,$J236)&lt;&gt;0,INDEX('Invullen groen'!$K:$K,$J236),""),""),"")</f>
        <v/>
      </c>
      <c r="J236" s="83">
        <f>IFERROR(MATCH(ROW()-4,'Invullen groen'!$P$17:$P$272,0)+16,0)</f>
        <v/>
      </c>
    </row>
    <row r="237" hidden="1" s="402">
      <c r="A237" s="83">
        <f>IFERROR(IF($J237&gt;0,ROW()-4,""),"")</f>
        <v/>
      </c>
      <c r="B237" s="83">
        <f>IFERROR(IF($J237&gt;0,INDEX('Invullen groen'!$A:$A,$J237),""),"")</f>
        <v/>
      </c>
      <c r="C237" s="83">
        <f>IFERROR(IF($J237&gt;0,INDEX('Invullen groen'!$C:$C,$J237),""),"")</f>
        <v/>
      </c>
      <c r="D237" s="83">
        <f>IFERROR(IF($J237&gt;0,INDEX('Invullen groen'!$D:$D,$J237),""),"")</f>
        <v/>
      </c>
      <c r="E237" s="83">
        <f>IFERROR(IF($J237&gt;0,INDEX('Invullen groen'!$G:$G,$J237),""),"")</f>
        <v/>
      </c>
      <c r="F237" s="83">
        <f>IFERROR(IF($J237&gt;0,IF(INDEX('Invullen groen'!$H:$H,$J237)&lt;&gt;0,INDEX('Invullen groen'!$H:$H,$J237),""),""),"")</f>
        <v/>
      </c>
      <c r="G237" s="83">
        <f>IFERROR(IF($J237&gt;0,IF(INDEX('Invullen groen'!$I:$I,$J237)&lt;&gt;0,INDEX('Invullen groen'!$I:$I,$J237),""),""),"")</f>
        <v/>
      </c>
      <c r="H237" s="83">
        <f>IFERROR(IF($J237&gt;0,IF(INDEX('Invullen groen'!$J:$J,$J237)&lt;&gt;0,INDEX('Invullen groen'!$J:$J,$J237),""),""),"")</f>
        <v/>
      </c>
      <c r="I237" s="83">
        <f>IFERROR(IF($J237&gt;0,IF(INDEX('Invullen groen'!$K:$K,$J237)&lt;&gt;0,INDEX('Invullen groen'!$K:$K,$J237),""),""),"")</f>
        <v/>
      </c>
      <c r="J237" s="83">
        <f>IFERROR(MATCH(ROW()-4,'Invullen groen'!$P$17:$P$272,0)+16,0)</f>
        <v/>
      </c>
    </row>
    <row r="238" hidden="1" s="402">
      <c r="A238" s="83">
        <f>IFERROR(IF($J238&gt;0,ROW()-4,""),"")</f>
        <v/>
      </c>
      <c r="B238" s="83">
        <f>IFERROR(IF($J238&gt;0,INDEX('Invullen groen'!$A:$A,$J238),""),"")</f>
        <v/>
      </c>
      <c r="C238" s="83">
        <f>IFERROR(IF($J238&gt;0,INDEX('Invullen groen'!$C:$C,$J238),""),"")</f>
        <v/>
      </c>
      <c r="D238" s="83">
        <f>IFERROR(IF($J238&gt;0,INDEX('Invullen groen'!$D:$D,$J238),""),"")</f>
        <v/>
      </c>
      <c r="E238" s="83">
        <f>IFERROR(IF($J238&gt;0,INDEX('Invullen groen'!$G:$G,$J238),""),"")</f>
        <v/>
      </c>
      <c r="F238" s="83">
        <f>IFERROR(IF($J238&gt;0,IF(INDEX('Invullen groen'!$H:$H,$J238)&lt;&gt;0,INDEX('Invullen groen'!$H:$H,$J238),""),""),"")</f>
        <v/>
      </c>
      <c r="G238" s="83">
        <f>IFERROR(IF($J238&gt;0,IF(INDEX('Invullen groen'!$I:$I,$J238)&lt;&gt;0,INDEX('Invullen groen'!$I:$I,$J238),""),""),"")</f>
        <v/>
      </c>
      <c r="H238" s="83">
        <f>IFERROR(IF($J238&gt;0,IF(INDEX('Invullen groen'!$J:$J,$J238)&lt;&gt;0,INDEX('Invullen groen'!$J:$J,$J238),""),""),"")</f>
        <v/>
      </c>
      <c r="I238" s="83">
        <f>IFERROR(IF($J238&gt;0,IF(INDEX('Invullen groen'!$K:$K,$J238)&lt;&gt;0,INDEX('Invullen groen'!$K:$K,$J238),""),""),"")</f>
        <v/>
      </c>
      <c r="J238" s="83">
        <f>IFERROR(MATCH(ROW()-4,'Invullen groen'!$P$17:$P$272,0)+16,0)</f>
        <v/>
      </c>
    </row>
    <row r="239" hidden="1" s="402">
      <c r="A239" s="83">
        <f>IFERROR(IF($J239&gt;0,ROW()-4,""),"")</f>
        <v/>
      </c>
      <c r="B239" s="83">
        <f>IFERROR(IF($J239&gt;0,INDEX('Invullen groen'!$A:$A,$J239),""),"")</f>
        <v/>
      </c>
      <c r="C239" s="83">
        <f>IFERROR(IF($J239&gt;0,INDEX('Invullen groen'!$C:$C,$J239),""),"")</f>
        <v/>
      </c>
      <c r="D239" s="83">
        <f>IFERROR(IF($J239&gt;0,INDEX('Invullen groen'!$D:$D,$J239),""),"")</f>
        <v/>
      </c>
      <c r="E239" s="83">
        <f>IFERROR(IF($J239&gt;0,INDEX('Invullen groen'!$G:$G,$J239),""),"")</f>
        <v/>
      </c>
      <c r="F239" s="83">
        <f>IFERROR(IF($J239&gt;0,IF(INDEX('Invullen groen'!$H:$H,$J239)&lt;&gt;0,INDEX('Invullen groen'!$H:$H,$J239),""),""),"")</f>
        <v/>
      </c>
      <c r="G239" s="83">
        <f>IFERROR(IF($J239&gt;0,IF(INDEX('Invullen groen'!$I:$I,$J239)&lt;&gt;0,INDEX('Invullen groen'!$I:$I,$J239),""),""),"")</f>
        <v/>
      </c>
      <c r="H239" s="83">
        <f>IFERROR(IF($J239&gt;0,IF(INDEX('Invullen groen'!$J:$J,$J239)&lt;&gt;0,INDEX('Invullen groen'!$J:$J,$J239),""),""),"")</f>
        <v/>
      </c>
      <c r="I239" s="83">
        <f>IFERROR(IF($J239&gt;0,IF(INDEX('Invullen groen'!$K:$K,$J239)&lt;&gt;0,INDEX('Invullen groen'!$K:$K,$J239),""),""),"")</f>
        <v/>
      </c>
      <c r="J239" s="83">
        <f>IFERROR(MATCH(ROW()-4,'Invullen groen'!$P$17:$P$272,0)+16,0)</f>
        <v/>
      </c>
    </row>
    <row r="241">
      <c r="A241" s="83" t="inlineStr">
        <is>
          <t>Totaal lasten</t>
        </is>
      </c>
      <c r="B241" s="83" t="n"/>
      <c r="C241" s="83" t="n"/>
      <c r="D241" s="83" t="n"/>
      <c r="E241" s="83" t="n"/>
      <c r="F241" s="83">
        <f>SUMIF('Invullen groen'!Q17:Q272,"&gt;0",'Invullen groen'!Q17:Q272)</f>
        <v/>
      </c>
      <c r="G241" s="83">
        <f>SUMIF('Invullen groen'!Q17:Q272,"&gt;0",'Invullen groen'!I17:I272)</f>
        <v/>
      </c>
      <c r="H241" s="83">
        <f>SUMIF('Invullen groen'!Q17:Q272,"&gt;0",'Invullen groen'!J17:J272)</f>
        <v/>
      </c>
      <c r="I241" s="83">
        <f>SUMIF('Invullen groen'!Q17:Q272,"&gt;0",'Invullen groen'!K17:K272)</f>
        <v/>
      </c>
    </row>
    <row r="242">
      <c r="A242" s="83" t="inlineStr">
        <is>
          <t>Totaal baten</t>
        </is>
      </c>
      <c r="B242" s="83" t="n"/>
      <c r="C242" s="83" t="n"/>
      <c r="D242" s="83" t="n"/>
      <c r="E242" s="83" t="n"/>
      <c r="F242" s="83">
        <f>SUMIF('Invullen groen'!R17:R272,"&lt;&gt;0",'Invullen groen'!R17:R272)</f>
        <v/>
      </c>
      <c r="G242" s="83" t="n"/>
      <c r="H242" s="83" t="n"/>
      <c r="I242" s="83" t="n"/>
    </row>
    <row r="243">
      <c r="A243" s="83" t="inlineStr">
        <is>
          <t>Saldo (lasten + baten)</t>
        </is>
      </c>
      <c r="B243" s="83" t="n"/>
      <c r="C243" s="83" t="n"/>
      <c r="D243" s="83" t="n"/>
      <c r="E243" s="83" t="n"/>
      <c r="F243" s="83">
        <f>F241+F242</f>
        <v/>
      </c>
      <c r="G243" s="83">
        <f>G241</f>
        <v/>
      </c>
      <c r="H243" s="83">
        <f>H241</f>
        <v/>
      </c>
      <c r="I243" s="83">
        <f>I241</f>
        <v/>
      </c>
    </row>
    <row r="245">
      <c r="A245" s="83" t="inlineStr">
        <is>
          <t>Automatisch bijgewerkt vanuit tabblad 'Invullen groen' — geen invoer vereist</t>
        </is>
      </c>
      <c r="B245" s="83" t="n"/>
      <c r="C245" s="83" t="n"/>
      <c r="D245" s="83" t="n"/>
      <c r="E245" s="83" t="n"/>
      <c r="F245" s="83" t="n"/>
      <c r="G245" s="83" t="n"/>
      <c r="H245" s="83" t="n"/>
      <c r="I245" s="83" t="n"/>
    </row>
  </sheetData>
  <mergeCells count="2">
    <mergeCell ref="A1:I1"/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Blad6">
    <tabColor rgb="FF1A5FA8"/>
    <outlinePr summaryBelow="1" summaryRight="1"/>
    <pageSetUpPr/>
  </sheetPr>
  <dimension ref="A1:G24"/>
  <sheetViews>
    <sheetView workbookViewId="0">
      <selection activeCell="D16" sqref="D16"/>
    </sheetView>
  </sheetViews>
  <sheetFormatPr baseColWidth="8" defaultRowHeight="15"/>
  <cols>
    <col width="42" customWidth="1" style="402" min="1" max="1"/>
    <col width="14" customWidth="1" style="402" min="2" max="7"/>
  </cols>
  <sheetData>
    <row r="1" ht="24" customHeight="1" s="402">
      <c r="A1" s="404" t="inlineStr">
        <is>
          <t>Samenvatting per programma</t>
        </is>
      </c>
    </row>
    <row r="2" ht="18" customHeight="1" s="402">
      <c r="A2" s="408">
        <f>'Invullen groen'!A4</f>
        <v/>
      </c>
      <c r="E2" s="408" t="n"/>
      <c r="F2" s="408" t="n"/>
      <c r="G2" s="408" t="n"/>
    </row>
    <row r="3" ht="6" customHeight="1" s="402">
      <c r="A3" s="156" t="n"/>
      <c r="B3" s="156" t="n"/>
      <c r="C3" s="156" t="n"/>
      <c r="D3" s="156" t="n"/>
      <c r="E3" s="156" t="n"/>
      <c r="F3" s="156" t="n"/>
      <c r="G3" s="156" t="n"/>
    </row>
    <row r="4" ht="18" customHeight="1" s="402">
      <c r="A4" s="168" t="inlineStr">
        <is>
          <t>Programma</t>
        </is>
      </c>
      <c r="B4" s="69" t="inlineStr">
        <is>
          <t>Lasten</t>
        </is>
      </c>
      <c r="C4" s="69" t="inlineStr">
        <is>
          <t>Baten</t>
        </is>
      </c>
      <c r="D4" s="69" t="inlineStr">
        <is>
          <t>Saldo</t>
        </is>
      </c>
      <c r="E4" s="169" t="inlineStr">
        <is>
          <t>MJR 2027</t>
        </is>
      </c>
      <c r="F4" s="169" t="inlineStr">
        <is>
          <t>MJR 2028</t>
        </is>
      </c>
      <c r="G4" s="169" t="inlineStr">
        <is>
          <t>MJR 2029</t>
        </is>
      </c>
    </row>
    <row r="5" ht="18" customHeight="1" s="402">
      <c r="A5" s="49" t="inlineStr">
        <is>
          <t>Bestuur en Ondersteuning</t>
        </is>
      </c>
      <c r="B5" s="50">
        <f>SUMPRODUCT((LOWER('Invullen groen'!A17:A74)="bestuur en ondersteuning")*('Invullen groen'!H17:H74&gt;0)*'Invullen groen'!H17:H74)</f>
        <v/>
      </c>
      <c r="C5" s="50">
        <f>SUMPRODUCT((LOWER('Invullen groen'!A17:A74)="bestuur en ondersteuning")*('Invullen groen'!H17:H74&lt;0)*'Invullen groen'!H17:H74)</f>
        <v/>
      </c>
      <c r="D5" s="50">
        <f>B5+C5</f>
        <v/>
      </c>
      <c r="E5" s="50">
        <f>SUMPRODUCT((LOWER('Invullen groen'!A17:A74)="bestuur en ondersteuning")*IFERROR('Invullen groen'!I17:I74*1,0))</f>
        <v/>
      </c>
      <c r="F5" s="50">
        <f>SUMPRODUCT((LOWER('Invullen groen'!A17:A74)="bestuur en ondersteuning")*IFERROR('Invullen groen'!J17:J74*1,0))</f>
        <v/>
      </c>
      <c r="G5" s="50">
        <f>SUMPRODUCT((LOWER('Invullen groen'!A17:A74)="bestuur en ondersteuning")*IFERROR('Invullen groen'!K17:K74*1,0))</f>
        <v/>
      </c>
    </row>
    <row r="6" ht="18" customHeight="1" s="402">
      <c r="A6" s="51" t="inlineStr">
        <is>
          <t>Veiligheid</t>
        </is>
      </c>
      <c r="B6" s="52">
        <f>SUMPRODUCT((LOWER('Invullen groen'!A17:A74)="veiligheid")*('Invullen groen'!H17:H74&gt;0)*'Invullen groen'!H17:H74)</f>
        <v/>
      </c>
      <c r="C6" s="52">
        <f>SUMPRODUCT((LOWER('Invullen groen'!A17:A74)="veiligheid")*('Invullen groen'!H17:H74&lt;0)*'Invullen groen'!H17:H74)</f>
        <v/>
      </c>
      <c r="D6" s="52">
        <f>B6+C6</f>
        <v/>
      </c>
      <c r="E6" s="52">
        <f>SUMPRODUCT((LOWER('Invullen groen'!A17:A74)="veiligheid")*IFERROR('Invullen groen'!I17:I74*1,0))</f>
        <v/>
      </c>
      <c r="F6" s="52">
        <f>SUMPRODUCT((LOWER('Invullen groen'!A17:A74)="veiligheid")*IFERROR('Invullen groen'!J17:J74*1,0))</f>
        <v/>
      </c>
      <c r="G6" s="52">
        <f>SUMPRODUCT((LOWER('Invullen groen'!A17:A74)="veiligheid")*IFERROR('Invullen groen'!K17:K74*1,0))</f>
        <v/>
      </c>
    </row>
    <row r="7" ht="18" customHeight="1" s="402">
      <c r="A7" s="49" t="inlineStr">
        <is>
          <t>Verkeer, Vervoer en Waterstaat</t>
        </is>
      </c>
      <c r="B7" s="50">
        <f>SUMPRODUCT((LOWER('Invullen groen'!A17:A74)="verkeer, vervoer en waterstaat")*('Invullen groen'!H17:H74&gt;0)*'Invullen groen'!H17:H74)</f>
        <v/>
      </c>
      <c r="C7" s="50">
        <f>SUMPRODUCT((LOWER('Invullen groen'!A17:A74)="verkeer, vervoer en waterstaat")*('Invullen groen'!H17:H74&lt;0)*'Invullen groen'!H17:H74)</f>
        <v/>
      </c>
      <c r="D7" s="50">
        <f>B7+C7</f>
        <v/>
      </c>
      <c r="E7" s="50">
        <f>SUMPRODUCT((LOWER('Invullen groen'!A17:A74)="verkeer, vervoer en waterstaat")*IFERROR('Invullen groen'!I17:I74*1,0))</f>
        <v/>
      </c>
      <c r="F7" s="50">
        <f>SUMPRODUCT((LOWER('Invullen groen'!A17:A74)="verkeer, vervoer en waterstaat")*IFERROR('Invullen groen'!J17:J74*1,0))</f>
        <v/>
      </c>
      <c r="G7" s="50">
        <f>SUMPRODUCT((LOWER('Invullen groen'!A17:A74)="verkeer, vervoer en waterstaat")*IFERROR('Invullen groen'!K17:K74*1,0))</f>
        <v/>
      </c>
    </row>
    <row r="8" ht="18" customHeight="1" s="402">
      <c r="A8" s="51" t="inlineStr">
        <is>
          <t>Economie</t>
        </is>
      </c>
      <c r="B8" s="52">
        <f>SUMPRODUCT((LOWER('Invullen groen'!A17:A74)="economie")*('Invullen groen'!H17:H74&gt;0)*'Invullen groen'!H17:H74)</f>
        <v/>
      </c>
      <c r="C8" s="52">
        <f>SUMPRODUCT((LOWER('Invullen groen'!A17:A74)="economie")*('Invullen groen'!H17:H74&lt;0)*'Invullen groen'!H17:H74)</f>
        <v/>
      </c>
      <c r="D8" s="52">
        <f>B8+C8</f>
        <v/>
      </c>
      <c r="E8" s="52">
        <f>SUMPRODUCT((LOWER('Invullen groen'!A17:A74)="economie")*IFERROR('Invullen groen'!I17:I74*1,0))</f>
        <v/>
      </c>
      <c r="F8" s="52">
        <f>SUMPRODUCT((LOWER('Invullen groen'!A17:A74)="economie")*IFERROR('Invullen groen'!J17:J74*1,0))</f>
        <v/>
      </c>
      <c r="G8" s="52">
        <f>SUMPRODUCT((LOWER('Invullen groen'!A17:A74)="economie")*IFERROR('Invullen groen'!K17:K74*1,0))</f>
        <v/>
      </c>
    </row>
    <row r="9" ht="18" customHeight="1" s="402">
      <c r="A9" s="49" t="inlineStr">
        <is>
          <t>Onderwijs</t>
        </is>
      </c>
      <c r="B9" s="50">
        <f>SUMPRODUCT((LOWER('Invullen groen'!A17:A74)="onderwijs")*('Invullen groen'!H17:H74&gt;0)*'Invullen groen'!H17:H74)</f>
        <v/>
      </c>
      <c r="C9" s="50">
        <f>SUMPRODUCT((LOWER('Invullen groen'!A17:A74)="onderwijs")*('Invullen groen'!H17:H74&lt;0)*'Invullen groen'!H17:H74)</f>
        <v/>
      </c>
      <c r="D9" s="50">
        <f>B9+C9</f>
        <v/>
      </c>
      <c r="E9" s="50">
        <f>SUMPRODUCT((LOWER('Invullen groen'!A17:A74)="onderwijs")*IFERROR('Invullen groen'!I17:I74*1,0))</f>
        <v/>
      </c>
      <c r="F9" s="50">
        <f>SUMPRODUCT((LOWER('Invullen groen'!A17:A74)="onderwijs")*IFERROR('Invullen groen'!J17:J74*1,0))</f>
        <v/>
      </c>
      <c r="G9" s="50">
        <f>SUMPRODUCT((LOWER('Invullen groen'!A17:A74)="onderwijs")*IFERROR('Invullen groen'!K17:K74*1,0))</f>
        <v/>
      </c>
    </row>
    <row r="10" ht="18" customHeight="1" s="402">
      <c r="A10" s="51" t="inlineStr">
        <is>
          <t>Sport, Cultuur en Recreatie</t>
        </is>
      </c>
      <c r="B10" s="52">
        <f>SUMPRODUCT((LOWER('Invullen groen'!A17:A74)="sport, cultuur en recreatie")*('Invullen groen'!H17:H74&gt;0)*'Invullen groen'!H17:H74)</f>
        <v/>
      </c>
      <c r="C10" s="52">
        <f>SUMPRODUCT((LOWER('Invullen groen'!A17:A74)="sport, cultuur en recreatie")*('Invullen groen'!H17:H74&lt;0)*'Invullen groen'!H17:H74)</f>
        <v/>
      </c>
      <c r="D10" s="52">
        <f>B10+C10</f>
        <v/>
      </c>
      <c r="E10" s="52">
        <f>SUMPRODUCT((LOWER('Invullen groen'!A17:A74)="sport, cultuur en recreatie")*IFERROR('Invullen groen'!I17:I74*1,0))</f>
        <v/>
      </c>
      <c r="F10" s="52">
        <f>SUMPRODUCT((LOWER('Invullen groen'!A17:A74)="sport, cultuur en recreatie")*IFERROR('Invullen groen'!J17:J74*1,0))</f>
        <v/>
      </c>
      <c r="G10" s="52">
        <f>SUMPRODUCT((LOWER('Invullen groen'!A17:A74)="sport, cultuur en recreatie")*IFERROR('Invullen groen'!K17:K74*1,0))</f>
        <v/>
      </c>
    </row>
    <row r="11" ht="18" customHeight="1" s="402">
      <c r="A11" s="49" t="inlineStr">
        <is>
          <t>Sociaal Domein</t>
        </is>
      </c>
      <c r="B11" s="50">
        <f>SUMPRODUCT((LOWER('Invullen groen'!A17:A74)="sociaal domein")*('Invullen groen'!H17:H74&gt;0)*'Invullen groen'!H17:H74)</f>
        <v/>
      </c>
      <c r="C11" s="50">
        <f>SUMPRODUCT((LOWER('Invullen groen'!A17:A74)="sociaal domein")*('Invullen groen'!H17:H74&lt;0)*'Invullen groen'!H17:H74)</f>
        <v/>
      </c>
      <c r="D11" s="50">
        <f>B11+C11</f>
        <v/>
      </c>
      <c r="E11" s="50">
        <f>SUMPRODUCT((LOWER('Invullen groen'!A17:A74)="sociaal domein")*IFERROR('Invullen groen'!I17:I74*1,0))</f>
        <v/>
      </c>
      <c r="F11" s="50">
        <f>SUMPRODUCT((LOWER('Invullen groen'!A17:A74)="sociaal domein")*IFERROR('Invullen groen'!J17:J74*1,0))</f>
        <v/>
      </c>
      <c r="G11" s="50">
        <f>SUMPRODUCT((LOWER('Invullen groen'!A17:A74)="sociaal domein")*IFERROR('Invullen groen'!K17:K74*1,0))</f>
        <v/>
      </c>
    </row>
    <row r="12" ht="18" customHeight="1" s="402">
      <c r="A12" s="51" t="inlineStr">
        <is>
          <t>Volksgezondheid en Milieu</t>
        </is>
      </c>
      <c r="B12" s="52">
        <f>SUMPRODUCT((LOWER('Invullen groen'!A17:A74)="volksgezondheid en milieu")*('Invullen groen'!H17:H74&gt;0)*'Invullen groen'!H17:H74)</f>
        <v/>
      </c>
      <c r="C12" s="52">
        <f>SUMPRODUCT((LOWER('Invullen groen'!A17:A74)="volksgezondheid en milieu")*('Invullen groen'!H17:H74&lt;0)*'Invullen groen'!H17:H74)</f>
        <v/>
      </c>
      <c r="D12" s="52">
        <f>B12+C12</f>
        <v/>
      </c>
      <c r="E12" s="52">
        <f>SUMPRODUCT((LOWER('Invullen groen'!A17:A74)="volksgezondheid en milieu")*IFERROR('Invullen groen'!I17:I74*1,0))</f>
        <v/>
      </c>
      <c r="F12" s="52">
        <f>SUMPRODUCT((LOWER('Invullen groen'!A17:A74)="volksgezondheid en milieu")*IFERROR('Invullen groen'!J17:J74*1,0))</f>
        <v/>
      </c>
      <c r="G12" s="52">
        <f>SUMPRODUCT((LOWER('Invullen groen'!A17:A74)="volksgezondheid en milieu")*IFERROR('Invullen groen'!K17:K74*1,0))</f>
        <v/>
      </c>
    </row>
    <row r="13" ht="18" customHeight="1" s="402">
      <c r="A13" s="49" t="inlineStr">
        <is>
          <t>Volkshuisvesting, RO en Stedelijke Vernieuwing</t>
        </is>
      </c>
      <c r="B13" s="50">
        <f>SUMPRODUCT((LOWER('Invullen groen'!A17:A74)="volkshuisv., ro en stedelijke vernieuwing")*('Invullen groen'!H17:H74&gt;0)*'Invullen groen'!H17:H74)</f>
        <v/>
      </c>
      <c r="C13" s="50">
        <f>SUMPRODUCT((LOWER('Invullen groen'!A17:A74)="volkshuisv., ro en stedelijke vernieuwing")*('Invullen groen'!H17:H74&lt;0)*'Invullen groen'!H17:H74)</f>
        <v/>
      </c>
      <c r="D13" s="50">
        <f>B13+C13</f>
        <v/>
      </c>
      <c r="E13" s="50">
        <f>SUMPRODUCT((LOWER('Invullen groen'!A17:A74)="volkshuisv., ro en stedelijke vernieuwing")*IFERROR('Invullen groen'!I17:I74*1,0))</f>
        <v/>
      </c>
      <c r="F13" s="50">
        <f>SUMPRODUCT((LOWER('Invullen groen'!A17:A74)="volkshuisv., ro en stedelijke vernieuwing")*IFERROR('Invullen groen'!J17:J74*1,0))</f>
        <v/>
      </c>
      <c r="G13" s="50">
        <f>SUMPRODUCT((LOWER('Invullen groen'!A17:A74)="volkshuisv., ro en stedelijke vernieuwing")*IFERROR('Invullen groen'!K17:K74*1,0))</f>
        <v/>
      </c>
    </row>
    <row r="14" ht="18" customHeight="1" s="402">
      <c r="A14" s="409" t="inlineStr">
        <is>
          <t>Totaal begrotingswijziging</t>
        </is>
      </c>
      <c r="B14" s="170">
        <f>SUM(B5:B13)</f>
        <v/>
      </c>
      <c r="C14" s="170">
        <f>SUM(C5:C13)</f>
        <v/>
      </c>
      <c r="D14" s="170">
        <f>SUM(D5:D13)</f>
        <v/>
      </c>
      <c r="E14" s="170">
        <f>SUM(E5:E13)</f>
        <v/>
      </c>
      <c r="F14" s="170">
        <f>SUM(F5:F13)</f>
        <v/>
      </c>
      <c r="G14" s="170">
        <f>SUM(G5:G13)</f>
        <v/>
      </c>
    </row>
    <row r="15" ht="18" customHeight="1" s="402">
      <c r="A15" s="406" t="inlineStr">
        <is>
          <t>Financiële foto</t>
        </is>
      </c>
      <c r="B15" s="407" t="n"/>
      <c r="C15" s="407" t="n"/>
      <c r="D15" s="407" t="n"/>
      <c r="E15" s="407" t="n"/>
      <c r="F15" s="407" t="n"/>
      <c r="G15" s="407" t="n"/>
    </row>
    <row r="16" ht="18" customHeight="1" s="402">
      <c r="A16" s="171" t="inlineStr">
        <is>
          <t>Begin saldo financiële foto (vóór wijziging)</t>
        </is>
      </c>
      <c r="B16" s="67" t="n"/>
      <c r="C16" s="67" t="n"/>
      <c r="D16" s="53" t="n"/>
      <c r="E16" s="53" t="n"/>
      <c r="F16" s="53" t="n"/>
      <c r="G16" s="53" t="n"/>
    </row>
    <row r="17" ht="18" customHeight="1" s="402">
      <c r="A17" s="172" t="inlineStr">
        <is>
          <t>Eind saldo financiële foto (ná wijziging)</t>
        </is>
      </c>
      <c r="B17" s="54">
        <f>B16+B14</f>
        <v/>
      </c>
      <c r="C17" s="54">
        <f>C16+C14</f>
        <v/>
      </c>
      <c r="D17" s="54">
        <f>D16+D14</f>
        <v/>
      </c>
      <c r="E17" s="54">
        <f>E16+E14</f>
        <v/>
      </c>
      <c r="F17" s="54">
        <f>F16+F14</f>
        <v/>
      </c>
      <c r="G17" s="54">
        <f>G16+G14</f>
        <v/>
      </c>
    </row>
    <row r="18" ht="18" customHeight="1" s="402">
      <c r="A18" s="405" t="inlineStr">
        <is>
          <t>Begin saldo: handmatig invullen vanuit de meest recente financiële foto (vóór de wijziging)  |  − = positief saldo</t>
        </is>
      </c>
    </row>
    <row r="19" ht="18" customHeight="1" s="402">
      <c r="A19" s="156" t="n"/>
      <c r="B19" s="156" t="n"/>
      <c r="C19" s="156" t="n"/>
      <c r="D19" s="156" t="n"/>
      <c r="E19" s="156" t="n"/>
      <c r="F19" s="156" t="n"/>
      <c r="G19" s="156" t="n"/>
    </row>
    <row r="20" ht="18" customHeight="1" s="402">
      <c r="A20" s="173" t="inlineStr">
        <is>
          <t>Controle exploitatie (moet 0 zijn)</t>
        </is>
      </c>
      <c r="B20" s="55">
        <f>IFERROR('Invullen groen'!H112,0)</f>
        <v/>
      </c>
      <c r="C20" s="86" t="n"/>
      <c r="D20" s="86" t="n"/>
      <c r="E20" s="86" t="n"/>
      <c r="F20" s="86" t="n"/>
      <c r="G20" s="86" t="n"/>
    </row>
    <row r="21" ht="18" customHeight="1" s="402">
      <c r="A21" s="83" t="n"/>
      <c r="B21" s="83" t="n"/>
      <c r="C21" s="83" t="n"/>
      <c r="D21" s="83" t="n"/>
      <c r="E21" s="83" t="n"/>
      <c r="F21" s="83" t="n"/>
      <c r="G21" s="83" t="n"/>
    </row>
    <row r="22" ht="18" customHeight="1" s="402">
      <c r="A22" s="83" t="n"/>
      <c r="B22" s="83" t="n"/>
      <c r="C22" s="83" t="n"/>
      <c r="D22" s="83" t="n"/>
      <c r="E22" s="83" t="n"/>
      <c r="F22" s="83" t="n"/>
      <c r="G22" s="83" t="n"/>
    </row>
    <row r="23" ht="18" customHeight="1" s="402">
      <c r="A23" s="83" t="n"/>
      <c r="B23" s="83" t="n"/>
      <c r="C23" s="83" t="n"/>
      <c r="D23" s="83" t="n"/>
      <c r="E23" s="83" t="n"/>
      <c r="F23" s="83" t="n"/>
      <c r="G23" s="83" t="n"/>
    </row>
    <row r="24" ht="18" customHeight="1" s="402">
      <c r="A24" s="83" t="n"/>
      <c r="B24" s="83" t="n"/>
      <c r="C24" s="83" t="n"/>
      <c r="D24" s="83" t="n"/>
      <c r="E24" s="83" t="n"/>
      <c r="F24" s="83" t="n"/>
      <c r="G24" s="83" t="n"/>
    </row>
  </sheetData>
  <mergeCells count="5">
    <mergeCell ref="A1:G1"/>
    <mergeCell ref="A18:G18"/>
    <mergeCell ref="A15:G15"/>
    <mergeCell ref="A2:D2"/>
    <mergeCell ref="A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Blad7">
    <tabColor rgb="FF7A2020"/>
    <outlinePr summaryBelow="1" summaryRight="1"/>
    <pageSetUpPr/>
  </sheetPr>
  <dimension ref="A1:H235"/>
  <sheetViews>
    <sheetView workbookViewId="0">
      <selection activeCell="H6" sqref="H6"/>
    </sheetView>
  </sheetViews>
  <sheetFormatPr baseColWidth="8" defaultRowHeight="15"/>
  <cols>
    <col width="5" customWidth="1" style="402" min="1" max="1"/>
    <col width="30" customWidth="1" style="402" min="2" max="3"/>
    <col width="16" customWidth="1" style="402" min="4" max="4"/>
    <col width="5" customWidth="1" style="402" min="5" max="5"/>
    <col width="30" customWidth="1" style="402" min="6" max="7"/>
    <col width="16" customWidth="1" style="402" min="8" max="8"/>
  </cols>
  <sheetData>
    <row r="1" ht="24" customHeight="1" s="402">
      <c r="A1" s="401" t="inlineStr">
        <is>
          <t>Dekkingsoverzicht begrotingswijziging</t>
        </is>
      </c>
    </row>
    <row r="2" ht="18" customHeight="1" s="402">
      <c r="A2" s="412">
        <f>'Invullen groen'!A4</f>
        <v/>
      </c>
      <c r="E2" s="412" t="n"/>
      <c r="F2" s="412" t="n"/>
      <c r="G2" s="412" t="n"/>
      <c r="H2" s="174" t="n"/>
    </row>
    <row r="3" ht="6" customHeight="1" s="402">
      <c r="A3" s="156" t="n"/>
      <c r="B3" s="156" t="n"/>
      <c r="C3" s="156" t="n"/>
      <c r="D3" s="157" t="n"/>
      <c r="E3" s="156" t="n"/>
      <c r="F3" s="156" t="n"/>
      <c r="G3" s="156" t="n"/>
      <c r="H3" s="157" t="n"/>
    </row>
    <row r="4" ht="18" customHeight="1" s="402">
      <c r="A4" s="411" t="inlineStr">
        <is>
          <t>WAARVOOR — Uitgaven / Lasten</t>
        </is>
      </c>
      <c r="E4" s="83" t="n"/>
      <c r="F4" s="410" t="inlineStr">
        <is>
          <t>WAARMEE GEDEKT — Baten / Onttrekkingen</t>
        </is>
      </c>
    </row>
    <row r="5" ht="18" customHeight="1" s="402">
      <c r="A5" s="38" t="inlineStr">
        <is>
          <t>Nr.</t>
        </is>
      </c>
      <c r="B5" s="38" t="inlineStr">
        <is>
          <t>Programma</t>
        </is>
      </c>
      <c r="C5" s="38" t="inlineStr">
        <is>
          <t>Omschrijving</t>
        </is>
      </c>
      <c r="D5" s="42" t="inlineStr">
        <is>
          <t>Bedrag</t>
        </is>
      </c>
      <c r="E5" s="84" t="n"/>
      <c r="F5" s="39" t="inlineStr">
        <is>
          <t>Programma</t>
        </is>
      </c>
      <c r="G5" s="39" t="inlineStr">
        <is>
          <t>Omschrijving / bron</t>
        </is>
      </c>
      <c r="H5" s="43" t="inlineStr">
        <is>
          <t>Bedrag</t>
        </is>
      </c>
    </row>
    <row r="6" ht="15" customHeight="1" s="402">
      <c r="A6" s="163">
        <f>IFERROR(IF('Invullen groen'!H17&gt;0,1,""),"")</f>
        <v/>
      </c>
      <c r="B6" s="163">
        <f>IFERROR(IF('Invullen groen'!H17&gt;0,'Invullen groen'!A17,""),"")</f>
        <v/>
      </c>
      <c r="C6" s="163">
        <f>IFERROR(IF('Invullen groen'!H17&gt;0,'Invullen groen'!G17,""),"")</f>
        <v/>
      </c>
      <c r="D6" s="164">
        <f>IFERROR(IF('Invullen groen'!H17&gt;0,'Invullen groen'!H17,""),"")</f>
        <v/>
      </c>
      <c r="E6" s="77" t="n"/>
      <c r="F6" s="163">
        <f>IFERROR(IF('Invullen groen'!H122&lt;&gt;0,'Invullen groen'!A122,""),"")</f>
        <v/>
      </c>
      <c r="G6" s="163">
        <f>IFERROR(IF('Invullen groen'!H122&lt;&gt;0,'Invullen groen'!G122,""),"")</f>
        <v/>
      </c>
      <c r="H6" s="164">
        <f>IFERROR(IF('Invullen groen'!H122&lt;&gt;0,'Invullen groen'!H122,""),"")</f>
        <v/>
      </c>
    </row>
    <row r="7" ht="15" customHeight="1" s="402">
      <c r="A7" s="161">
        <f>IFERROR(IF('Invullen groen'!H18&gt;0,2,""),"")</f>
        <v/>
      </c>
      <c r="B7" s="161">
        <f>IFERROR(IF('Invullen groen'!H18&gt;0,'Invullen groen'!A18,""),"")</f>
        <v/>
      </c>
      <c r="C7" s="161">
        <f>IFERROR(IF('Invullen groen'!H18&gt;0,'Invullen groen'!G18,""),"")</f>
        <v/>
      </c>
      <c r="D7" s="162">
        <f>IFERROR(IF('Invullen groen'!H18&gt;0,'Invullen groen'!H18,""),"")</f>
        <v/>
      </c>
      <c r="E7" s="78" t="n"/>
      <c r="F7" s="161">
        <f>IFERROR(IF('Invullen groen'!H123&lt;&gt;0,'Invullen groen'!A123,""),"")</f>
        <v/>
      </c>
      <c r="G7" s="161">
        <f>IFERROR(IF('Invullen groen'!H123&lt;&gt;0,'Invullen groen'!G123,""),"")</f>
        <v/>
      </c>
      <c r="H7" s="162">
        <f>IFERROR(IF('Invullen groen'!H123&lt;&gt;0,'Invullen groen'!H123,""),"")</f>
        <v/>
      </c>
    </row>
    <row r="8" ht="15" customHeight="1" s="402">
      <c r="A8" s="163">
        <f>IFERROR(IF('Invullen groen'!H19&gt;0,3,""),"")</f>
        <v/>
      </c>
      <c r="B8" s="163">
        <f>IFERROR(IF('Invullen groen'!H19&gt;0,'Invullen groen'!A19,""),"")</f>
        <v/>
      </c>
      <c r="C8" s="163">
        <f>IFERROR(IF('Invullen groen'!H19&gt;0,'Invullen groen'!G19,""),"")</f>
        <v/>
      </c>
      <c r="D8" s="164">
        <f>IFERROR(IF('Invullen groen'!H19&gt;0,'Invullen groen'!H19,""),"")</f>
        <v/>
      </c>
      <c r="E8" s="77" t="n"/>
      <c r="F8" s="163">
        <f>IFERROR(IF('Invullen groen'!H124&lt;&gt;0,'Invullen groen'!A124,""),"")</f>
        <v/>
      </c>
      <c r="G8" s="163">
        <f>IFERROR(IF('Invullen groen'!H124&lt;&gt;0,'Invullen groen'!G124,""),"")</f>
        <v/>
      </c>
      <c r="H8" s="164">
        <f>IFERROR(IF('Invullen groen'!H124&lt;&gt;0,'Invullen groen'!H124,""),"")</f>
        <v/>
      </c>
    </row>
    <row r="9" ht="15" customHeight="1" s="402">
      <c r="A9" s="161">
        <f>IFERROR(IF('Invullen groen'!H20&gt;0,4,""),"")</f>
        <v/>
      </c>
      <c r="B9" s="161">
        <f>IFERROR(IF('Invullen groen'!H20&gt;0,'Invullen groen'!A20,""),"")</f>
        <v/>
      </c>
      <c r="C9" s="161">
        <f>IFERROR(IF('Invullen groen'!H20&gt;0,'Invullen groen'!G20,""),"")</f>
        <v/>
      </c>
      <c r="D9" s="162">
        <f>IFERROR(IF('Invullen groen'!H20&gt;0,'Invullen groen'!H20,""),"")</f>
        <v/>
      </c>
      <c r="E9" s="78" t="n"/>
      <c r="F9" s="161">
        <f>IFERROR(IF('Invullen groen'!H125&lt;&gt;0,'Invullen groen'!A125,""),"")</f>
        <v/>
      </c>
      <c r="G9" s="161">
        <f>IFERROR(IF('Invullen groen'!H125&lt;&gt;0,'Invullen groen'!G125,""),"")</f>
        <v/>
      </c>
      <c r="H9" s="162">
        <f>IFERROR(IF('Invullen groen'!H125&lt;&gt;0,'Invullen groen'!H125,""),"")</f>
        <v/>
      </c>
    </row>
    <row r="10" ht="15" customHeight="1" s="402">
      <c r="A10" s="163">
        <f>IFERROR(IF('Invullen groen'!H21&gt;0,5,""),"")</f>
        <v/>
      </c>
      <c r="B10" s="163">
        <f>IFERROR(IF('Invullen groen'!H21&gt;0,'Invullen groen'!A21,""),"")</f>
        <v/>
      </c>
      <c r="C10" s="163">
        <f>IFERROR(IF('Invullen groen'!H21&gt;0,'Invullen groen'!G21,""),"")</f>
        <v/>
      </c>
      <c r="D10" s="164">
        <f>IFERROR(IF('Invullen groen'!H21&gt;0,'Invullen groen'!H21,""),"")</f>
        <v/>
      </c>
      <c r="E10" s="77" t="n"/>
      <c r="F10" s="163">
        <f>IFERROR(IF('Invullen groen'!H126&lt;&gt;0,'Invullen groen'!A126,""),"")</f>
        <v/>
      </c>
      <c r="G10" s="163">
        <f>IFERROR(IF('Invullen groen'!H126&lt;&gt;0,'Invullen groen'!G126,""),"")</f>
        <v/>
      </c>
      <c r="H10" s="164">
        <f>IFERROR(IF('Invullen groen'!H126&lt;&gt;0,'Invullen groen'!H126,""),"")</f>
        <v/>
      </c>
    </row>
    <row r="11" ht="15" customHeight="1" s="402">
      <c r="A11" s="161">
        <f>IFERROR(IF('Invullen groen'!H22&gt;0,6,""),"")</f>
        <v/>
      </c>
      <c r="B11" s="161">
        <f>IFERROR(IF('Invullen groen'!H22&gt;0,'Invullen groen'!A22,""),"")</f>
        <v/>
      </c>
      <c r="C11" s="161">
        <f>IFERROR(IF('Invullen groen'!H22&gt;0,'Invullen groen'!G22,""),"")</f>
        <v/>
      </c>
      <c r="D11" s="162">
        <f>IFERROR(IF('Invullen groen'!H22&gt;0,'Invullen groen'!H22,""),"")</f>
        <v/>
      </c>
      <c r="E11" s="78" t="n"/>
      <c r="F11" s="161">
        <f>IFERROR(IF('Invullen groen'!H127&lt;&gt;0,'Invullen groen'!A127,""),"")</f>
        <v/>
      </c>
      <c r="G11" s="161">
        <f>IFERROR(IF('Invullen groen'!H127&lt;&gt;0,'Invullen groen'!G127,""),"")</f>
        <v/>
      </c>
      <c r="H11" s="162">
        <f>IFERROR(IF('Invullen groen'!H127&lt;&gt;0,'Invullen groen'!H127,""),"")</f>
        <v/>
      </c>
    </row>
    <row r="12" ht="15" customHeight="1" s="402">
      <c r="A12" s="163">
        <f>IFERROR(IF('Invullen groen'!H23&gt;0,7,""),"")</f>
        <v/>
      </c>
      <c r="B12" s="163">
        <f>IFERROR(IF('Invullen groen'!H23&gt;0,'Invullen groen'!A23,""),"")</f>
        <v/>
      </c>
      <c r="C12" s="163">
        <f>IFERROR(IF('Invullen groen'!H23&gt;0,'Invullen groen'!G23,""),"")</f>
        <v/>
      </c>
      <c r="D12" s="164">
        <f>IFERROR(IF('Invullen groen'!H23&gt;0,'Invullen groen'!H23,""),"")</f>
        <v/>
      </c>
      <c r="E12" s="77" t="n"/>
      <c r="F12" s="163">
        <f>IFERROR(IF('Invullen groen'!H128&lt;&gt;0,'Invullen groen'!A128,""),"")</f>
        <v/>
      </c>
      <c r="G12" s="163">
        <f>IFERROR(IF('Invullen groen'!H128&lt;&gt;0,'Invullen groen'!G128,""),"")</f>
        <v/>
      </c>
      <c r="H12" s="164">
        <f>IFERROR(IF('Invullen groen'!H128&lt;&gt;0,'Invullen groen'!H128,""),"")</f>
        <v/>
      </c>
    </row>
    <row r="13" ht="15" customHeight="1" s="402">
      <c r="A13" s="161">
        <f>IFERROR(IF('Invullen groen'!H24&gt;0,8,""),"")</f>
        <v/>
      </c>
      <c r="B13" s="161">
        <f>IFERROR(IF('Invullen groen'!H24&gt;0,'Invullen groen'!A24,""),"")</f>
        <v/>
      </c>
      <c r="C13" s="161">
        <f>IFERROR(IF('Invullen groen'!H24&gt;0,'Invullen groen'!G24,""),"")</f>
        <v/>
      </c>
      <c r="D13" s="162">
        <f>IFERROR(IF('Invullen groen'!H24&gt;0,'Invullen groen'!H24,""),"")</f>
        <v/>
      </c>
      <c r="E13" s="78" t="n"/>
      <c r="F13" s="161">
        <f>IFERROR(IF('Invullen groen'!H129&lt;&gt;0,'Invullen groen'!A129,""),"")</f>
        <v/>
      </c>
      <c r="G13" s="161">
        <f>IFERROR(IF('Invullen groen'!H129&lt;&gt;0,'Invullen groen'!G129,""),"")</f>
        <v/>
      </c>
      <c r="H13" s="162">
        <f>IFERROR(IF('Invullen groen'!H129&lt;&gt;0,'Invullen groen'!H129,""),"")</f>
        <v/>
      </c>
    </row>
    <row r="14" ht="15" customHeight="1" s="402">
      <c r="A14" s="163">
        <f>IFERROR(IF('Invullen groen'!H25&gt;0,9,""),"")</f>
        <v/>
      </c>
      <c r="B14" s="163">
        <f>IFERROR(IF('Invullen groen'!H25&gt;0,'Invullen groen'!A25,""),"")</f>
        <v/>
      </c>
      <c r="C14" s="163">
        <f>IFERROR(IF('Invullen groen'!H25&gt;0,'Invullen groen'!G25,""),"")</f>
        <v/>
      </c>
      <c r="D14" s="164">
        <f>IFERROR(IF('Invullen groen'!H25&gt;0,'Invullen groen'!H25,""),"")</f>
        <v/>
      </c>
      <c r="E14" s="77" t="n"/>
      <c r="F14" s="163">
        <f>IFERROR(IF('Invullen groen'!H130&lt;&gt;0,'Invullen groen'!A130,""),"")</f>
        <v/>
      </c>
      <c r="G14" s="163">
        <f>IFERROR(IF('Invullen groen'!H130&lt;&gt;0,'Invullen groen'!G130,""),"")</f>
        <v/>
      </c>
      <c r="H14" s="164">
        <f>IFERROR(IF('Invullen groen'!H130&lt;&gt;0,'Invullen groen'!H130,""),"")</f>
        <v/>
      </c>
    </row>
    <row r="15" ht="15" customHeight="1" s="402">
      <c r="A15" s="161">
        <f>IFERROR(IF('Invullen groen'!H26&gt;0,10,""),"")</f>
        <v/>
      </c>
      <c r="B15" s="161">
        <f>IFERROR(IF('Invullen groen'!H26&gt;0,'Invullen groen'!A26,""),"")</f>
        <v/>
      </c>
      <c r="C15" s="161">
        <f>IFERROR(IF('Invullen groen'!H26&gt;0,'Invullen groen'!G26,""),"")</f>
        <v/>
      </c>
      <c r="D15" s="162">
        <f>IFERROR(IF('Invullen groen'!H26&gt;0,'Invullen groen'!H26,""),"")</f>
        <v/>
      </c>
      <c r="E15" s="78" t="n"/>
      <c r="F15" s="161">
        <f>IFERROR(IF('Invullen groen'!H131&lt;&gt;0,'Invullen groen'!A131,""),"")</f>
        <v/>
      </c>
      <c r="G15" s="161">
        <f>IFERROR(IF('Invullen groen'!H131&lt;&gt;0,'Invullen groen'!G131,""),"")</f>
        <v/>
      </c>
      <c r="H15" s="162">
        <f>IFERROR(IF('Invullen groen'!H131&lt;&gt;0,'Invullen groen'!H131,""),"")</f>
        <v/>
      </c>
    </row>
    <row r="16" ht="15" customHeight="1" s="402">
      <c r="A16" s="163">
        <f>IFERROR(IF('Invullen groen'!H27&gt;0,11,""),"")</f>
        <v/>
      </c>
      <c r="B16" s="163">
        <f>IFERROR(IF('Invullen groen'!H27&gt;0,'Invullen groen'!A27,""),"")</f>
        <v/>
      </c>
      <c r="C16" s="163">
        <f>IFERROR(IF('Invullen groen'!H27&gt;0,'Invullen groen'!G27,""),"")</f>
        <v/>
      </c>
      <c r="D16" s="164">
        <f>IFERROR(IF('Invullen groen'!H27&gt;0,'Invullen groen'!H27,""),"")</f>
        <v/>
      </c>
      <c r="E16" s="77" t="n"/>
      <c r="F16" s="163">
        <f>IFERROR(IF('Invullen groen'!H171&lt;&gt;0,'Invullen groen'!A171,""),"")</f>
        <v/>
      </c>
      <c r="G16" s="163">
        <f>IFERROR(IF('Invullen groen'!H171&lt;&gt;0,'Invullen groen'!G171,""),"")</f>
        <v/>
      </c>
      <c r="H16" s="164">
        <f>IFERROR(IF('Invullen groen'!H171&lt;&gt;0,'Invullen groen'!H171,""),"")</f>
        <v/>
      </c>
    </row>
    <row r="17" ht="15" customHeight="1" s="402">
      <c r="A17" s="161">
        <f>IFERROR(IF('Invullen groen'!H28&gt;0,12,""),"")</f>
        <v/>
      </c>
      <c r="B17" s="161">
        <f>IFERROR(IF('Invullen groen'!H28&gt;0,'Invullen groen'!A28,""),"")</f>
        <v/>
      </c>
      <c r="C17" s="161">
        <f>IFERROR(IF('Invullen groen'!H28&gt;0,'Invullen groen'!G28,""),"")</f>
        <v/>
      </c>
      <c r="D17" s="162">
        <f>IFERROR(IF('Invullen groen'!H28&gt;0,'Invullen groen'!H28,""),"")</f>
        <v/>
      </c>
      <c r="E17" s="78" t="n"/>
      <c r="F17" s="161">
        <f>IFERROR(IF('Invullen groen'!H172&lt;&gt;0,'Invullen groen'!A172,""),"")</f>
        <v/>
      </c>
      <c r="G17" s="161">
        <f>IFERROR(IF('Invullen groen'!H172&lt;&gt;0,'Invullen groen'!G172,""),"")</f>
        <v/>
      </c>
      <c r="H17" s="162">
        <f>IFERROR(IF('Invullen groen'!H172&lt;&gt;0,'Invullen groen'!H172,""),"")</f>
        <v/>
      </c>
    </row>
    <row r="18" ht="15" customHeight="1" s="402">
      <c r="A18" s="163">
        <f>IFERROR(IF('Invullen groen'!H29&gt;0,13,""),"")</f>
        <v/>
      </c>
      <c r="B18" s="163">
        <f>IFERROR(IF('Invullen groen'!H29&gt;0,'Invullen groen'!A29,""),"")</f>
        <v/>
      </c>
      <c r="C18" s="163">
        <f>IFERROR(IF('Invullen groen'!H29&gt;0,'Invullen groen'!G29,""),"")</f>
        <v/>
      </c>
      <c r="D18" s="164">
        <f>IFERROR(IF('Invullen groen'!H29&gt;0,'Invullen groen'!H29,""),"")</f>
        <v/>
      </c>
      <c r="E18" s="77" t="n"/>
      <c r="F18" s="163">
        <f>IFERROR(IF('Invullen groen'!H173&lt;&gt;0,'Invullen groen'!A173,""),"")</f>
        <v/>
      </c>
      <c r="G18" s="163">
        <f>IFERROR(IF('Invullen groen'!H173&lt;&gt;0,'Invullen groen'!G173,""),"")</f>
        <v/>
      </c>
      <c r="H18" s="164">
        <f>IFERROR(IF('Invullen groen'!H173&lt;&gt;0,'Invullen groen'!H173,""),"")</f>
        <v/>
      </c>
    </row>
    <row r="19" ht="15" customHeight="1" s="402">
      <c r="A19" s="161">
        <f>IFERROR(IF('Invullen groen'!H30&gt;0,14,""),"")</f>
        <v/>
      </c>
      <c r="B19" s="161">
        <f>IFERROR(IF('Invullen groen'!H30&gt;0,'Invullen groen'!A30,""),"")</f>
        <v/>
      </c>
      <c r="C19" s="161">
        <f>IFERROR(IF('Invullen groen'!H30&gt;0,'Invullen groen'!G30,""),"")</f>
        <v/>
      </c>
      <c r="D19" s="162">
        <f>IFERROR(IF('Invullen groen'!H30&gt;0,'Invullen groen'!H30,""),"")</f>
        <v/>
      </c>
      <c r="E19" s="78" t="n"/>
      <c r="F19" s="161">
        <f>IFERROR(IF('Invullen groen'!H174&lt;&gt;0,'Invullen groen'!A174,""),"")</f>
        <v/>
      </c>
      <c r="G19" s="161">
        <f>IFERROR(IF('Invullen groen'!H174&lt;&gt;0,'Invullen groen'!G174,""),"")</f>
        <v/>
      </c>
      <c r="H19" s="162">
        <f>IFERROR(IF('Invullen groen'!H174&lt;&gt;0,'Invullen groen'!H174,""),"")</f>
        <v/>
      </c>
    </row>
    <row r="20" ht="15" customHeight="1" s="402">
      <c r="A20" s="163">
        <f>IFERROR(IF('Invullen groen'!H31&gt;0,15,""),"")</f>
        <v/>
      </c>
      <c r="B20" s="163">
        <f>IFERROR(IF('Invullen groen'!H31&gt;0,'Invullen groen'!A31,""),"")</f>
        <v/>
      </c>
      <c r="C20" s="163">
        <f>IFERROR(IF('Invullen groen'!H31&gt;0,'Invullen groen'!G31,""),"")</f>
        <v/>
      </c>
      <c r="D20" s="164">
        <f>IFERROR(IF('Invullen groen'!H31&gt;0,'Invullen groen'!H31,""),"")</f>
        <v/>
      </c>
      <c r="E20" s="77" t="n"/>
      <c r="F20" s="163">
        <f>IFERROR(IF('Invullen groen'!H175&lt;&gt;0,'Invullen groen'!A175,""),"")</f>
        <v/>
      </c>
      <c r="G20" s="163">
        <f>IFERROR(IF('Invullen groen'!H175&lt;&gt;0,'Invullen groen'!G175,""),"")</f>
        <v/>
      </c>
      <c r="H20" s="164">
        <f>IFERROR(IF('Invullen groen'!H175&lt;&gt;0,'Invullen groen'!H175,""),"")</f>
        <v/>
      </c>
    </row>
    <row r="21" ht="15" customHeight="1" s="402">
      <c r="A21" s="161">
        <f>IFERROR(IF('Invullen groen'!H32&gt;0,16,""),"")</f>
        <v/>
      </c>
      <c r="B21" s="161">
        <f>IFERROR(IF('Invullen groen'!H32&gt;0,'Invullen groen'!A32,""),"")</f>
        <v/>
      </c>
      <c r="C21" s="161">
        <f>IFERROR(IF('Invullen groen'!H32&gt;0,'Invullen groen'!G32,""),"")</f>
        <v/>
      </c>
      <c r="D21" s="162">
        <f>IFERROR(IF('Invullen groen'!H32&gt;0,'Invullen groen'!H32,""),"")</f>
        <v/>
      </c>
      <c r="E21" s="78" t="n"/>
      <c r="F21" s="161">
        <f>IFERROR(IF('Invullen groen'!H176&lt;&gt;0,'Invullen groen'!A176,""),"")</f>
        <v/>
      </c>
      <c r="G21" s="161">
        <f>IFERROR(IF('Invullen groen'!H176&lt;&gt;0,'Invullen groen'!G176,""),"")</f>
        <v/>
      </c>
      <c r="H21" s="162">
        <f>IFERROR(IF('Invullen groen'!H176&lt;&gt;0,'Invullen groen'!H176,""),"")</f>
        <v/>
      </c>
    </row>
    <row r="22" ht="15" customHeight="1" s="402">
      <c r="A22" s="163">
        <f>IFERROR(IF('Invullen groen'!H33&gt;0,17,""),"")</f>
        <v/>
      </c>
      <c r="B22" s="163">
        <f>IFERROR(IF('Invullen groen'!H33&gt;0,'Invullen groen'!A33,""),"")</f>
        <v/>
      </c>
      <c r="C22" s="163">
        <f>IFERROR(IF('Invullen groen'!H33&gt;0,'Invullen groen'!G33,""),"")</f>
        <v/>
      </c>
      <c r="D22" s="164">
        <f>IFERROR(IF('Invullen groen'!H33&gt;0,'Invullen groen'!H33,""),"")</f>
        <v/>
      </c>
      <c r="E22" s="77" t="n"/>
      <c r="F22" s="163">
        <f>IFERROR(IF('Invullen groen'!H177&lt;&gt;0,'Invullen groen'!A177,""),"")</f>
        <v/>
      </c>
      <c r="G22" s="163">
        <f>IFERROR(IF('Invullen groen'!H177&lt;&gt;0,'Invullen groen'!G177,""),"")</f>
        <v/>
      </c>
      <c r="H22" s="164">
        <f>IFERROR(IF('Invullen groen'!H177&lt;&gt;0,'Invullen groen'!H177,""),"")</f>
        <v/>
      </c>
    </row>
    <row r="23" ht="15" customHeight="1" s="402">
      <c r="A23" s="161">
        <f>IFERROR(IF('Invullen groen'!H34&gt;0,18,""),"")</f>
        <v/>
      </c>
      <c r="B23" s="161">
        <f>IFERROR(IF('Invullen groen'!H34&gt;0,'Invullen groen'!A34,""),"")</f>
        <v/>
      </c>
      <c r="C23" s="161">
        <f>IFERROR(IF('Invullen groen'!H34&gt;0,'Invullen groen'!G34,""),"")</f>
        <v/>
      </c>
      <c r="D23" s="162">
        <f>IFERROR(IF('Invullen groen'!H34&gt;0,'Invullen groen'!H34,""),"")</f>
        <v/>
      </c>
      <c r="E23" s="78" t="n"/>
      <c r="F23" s="161">
        <f>IFERROR(IF('Invullen groen'!H178&lt;&gt;0,'Invullen groen'!A178,""),"")</f>
        <v/>
      </c>
      <c r="G23" s="161">
        <f>IFERROR(IF('Invullen groen'!H178&lt;&gt;0,'Invullen groen'!G178,""),"")</f>
        <v/>
      </c>
      <c r="H23" s="162">
        <f>IFERROR(IF('Invullen groen'!H178&lt;&gt;0,'Invullen groen'!H178,""),"")</f>
        <v/>
      </c>
    </row>
    <row r="24" ht="15" customHeight="1" s="402">
      <c r="A24" s="163">
        <f>IFERROR(IF('Invullen groen'!H35&gt;0,19,""),"")</f>
        <v/>
      </c>
      <c r="B24" s="163">
        <f>IFERROR(IF('Invullen groen'!H35&gt;0,'Invullen groen'!A35,""),"")</f>
        <v/>
      </c>
      <c r="C24" s="163">
        <f>IFERROR(IF('Invullen groen'!H35&gt;0,'Invullen groen'!G35,""),"")</f>
        <v/>
      </c>
      <c r="D24" s="164">
        <f>IFERROR(IF('Invullen groen'!H35&gt;0,'Invullen groen'!H35,""),"")</f>
        <v/>
      </c>
      <c r="E24" s="77" t="n"/>
      <c r="F24" s="163">
        <f>IFERROR(IF('Invullen groen'!H179&lt;&gt;0,'Invullen groen'!A179,""),"")</f>
        <v/>
      </c>
      <c r="G24" s="163">
        <f>IFERROR(IF('Invullen groen'!H179&lt;&gt;0,'Invullen groen'!G179,""),"")</f>
        <v/>
      </c>
      <c r="H24" s="164">
        <f>IFERROR(IF('Invullen groen'!H179&lt;&gt;0,'Invullen groen'!H179,""),"")</f>
        <v/>
      </c>
    </row>
    <row r="25" ht="15" customHeight="1" s="402">
      <c r="A25" s="161">
        <f>IFERROR(IF('Invullen groen'!H36&gt;0,20,""),"")</f>
        <v/>
      </c>
      <c r="B25" s="161">
        <f>IFERROR(IF('Invullen groen'!H36&gt;0,'Invullen groen'!A36,""),"")</f>
        <v/>
      </c>
      <c r="C25" s="161">
        <f>IFERROR(IF('Invullen groen'!H36&gt;0,'Invullen groen'!G36,""),"")</f>
        <v/>
      </c>
      <c r="D25" s="162">
        <f>IFERROR(IF('Invullen groen'!H36&gt;0,'Invullen groen'!H36,""),"")</f>
        <v/>
      </c>
      <c r="E25" s="78" t="n"/>
      <c r="F25" s="161">
        <f>IFERROR(IF('Invullen groen'!H180&lt;&gt;0,'Invullen groen'!A180,""),"")</f>
        <v/>
      </c>
      <c r="G25" s="161">
        <f>IFERROR(IF('Invullen groen'!H180&lt;&gt;0,'Invullen groen'!G180,""),"")</f>
        <v/>
      </c>
      <c r="H25" s="162">
        <f>IFERROR(IF('Invullen groen'!H180&lt;&gt;0,'Invullen groen'!H180,""),"")</f>
        <v/>
      </c>
    </row>
    <row r="26" ht="15" customHeight="1" s="402">
      <c r="A26" s="163">
        <f>IFERROR(IF('Invullen groen'!H37&gt;0,21,""),"")</f>
        <v/>
      </c>
      <c r="B26" s="163">
        <f>IFERROR(IF('Invullen groen'!H37&gt;0,'Invullen groen'!A37,""),"")</f>
        <v/>
      </c>
      <c r="C26" s="163">
        <f>IFERROR(IF('Invullen groen'!H37&gt;0,'Invullen groen'!G37,""),"")</f>
        <v/>
      </c>
      <c r="D26" s="164">
        <f>IFERROR(IF('Invullen groen'!H37&gt;0,'Invullen groen'!H37,""),"")</f>
        <v/>
      </c>
      <c r="E26" s="77" t="n"/>
      <c r="F26" s="163">
        <f>IFERROR(IF('Invullen groen'!H181&lt;&gt;0,'Invullen groen'!A181,""),"")</f>
        <v/>
      </c>
      <c r="G26" s="163">
        <f>IFERROR(IF('Invullen groen'!H181&lt;&gt;0,'Invullen groen'!G181,""),"")</f>
        <v/>
      </c>
      <c r="H26" s="164">
        <f>IFERROR(IF('Invullen groen'!H181&lt;&gt;0,'Invullen groen'!H181,""),"")</f>
        <v/>
      </c>
    </row>
    <row r="27" ht="15" customHeight="1" s="402">
      <c r="A27" s="161">
        <f>IFERROR(IF('Invullen groen'!H38&gt;0,22,""),"")</f>
        <v/>
      </c>
      <c r="B27" s="161">
        <f>IFERROR(IF('Invullen groen'!H38&gt;0,'Invullen groen'!A38,""),"")</f>
        <v/>
      </c>
      <c r="C27" s="161">
        <f>IFERROR(IF('Invullen groen'!H38&gt;0,'Invullen groen'!G38,""),"")</f>
        <v/>
      </c>
      <c r="D27" s="162">
        <f>IFERROR(IF('Invullen groen'!H38&gt;0,'Invullen groen'!H38,""),"")</f>
        <v/>
      </c>
      <c r="E27" s="78" t="n"/>
      <c r="F27" s="161">
        <f>IFERROR(IF('Invullen groen'!H220&lt;&gt;0,'Invullen groen'!A220,""),"")</f>
        <v/>
      </c>
      <c r="G27" s="161">
        <f>IFERROR(IF('Invullen groen'!H220&lt;&gt;0,'Invullen groen'!G220,""),"")</f>
        <v/>
      </c>
      <c r="H27" s="162">
        <f>IFERROR(IF('Invullen groen'!H220&lt;&gt;0,'Invullen groen'!H220,""),"")</f>
        <v/>
      </c>
    </row>
    <row r="28" ht="15" customHeight="1" s="402">
      <c r="A28" s="163">
        <f>IFERROR(IF('Invullen groen'!H39&gt;0,23,""),"")</f>
        <v/>
      </c>
      <c r="B28" s="163">
        <f>IFERROR(IF('Invullen groen'!H39&gt;0,'Invullen groen'!A39,""),"")</f>
        <v/>
      </c>
      <c r="C28" s="163">
        <f>IFERROR(IF('Invullen groen'!H39&gt;0,'Invullen groen'!G39,""),"")</f>
        <v/>
      </c>
      <c r="D28" s="164">
        <f>IFERROR(IF('Invullen groen'!H39&gt;0,'Invullen groen'!H39,""),"")</f>
        <v/>
      </c>
      <c r="E28" s="77" t="n"/>
      <c r="F28" s="163">
        <f>IFERROR(IF('Invullen groen'!H221&lt;&gt;0,'Invullen groen'!A221,""),"")</f>
        <v/>
      </c>
      <c r="G28" s="163">
        <f>IFERROR(IF('Invullen groen'!H221&lt;&gt;0,'Invullen groen'!G221,""),"")</f>
        <v/>
      </c>
      <c r="H28" s="164">
        <f>IFERROR(IF('Invullen groen'!H221&lt;&gt;0,'Invullen groen'!H221,""),"")</f>
        <v/>
      </c>
    </row>
    <row r="29" ht="15" customHeight="1" s="402">
      <c r="A29" s="161">
        <f>IFERROR(IF('Invullen groen'!H40&gt;0,24,""),"")</f>
        <v/>
      </c>
      <c r="B29" s="161">
        <f>IFERROR(IF('Invullen groen'!H40&gt;0,'Invullen groen'!A40,""),"")</f>
        <v/>
      </c>
      <c r="C29" s="161">
        <f>IFERROR(IF('Invullen groen'!H40&gt;0,'Invullen groen'!G40,""),"")</f>
        <v/>
      </c>
      <c r="D29" s="162">
        <f>IFERROR(IF('Invullen groen'!H40&gt;0,'Invullen groen'!H40,""),"")</f>
        <v/>
      </c>
      <c r="E29" s="78" t="n"/>
      <c r="F29" s="161">
        <f>IFERROR(IF('Invullen groen'!H222&lt;&gt;0,'Invullen groen'!A222,""),"")</f>
        <v/>
      </c>
      <c r="G29" s="161">
        <f>IFERROR(IF('Invullen groen'!H222&lt;&gt;0,'Invullen groen'!G222,""),"")</f>
        <v/>
      </c>
      <c r="H29" s="162">
        <f>IFERROR(IF('Invullen groen'!H222&lt;&gt;0,'Invullen groen'!H222,""),"")</f>
        <v/>
      </c>
    </row>
    <row r="30" ht="15" customHeight="1" s="402">
      <c r="A30" s="163">
        <f>IFERROR(IF('Invullen groen'!H41&gt;0,25,""),"")</f>
        <v/>
      </c>
      <c r="B30" s="163">
        <f>IFERROR(IF('Invullen groen'!H41&gt;0,'Invullen groen'!A41,""),"")</f>
        <v/>
      </c>
      <c r="C30" s="163">
        <f>IFERROR(IF('Invullen groen'!H41&gt;0,'Invullen groen'!G41,""),"")</f>
        <v/>
      </c>
      <c r="D30" s="164">
        <f>IFERROR(IF('Invullen groen'!H41&gt;0,'Invullen groen'!H41,""),"")</f>
        <v/>
      </c>
      <c r="E30" s="77" t="n"/>
      <c r="F30" s="163">
        <f>IFERROR(IF('Invullen groen'!H223&lt;&gt;0,'Invullen groen'!A223,""),"")</f>
        <v/>
      </c>
      <c r="G30" s="163">
        <f>IFERROR(IF('Invullen groen'!H223&lt;&gt;0,'Invullen groen'!G223,""),"")</f>
        <v/>
      </c>
      <c r="H30" s="164">
        <f>IFERROR(IF('Invullen groen'!H223&lt;&gt;0,'Invullen groen'!H223,""),"")</f>
        <v/>
      </c>
    </row>
    <row r="31" ht="15" customHeight="1" s="402">
      <c r="A31" s="161">
        <f>IFERROR(IF('Invullen groen'!H42&gt;0,26,""),"")</f>
        <v/>
      </c>
      <c r="B31" s="161">
        <f>IFERROR(IF('Invullen groen'!H42&gt;0,'Invullen groen'!A42,""),"")</f>
        <v/>
      </c>
      <c r="C31" s="161">
        <f>IFERROR(IF('Invullen groen'!H42&gt;0,'Invullen groen'!G42,""),"")</f>
        <v/>
      </c>
      <c r="D31" s="162">
        <f>IFERROR(IF('Invullen groen'!H42&gt;0,'Invullen groen'!H42,""),"")</f>
        <v/>
      </c>
      <c r="E31" s="78" t="n"/>
      <c r="F31" s="161">
        <f>IFERROR(IF('Invullen groen'!H224&lt;&gt;0,'Invullen groen'!A224,""),"")</f>
        <v/>
      </c>
      <c r="G31" s="161">
        <f>IFERROR(IF('Invullen groen'!H224&lt;&gt;0,'Invullen groen'!G224,""),"")</f>
        <v/>
      </c>
      <c r="H31" s="162">
        <f>IFERROR(IF('Invullen groen'!H224&lt;&gt;0,'Invullen groen'!H224,""),"")</f>
        <v/>
      </c>
    </row>
    <row r="32" ht="15" customHeight="1" s="402">
      <c r="A32" s="163">
        <f>IFERROR(IF('Invullen groen'!H43&gt;0,27,""),"")</f>
        <v/>
      </c>
      <c r="B32" s="163">
        <f>IFERROR(IF('Invullen groen'!H43&gt;0,'Invullen groen'!A43,""),"")</f>
        <v/>
      </c>
      <c r="C32" s="163">
        <f>IFERROR(IF('Invullen groen'!H43&gt;0,'Invullen groen'!G43,""),"")</f>
        <v/>
      </c>
      <c r="D32" s="164">
        <f>IFERROR(IF('Invullen groen'!H43&gt;0,'Invullen groen'!H43,""),"")</f>
        <v/>
      </c>
      <c r="E32" s="77" t="n"/>
      <c r="F32" s="163">
        <f>IFERROR(IF('Invullen groen'!H225&lt;&gt;0,'Invullen groen'!A225,""),"")</f>
        <v/>
      </c>
      <c r="G32" s="163">
        <f>IFERROR(IF('Invullen groen'!H225&lt;&gt;0,'Invullen groen'!G225,""),"")</f>
        <v/>
      </c>
      <c r="H32" s="164">
        <f>IFERROR(IF('Invullen groen'!H225&lt;&gt;0,'Invullen groen'!H225,""),"")</f>
        <v/>
      </c>
    </row>
    <row r="33" ht="15" customHeight="1" s="402">
      <c r="A33" s="161">
        <f>IFERROR(IF('Invullen groen'!H44&gt;0,28,""),"")</f>
        <v/>
      </c>
      <c r="B33" s="161">
        <f>IFERROR(IF('Invullen groen'!H44&gt;0,'Invullen groen'!A44,""),"")</f>
        <v/>
      </c>
      <c r="C33" s="161">
        <f>IFERROR(IF('Invullen groen'!H44&gt;0,'Invullen groen'!G44,""),"")</f>
        <v/>
      </c>
      <c r="D33" s="162">
        <f>IFERROR(IF('Invullen groen'!H44&gt;0,'Invullen groen'!H44,""),"")</f>
        <v/>
      </c>
      <c r="E33" s="78" t="n"/>
      <c r="F33" s="161">
        <f>IFERROR(IF('Invullen groen'!H226&lt;&gt;0,'Invullen groen'!A226,""),"")</f>
        <v/>
      </c>
      <c r="G33" s="161">
        <f>IFERROR(IF('Invullen groen'!H226&lt;&gt;0,'Invullen groen'!G226,""),"")</f>
        <v/>
      </c>
      <c r="H33" s="162">
        <f>IFERROR(IF('Invullen groen'!H226&lt;&gt;0,'Invullen groen'!H226,""),"")</f>
        <v/>
      </c>
    </row>
    <row r="34" ht="15" customHeight="1" s="402">
      <c r="A34" s="163">
        <f>IFERROR(IF('Invullen groen'!H45&gt;0,29,""),"")</f>
        <v/>
      </c>
      <c r="B34" s="163">
        <f>IFERROR(IF('Invullen groen'!H45&gt;0,'Invullen groen'!A45,""),"")</f>
        <v/>
      </c>
      <c r="C34" s="163">
        <f>IFERROR(IF('Invullen groen'!H45&gt;0,'Invullen groen'!G45,""),"")</f>
        <v/>
      </c>
      <c r="D34" s="164">
        <f>IFERROR(IF('Invullen groen'!H45&gt;0,'Invullen groen'!H45,""),"")</f>
        <v/>
      </c>
      <c r="E34" s="77" t="n"/>
      <c r="F34" s="163">
        <f>IFERROR(IF('Invullen groen'!H227&lt;&gt;0,'Invullen groen'!A227,""),"")</f>
        <v/>
      </c>
      <c r="G34" s="163">
        <f>IFERROR(IF('Invullen groen'!H227&lt;&gt;0,'Invullen groen'!G227,""),"")</f>
        <v/>
      </c>
      <c r="H34" s="164">
        <f>IFERROR(IF('Invullen groen'!H227&lt;&gt;0,'Invullen groen'!H227,""),"")</f>
        <v/>
      </c>
    </row>
    <row r="35" ht="15" customHeight="1" s="402">
      <c r="A35" s="161">
        <f>IFERROR(IF('Invullen groen'!H46&gt;0,30,""),"")</f>
        <v/>
      </c>
      <c r="B35" s="161">
        <f>IFERROR(IF('Invullen groen'!H46&gt;0,'Invullen groen'!A46,""),"")</f>
        <v/>
      </c>
      <c r="C35" s="161">
        <f>IFERROR(IF('Invullen groen'!H46&gt;0,'Invullen groen'!G46,""),"")</f>
        <v/>
      </c>
      <c r="D35" s="162">
        <f>IFERROR(IF('Invullen groen'!H46&gt;0,'Invullen groen'!H46,""),"")</f>
        <v/>
      </c>
      <c r="E35" s="78" t="n"/>
      <c r="F35" s="161">
        <f>IFERROR(IF('Invullen groen'!H228&lt;&gt;0,'Invullen groen'!A228,""),"")</f>
        <v/>
      </c>
      <c r="G35" s="161">
        <f>IFERROR(IF('Invullen groen'!H228&lt;&gt;0,'Invullen groen'!G228,""),"")</f>
        <v/>
      </c>
      <c r="H35" s="162">
        <f>IFERROR(IF('Invullen groen'!H228&lt;&gt;0,'Invullen groen'!H228,""),"")</f>
        <v/>
      </c>
    </row>
    <row r="36" ht="15" customHeight="1" s="402">
      <c r="A36" s="163">
        <f>IFERROR(IF('Invullen groen'!H47&gt;0,31,""),"")</f>
        <v/>
      </c>
      <c r="B36" s="163">
        <f>IFERROR(IF('Invullen groen'!H47&gt;0,'Invullen groen'!A47,""),"")</f>
        <v/>
      </c>
      <c r="C36" s="163">
        <f>IFERROR(IF('Invullen groen'!H47&gt;0,'Invullen groen'!G47,""),"")</f>
        <v/>
      </c>
      <c r="D36" s="164">
        <f>IFERROR(IF('Invullen groen'!H47&gt;0,'Invullen groen'!H47,""),"")</f>
        <v/>
      </c>
      <c r="E36" s="77" t="n"/>
      <c r="F36" s="163">
        <f>IFERROR(IF('Invullen groen'!H229&lt;&gt;0,'Invullen groen'!A229,""),"")</f>
        <v/>
      </c>
      <c r="G36" s="163">
        <f>IFERROR(IF('Invullen groen'!H229&lt;&gt;0,'Invullen groen'!G229,""),"")</f>
        <v/>
      </c>
      <c r="H36" s="164">
        <f>IFERROR(IF('Invullen groen'!H229&lt;&gt;0,'Invullen groen'!H229,""),"")</f>
        <v/>
      </c>
    </row>
    <row r="37" ht="15" customHeight="1" s="402">
      <c r="A37" s="161">
        <f>IFERROR(IF('Invullen groen'!H48&gt;0,32,""),"")</f>
        <v/>
      </c>
      <c r="B37" s="161">
        <f>IFERROR(IF('Invullen groen'!H48&gt;0,'Invullen groen'!A48,""),"")</f>
        <v/>
      </c>
      <c r="C37" s="161">
        <f>IFERROR(IF('Invullen groen'!H48&gt;0,'Invullen groen'!G48,""),"")</f>
        <v/>
      </c>
      <c r="D37" s="162">
        <f>IFERROR(IF('Invullen groen'!H48&gt;0,'Invullen groen'!H48,""),"")</f>
        <v/>
      </c>
      <c r="E37" s="78" t="n"/>
      <c r="F37" s="161">
        <f>IFERROR(IF('Invullen groen'!H230&lt;&gt;0,'Invullen groen'!A230,""),"")</f>
        <v/>
      </c>
      <c r="G37" s="161">
        <f>IFERROR(IF('Invullen groen'!H230&lt;&gt;0,'Invullen groen'!G230,""),"")</f>
        <v/>
      </c>
      <c r="H37" s="162">
        <f>IFERROR(IF('Invullen groen'!H230&lt;&gt;0,'Invullen groen'!H230,""),"")</f>
        <v/>
      </c>
    </row>
    <row r="38" ht="15" customHeight="1" s="402">
      <c r="A38" s="163">
        <f>IFERROR(IF('Invullen groen'!H49&gt;0,33,""),"")</f>
        <v/>
      </c>
      <c r="B38" s="163">
        <f>IFERROR(IF('Invullen groen'!H49&gt;0,'Invullen groen'!A49,""),"")</f>
        <v/>
      </c>
      <c r="C38" s="163">
        <f>IFERROR(IF('Invullen groen'!H49&gt;0,'Invullen groen'!G49,""),"")</f>
        <v/>
      </c>
      <c r="D38" s="164">
        <f>IFERROR(IF('Invullen groen'!H49&gt;0,'Invullen groen'!H49,""),"")</f>
        <v/>
      </c>
      <c r="E38" s="77" t="n"/>
      <c r="F38" s="163" t="n"/>
      <c r="G38" s="163" t="n"/>
      <c r="H38" s="164" t="n"/>
    </row>
    <row r="39" ht="15" customHeight="1" s="402">
      <c r="A39" s="161">
        <f>IFERROR(IF('Invullen groen'!H50&gt;0,34,""),"")</f>
        <v/>
      </c>
      <c r="B39" s="161">
        <f>IFERROR(IF('Invullen groen'!H50&gt;0,'Invullen groen'!A50,""),"")</f>
        <v/>
      </c>
      <c r="C39" s="161">
        <f>IFERROR(IF('Invullen groen'!H50&gt;0,'Invullen groen'!G50,""),"")</f>
        <v/>
      </c>
      <c r="D39" s="162">
        <f>IFERROR(IF('Invullen groen'!H50&gt;0,'Invullen groen'!H50,""),"")</f>
        <v/>
      </c>
      <c r="E39" s="78" t="n"/>
      <c r="F39" s="161" t="n"/>
      <c r="G39" s="161" t="n"/>
      <c r="H39" s="162" t="n"/>
    </row>
    <row r="40" ht="15" customHeight="1" s="402">
      <c r="A40" s="163">
        <f>IFERROR(IF('Invullen groen'!H51&gt;0,35,""),"")</f>
        <v/>
      </c>
      <c r="B40" s="163">
        <f>IFERROR(IF('Invullen groen'!H51&gt;0,'Invullen groen'!A51,""),"")</f>
        <v/>
      </c>
      <c r="C40" s="163">
        <f>IFERROR(IF('Invullen groen'!H51&gt;0,'Invullen groen'!G51,""),"")</f>
        <v/>
      </c>
      <c r="D40" s="164">
        <f>IFERROR(IF('Invullen groen'!H51&gt;0,'Invullen groen'!H51,""),"")</f>
        <v/>
      </c>
      <c r="E40" s="77" t="n"/>
      <c r="F40" s="163" t="n"/>
      <c r="G40" s="163" t="n"/>
      <c r="H40" s="164" t="n"/>
    </row>
    <row r="41" ht="15" customHeight="1" s="402">
      <c r="A41" s="161">
        <f>IFERROR(IF('Invullen groen'!H52&gt;0,36,""),"")</f>
        <v/>
      </c>
      <c r="B41" s="161">
        <f>IFERROR(IF('Invullen groen'!H52&gt;0,'Invullen groen'!A52,""),"")</f>
        <v/>
      </c>
      <c r="C41" s="161">
        <f>IFERROR(IF('Invullen groen'!H52&gt;0,'Invullen groen'!G52,""),"")</f>
        <v/>
      </c>
      <c r="D41" s="162">
        <f>IFERROR(IF('Invullen groen'!H52&gt;0,'Invullen groen'!H52,""),"")</f>
        <v/>
      </c>
      <c r="E41" s="78" t="n"/>
      <c r="F41" s="161" t="n"/>
      <c r="G41" s="161" t="n"/>
      <c r="H41" s="162" t="n"/>
    </row>
    <row r="42" ht="15" customHeight="1" s="402">
      <c r="A42" s="163">
        <f>IFERROR(IF('Invullen groen'!H53&gt;0,37,""),"")</f>
        <v/>
      </c>
      <c r="B42" s="163">
        <f>IFERROR(IF('Invullen groen'!H53&gt;0,'Invullen groen'!A53,""),"")</f>
        <v/>
      </c>
      <c r="C42" s="163">
        <f>IFERROR(IF('Invullen groen'!H53&gt;0,'Invullen groen'!G53,""),"")</f>
        <v/>
      </c>
      <c r="D42" s="164">
        <f>IFERROR(IF('Invullen groen'!H53&gt;0,'Invullen groen'!H53,""),"")</f>
        <v/>
      </c>
      <c r="E42" s="77" t="n"/>
      <c r="F42" s="163" t="n"/>
      <c r="G42" s="163" t="n"/>
      <c r="H42" s="164" t="n"/>
    </row>
    <row r="43" ht="15" customHeight="1" s="402">
      <c r="A43" s="161">
        <f>IFERROR(IF('Invullen groen'!H54&gt;0,38,""),"")</f>
        <v/>
      </c>
      <c r="B43" s="161">
        <f>IFERROR(IF('Invullen groen'!H54&gt;0,'Invullen groen'!A54,""),"")</f>
        <v/>
      </c>
      <c r="C43" s="161">
        <f>IFERROR(IF('Invullen groen'!H54&gt;0,'Invullen groen'!G54,""),"")</f>
        <v/>
      </c>
      <c r="D43" s="162">
        <f>IFERROR(IF('Invullen groen'!H54&gt;0,'Invullen groen'!H54,""),"")</f>
        <v/>
      </c>
      <c r="E43" s="78" t="n"/>
      <c r="F43" s="161" t="n"/>
      <c r="G43" s="161" t="n"/>
      <c r="H43" s="162" t="n"/>
    </row>
    <row r="44" ht="15" customHeight="1" s="402">
      <c r="A44" s="163">
        <f>IFERROR(IF('Invullen groen'!H55&gt;0,39,""),"")</f>
        <v/>
      </c>
      <c r="B44" s="163">
        <f>IFERROR(IF('Invullen groen'!H55&gt;0,'Invullen groen'!A55,""),"")</f>
        <v/>
      </c>
      <c r="C44" s="163">
        <f>IFERROR(IF('Invullen groen'!H55&gt;0,'Invullen groen'!G55,""),"")</f>
        <v/>
      </c>
      <c r="D44" s="164">
        <f>IFERROR(IF('Invullen groen'!H55&gt;0,'Invullen groen'!H55,""),"")</f>
        <v/>
      </c>
      <c r="E44" s="77" t="n"/>
      <c r="F44" s="163" t="n"/>
      <c r="G44" s="163" t="n"/>
      <c r="H44" s="164" t="n"/>
    </row>
    <row r="45" ht="15" customHeight="1" s="402">
      <c r="A45" s="161">
        <f>IFERROR(IF('Invullen groen'!H56&gt;0,40,""),"")</f>
        <v/>
      </c>
      <c r="B45" s="161">
        <f>IFERROR(IF('Invullen groen'!H56&gt;0,'Invullen groen'!A56,""),"")</f>
        <v/>
      </c>
      <c r="C45" s="161">
        <f>IFERROR(IF('Invullen groen'!H56&gt;0,'Invullen groen'!G56,""),"")</f>
        <v/>
      </c>
      <c r="D45" s="162">
        <f>IFERROR(IF('Invullen groen'!H56&gt;0,'Invullen groen'!H56,""),"")</f>
        <v/>
      </c>
      <c r="E45" s="78" t="n"/>
      <c r="F45" s="161" t="n"/>
      <c r="G45" s="161" t="n"/>
      <c r="H45" s="162" t="n"/>
    </row>
    <row r="46" ht="15" customHeight="1" s="402">
      <c r="A46" s="163">
        <f>IFERROR(IF('Invullen groen'!H57&gt;0,41,""),"")</f>
        <v/>
      </c>
      <c r="B46" s="163">
        <f>IFERROR(IF('Invullen groen'!H57&gt;0,'Invullen groen'!A57,""),"")</f>
        <v/>
      </c>
      <c r="C46" s="163">
        <f>IFERROR(IF('Invullen groen'!H57&gt;0,'Invullen groen'!G57,""),"")</f>
        <v/>
      </c>
      <c r="D46" s="164">
        <f>IFERROR(IF('Invullen groen'!H57&gt;0,'Invullen groen'!H57,""),"")</f>
        <v/>
      </c>
      <c r="E46" s="77" t="n"/>
      <c r="F46" s="163" t="n"/>
      <c r="G46" s="163" t="n"/>
      <c r="H46" s="164" t="n"/>
    </row>
    <row r="47" ht="15" customHeight="1" s="402">
      <c r="A47" s="161">
        <f>IFERROR(IF('Invullen groen'!H58&gt;0,42,""),"")</f>
        <v/>
      </c>
      <c r="B47" s="161">
        <f>IFERROR(IF('Invullen groen'!H58&gt;0,'Invullen groen'!A58,""),"")</f>
        <v/>
      </c>
      <c r="C47" s="161">
        <f>IFERROR(IF('Invullen groen'!H58&gt;0,'Invullen groen'!G58,""),"")</f>
        <v/>
      </c>
      <c r="D47" s="162">
        <f>IFERROR(IF('Invullen groen'!H58&gt;0,'Invullen groen'!H58,""),"")</f>
        <v/>
      </c>
      <c r="E47" s="78" t="n"/>
      <c r="F47" s="161" t="n"/>
      <c r="G47" s="161" t="n"/>
      <c r="H47" s="162" t="n"/>
    </row>
    <row r="48" ht="15" customHeight="1" s="402">
      <c r="A48" s="163">
        <f>IFERROR(IF('Invullen groen'!H59&gt;0,43,""),"")</f>
        <v/>
      </c>
      <c r="B48" s="163">
        <f>IFERROR(IF('Invullen groen'!H59&gt;0,'Invullen groen'!A59,""),"")</f>
        <v/>
      </c>
      <c r="C48" s="163">
        <f>IFERROR(IF('Invullen groen'!H59&gt;0,'Invullen groen'!G59,""),"")</f>
        <v/>
      </c>
      <c r="D48" s="164">
        <f>IFERROR(IF('Invullen groen'!H59&gt;0,'Invullen groen'!H59,""),"")</f>
        <v/>
      </c>
      <c r="E48" s="77" t="n"/>
      <c r="F48" s="163" t="n"/>
      <c r="G48" s="163" t="n"/>
      <c r="H48" s="164" t="n"/>
    </row>
    <row r="49" ht="15" customHeight="1" s="402">
      <c r="A49" s="161">
        <f>IFERROR(IF('Invullen groen'!H60&gt;0,44,""),"")</f>
        <v/>
      </c>
      <c r="B49" s="161">
        <f>IFERROR(IF('Invullen groen'!H60&gt;0,'Invullen groen'!A60,""),"")</f>
        <v/>
      </c>
      <c r="C49" s="161">
        <f>IFERROR(IF('Invullen groen'!H60&gt;0,'Invullen groen'!G60,""),"")</f>
        <v/>
      </c>
      <c r="D49" s="162">
        <f>IFERROR(IF('Invullen groen'!H60&gt;0,'Invullen groen'!H60,""),"")</f>
        <v/>
      </c>
      <c r="E49" s="78" t="n"/>
      <c r="F49" s="161" t="n"/>
      <c r="G49" s="161" t="n"/>
      <c r="H49" s="162" t="n"/>
    </row>
    <row r="50" ht="15" customHeight="1" s="402">
      <c r="A50" s="163">
        <f>IFERROR(IF('Invullen groen'!H61&gt;0,45,""),"")</f>
        <v/>
      </c>
      <c r="B50" s="163">
        <f>IFERROR(IF('Invullen groen'!H61&gt;0,'Invullen groen'!A61,""),"")</f>
        <v/>
      </c>
      <c r="C50" s="163">
        <f>IFERROR(IF('Invullen groen'!H61&gt;0,'Invullen groen'!G61,""),"")</f>
        <v/>
      </c>
      <c r="D50" s="164">
        <f>IFERROR(IF('Invullen groen'!H61&gt;0,'Invullen groen'!H61,""),"")</f>
        <v/>
      </c>
      <c r="E50" s="77" t="n"/>
      <c r="F50" s="163" t="n"/>
      <c r="G50" s="163" t="n"/>
      <c r="H50" s="164" t="n"/>
    </row>
    <row r="51" ht="15" customHeight="1" s="402">
      <c r="A51" s="161">
        <f>IFERROR(IF('Invullen groen'!H62&gt;0,46,""),"")</f>
        <v/>
      </c>
      <c r="B51" s="161">
        <f>IFERROR(IF('Invullen groen'!H62&gt;0,'Invullen groen'!A62,""),"")</f>
        <v/>
      </c>
      <c r="C51" s="161">
        <f>IFERROR(IF('Invullen groen'!H62&gt;0,'Invullen groen'!G62,""),"")</f>
        <v/>
      </c>
      <c r="D51" s="162">
        <f>IFERROR(IF('Invullen groen'!H62&gt;0,'Invullen groen'!H62,""),"")</f>
        <v/>
      </c>
      <c r="E51" s="78" t="n"/>
      <c r="F51" s="161" t="n"/>
      <c r="G51" s="161" t="n"/>
      <c r="H51" s="162" t="n"/>
    </row>
    <row r="52" ht="15" customHeight="1" s="402">
      <c r="A52" s="163">
        <f>IFERROR(IF('Invullen groen'!H63&gt;0,47,""),"")</f>
        <v/>
      </c>
      <c r="B52" s="163">
        <f>IFERROR(IF('Invullen groen'!H63&gt;0,'Invullen groen'!A63,""),"")</f>
        <v/>
      </c>
      <c r="C52" s="163">
        <f>IFERROR(IF('Invullen groen'!H63&gt;0,'Invullen groen'!G63,""),"")</f>
        <v/>
      </c>
      <c r="D52" s="164">
        <f>IFERROR(IF('Invullen groen'!H63&gt;0,'Invullen groen'!H63,""),"")</f>
        <v/>
      </c>
      <c r="E52" s="77" t="n"/>
      <c r="F52" s="163" t="n"/>
      <c r="G52" s="163" t="n"/>
      <c r="H52" s="164" t="n"/>
    </row>
    <row r="53" ht="15" customHeight="1" s="402">
      <c r="A53" s="161">
        <f>IFERROR(IF('Invullen groen'!H64&gt;0,48,""),"")</f>
        <v/>
      </c>
      <c r="B53" s="161">
        <f>IFERROR(IF('Invullen groen'!H64&gt;0,'Invullen groen'!A64,""),"")</f>
        <v/>
      </c>
      <c r="C53" s="161">
        <f>IFERROR(IF('Invullen groen'!H64&gt;0,'Invullen groen'!G64,""),"")</f>
        <v/>
      </c>
      <c r="D53" s="162">
        <f>IFERROR(IF('Invullen groen'!H64&gt;0,'Invullen groen'!H64,""),"")</f>
        <v/>
      </c>
      <c r="E53" s="78" t="n"/>
      <c r="F53" s="161" t="n"/>
      <c r="G53" s="161" t="n"/>
      <c r="H53" s="162" t="n"/>
    </row>
    <row r="54" ht="15" customHeight="1" s="402">
      <c r="A54" s="163">
        <f>IFERROR(IF('Invullen groen'!H65&gt;0,49,""),"")</f>
        <v/>
      </c>
      <c r="B54" s="163">
        <f>IFERROR(IF('Invullen groen'!H65&gt;0,'Invullen groen'!A65,""),"")</f>
        <v/>
      </c>
      <c r="C54" s="163">
        <f>IFERROR(IF('Invullen groen'!H65&gt;0,'Invullen groen'!G65,""),"")</f>
        <v/>
      </c>
      <c r="D54" s="164">
        <f>IFERROR(IF('Invullen groen'!H65&gt;0,'Invullen groen'!H65,""),"")</f>
        <v/>
      </c>
      <c r="E54" s="77" t="n"/>
      <c r="F54" s="163" t="n"/>
      <c r="G54" s="163" t="n"/>
      <c r="H54" s="164" t="n"/>
    </row>
    <row r="55" ht="15" customHeight="1" s="402">
      <c r="A55" s="161">
        <f>IFERROR(IF('Invullen groen'!H66&gt;0,50,""),"")</f>
        <v/>
      </c>
      <c r="B55" s="161">
        <f>IFERROR(IF('Invullen groen'!H66&gt;0,'Invullen groen'!A66,""),"")</f>
        <v/>
      </c>
      <c r="C55" s="161">
        <f>IFERROR(IF('Invullen groen'!H66&gt;0,'Invullen groen'!G66,""),"")</f>
        <v/>
      </c>
      <c r="D55" s="162">
        <f>IFERROR(IF('Invullen groen'!H66&gt;0,'Invullen groen'!H66,""),"")</f>
        <v/>
      </c>
      <c r="E55" s="78" t="n"/>
      <c r="F55" s="161" t="n"/>
      <c r="G55" s="161" t="n"/>
      <c r="H55" s="162" t="n"/>
    </row>
    <row r="56" ht="15" customHeight="1" s="402">
      <c r="A56" s="163">
        <f>IFERROR(IF('Invullen groen'!H67&gt;0,51,""),"")</f>
        <v/>
      </c>
      <c r="B56" s="163">
        <f>IFERROR(IF('Invullen groen'!H67&gt;0,'Invullen groen'!A67,""),"")</f>
        <v/>
      </c>
      <c r="C56" s="163">
        <f>IFERROR(IF('Invullen groen'!H67&gt;0,'Invullen groen'!G67,""),"")</f>
        <v/>
      </c>
      <c r="D56" s="164">
        <f>IFERROR(IF('Invullen groen'!H67&gt;0,'Invullen groen'!H67,""),"")</f>
        <v/>
      </c>
      <c r="E56" s="77" t="n"/>
      <c r="F56" s="163" t="n"/>
      <c r="G56" s="163" t="n"/>
      <c r="H56" s="164" t="n"/>
    </row>
    <row r="57" ht="15" customHeight="1" s="402">
      <c r="A57" s="161">
        <f>IFERROR(IF('Invullen groen'!H68&gt;0,52,""),"")</f>
        <v/>
      </c>
      <c r="B57" s="161">
        <f>IFERROR(IF('Invullen groen'!H68&gt;0,'Invullen groen'!A68,""),"")</f>
        <v/>
      </c>
      <c r="C57" s="161">
        <f>IFERROR(IF('Invullen groen'!H68&gt;0,'Invullen groen'!G68,""),"")</f>
        <v/>
      </c>
      <c r="D57" s="162">
        <f>IFERROR(IF('Invullen groen'!H68&gt;0,'Invullen groen'!H68,""),"")</f>
        <v/>
      </c>
      <c r="E57" s="78" t="n"/>
      <c r="F57" s="161" t="n"/>
      <c r="G57" s="161" t="n"/>
      <c r="H57" s="162" t="n"/>
    </row>
    <row r="58" ht="15" customHeight="1" s="402">
      <c r="A58" s="163">
        <f>IFERROR(IF('Invullen groen'!H69&gt;0,53,""),"")</f>
        <v/>
      </c>
      <c r="B58" s="163">
        <f>IFERROR(IF('Invullen groen'!H69&gt;0,'Invullen groen'!A69,""),"")</f>
        <v/>
      </c>
      <c r="C58" s="163">
        <f>IFERROR(IF('Invullen groen'!H69&gt;0,'Invullen groen'!G69,""),"")</f>
        <v/>
      </c>
      <c r="D58" s="164">
        <f>IFERROR(IF('Invullen groen'!H69&gt;0,'Invullen groen'!H69,""),"")</f>
        <v/>
      </c>
      <c r="E58" s="77" t="n"/>
      <c r="F58" s="163" t="n"/>
      <c r="G58" s="163" t="n"/>
      <c r="H58" s="164" t="n"/>
    </row>
    <row r="59" ht="15" customHeight="1" s="402">
      <c r="A59" s="161">
        <f>IFERROR(IF('Invullen groen'!H70&gt;0,54,""),"")</f>
        <v/>
      </c>
      <c r="B59" s="161">
        <f>IFERROR(IF('Invullen groen'!H70&gt;0,'Invullen groen'!A70,""),"")</f>
        <v/>
      </c>
      <c r="C59" s="161">
        <f>IFERROR(IF('Invullen groen'!H70&gt;0,'Invullen groen'!G70,""),"")</f>
        <v/>
      </c>
      <c r="D59" s="162">
        <f>IFERROR(IF('Invullen groen'!H70&gt;0,'Invullen groen'!H70,""),"")</f>
        <v/>
      </c>
      <c r="E59" s="78" t="n"/>
      <c r="F59" s="161" t="n"/>
      <c r="G59" s="161" t="n"/>
      <c r="H59" s="162" t="n"/>
    </row>
    <row r="60" ht="15" customHeight="1" s="402">
      <c r="A60" s="163">
        <f>IFERROR(IF('Invullen groen'!H71&gt;0,55,""),"")</f>
        <v/>
      </c>
      <c r="B60" s="163">
        <f>IFERROR(IF('Invullen groen'!H71&gt;0,'Invullen groen'!A71,""),"")</f>
        <v/>
      </c>
      <c r="C60" s="163">
        <f>IFERROR(IF('Invullen groen'!H71&gt;0,'Invullen groen'!G71,""),"")</f>
        <v/>
      </c>
      <c r="D60" s="164">
        <f>IFERROR(IF('Invullen groen'!H71&gt;0,'Invullen groen'!H71,""),"")</f>
        <v/>
      </c>
      <c r="E60" s="77" t="n"/>
      <c r="F60" s="163" t="n"/>
      <c r="G60" s="163" t="n"/>
      <c r="H60" s="164" t="n"/>
    </row>
    <row r="61" ht="15" customHeight="1" s="402">
      <c r="A61" s="161">
        <f>IFERROR(IF('Invullen groen'!H72&gt;0,56,""),"")</f>
        <v/>
      </c>
      <c r="B61" s="161">
        <f>IFERROR(IF('Invullen groen'!H72&gt;0,'Invullen groen'!A72,""),"")</f>
        <v/>
      </c>
      <c r="C61" s="161">
        <f>IFERROR(IF('Invullen groen'!H72&gt;0,'Invullen groen'!G72,""),"")</f>
        <v/>
      </c>
      <c r="D61" s="162">
        <f>IFERROR(IF('Invullen groen'!H72&gt;0,'Invullen groen'!H72,""),"")</f>
        <v/>
      </c>
      <c r="E61" s="78" t="n"/>
      <c r="F61" s="161" t="n"/>
      <c r="G61" s="161" t="n"/>
      <c r="H61" s="162" t="n"/>
    </row>
    <row r="62" ht="15" customHeight="1" s="402">
      <c r="A62" s="163">
        <f>IFERROR(IF('Invullen groen'!H73&gt;0,57,""),"")</f>
        <v/>
      </c>
      <c r="B62" s="163">
        <f>IFERROR(IF('Invullen groen'!H73&gt;0,'Invullen groen'!A73,""),"")</f>
        <v/>
      </c>
      <c r="C62" s="163">
        <f>IFERROR(IF('Invullen groen'!H73&gt;0,'Invullen groen'!G73,""),"")</f>
        <v/>
      </c>
      <c r="D62" s="164">
        <f>IFERROR(IF('Invullen groen'!H73&gt;0,'Invullen groen'!H73,""),"")</f>
        <v/>
      </c>
      <c r="E62" s="77" t="n"/>
      <c r="F62" s="163" t="n"/>
      <c r="G62" s="163" t="n"/>
      <c r="H62" s="164" t="n"/>
    </row>
    <row r="63" ht="13.9" customHeight="1" s="402">
      <c r="A63" s="175">
        <f>IFERROR(IF('Invullen groen'!H74&gt;0,58,""),"")</f>
        <v/>
      </c>
      <c r="B63" s="175">
        <f>IFERROR(IF('Invullen groen'!H74&gt;0,'Invullen groen'!A74,""),"")</f>
        <v/>
      </c>
      <c r="C63" s="175">
        <f>IFERROR(IF('Invullen groen'!H74&gt;0,'Invullen groen'!G74,""),"")</f>
        <v/>
      </c>
      <c r="D63" s="176">
        <f>IFERROR(IF('Invullen groen'!H74&gt;0,'Invullen groen'!H74,""),"")</f>
        <v/>
      </c>
      <c r="E63" s="83" t="n"/>
      <c r="F63" s="175" t="n"/>
      <c r="G63" s="175" t="n"/>
      <c r="H63" s="176" t="n"/>
    </row>
    <row r="64" ht="18" customHeight="1" s="402">
      <c r="A64" s="177" t="inlineStr">
        <is>
          <t>Totaal lasten</t>
        </is>
      </c>
      <c r="B64" s="177" t="n"/>
      <c r="C64" s="177" t="n"/>
      <c r="D64" s="178">
        <f>SUM(D6:D63)</f>
        <v/>
      </c>
      <c r="E64" s="81" t="n"/>
      <c r="F64" s="177" t="inlineStr">
        <is>
          <t>Totaal dekking / baten</t>
        </is>
      </c>
      <c r="G64" s="177" t="n"/>
      <c r="H64" s="178">
        <f>SUM(H6:H37)</f>
        <v/>
      </c>
    </row>
    <row r="65" ht="18" customHeight="1" s="402">
      <c r="A65" s="179">
        <f>IF(D64+H64=0,"✓  Budgettair neutraal — saldo = 0","⚠  Niet budgettair neutraal: "&amp;TEXT(D64+H64,"#.##0"))</f>
        <v/>
      </c>
      <c r="B65" s="179" t="n"/>
      <c r="C65" s="179" t="n"/>
      <c r="D65" s="180" t="n"/>
      <c r="E65" s="181" t="n"/>
      <c r="F65" s="179" t="n"/>
      <c r="G65" s="179" t="n"/>
      <c r="H65" s="180" t="n"/>
    </row>
    <row r="66" ht="13.9" customHeight="1" s="402">
      <c r="A66" s="175" t="n"/>
      <c r="B66" s="175" t="n"/>
      <c r="C66" s="175" t="n"/>
      <c r="D66" s="176" t="n"/>
      <c r="E66" s="83" t="n"/>
      <c r="F66" s="175" t="n"/>
      <c r="G66" s="175" t="n"/>
      <c r="H66" s="176" t="n"/>
    </row>
    <row r="67" ht="13.9" customHeight="1" s="402">
      <c r="A67" s="182" t="inlineStr">
        <is>
          <t>Lasten = positieve bedragen sectie A (Uitgaven) | Baten/Dekking = investeringen (sectie B), reserves (sectie C) en voorzieningen (sectie D)</t>
        </is>
      </c>
      <c r="B67" s="175" t="n"/>
      <c r="C67" s="175" t="n"/>
      <c r="D67" s="176" t="n"/>
      <c r="E67" s="83" t="n"/>
      <c r="F67" s="175" t="n"/>
      <c r="G67" s="175" t="n"/>
      <c r="H67" s="176" t="n"/>
    </row>
    <row r="68" ht="13.9" customHeight="1" s="402">
      <c r="A68" s="175" t="n"/>
      <c r="B68" s="175" t="n"/>
      <c r="C68" s="175" t="n"/>
      <c r="D68" s="176" t="n"/>
      <c r="E68" s="83" t="n"/>
      <c r="F68" s="175" t="n"/>
      <c r="G68" s="175" t="n"/>
      <c r="H68" s="176" t="n"/>
    </row>
    <row r="69" ht="13.9" customHeight="1" s="402">
      <c r="A69" s="175" t="n"/>
      <c r="B69" s="175" t="n"/>
      <c r="C69" s="175" t="n"/>
      <c r="D69" s="176" t="n"/>
      <c r="E69" s="83" t="n"/>
      <c r="F69" s="175" t="n"/>
      <c r="G69" s="175" t="n"/>
      <c r="H69" s="176" t="n"/>
    </row>
    <row r="70" ht="13.9" customHeight="1" s="402">
      <c r="A70" s="175" t="n"/>
      <c r="B70" s="175" t="n"/>
      <c r="C70" s="175" t="n"/>
      <c r="D70" s="176" t="n"/>
      <c r="E70" s="83" t="n"/>
      <c r="F70" s="175" t="n"/>
      <c r="G70" s="175" t="n"/>
      <c r="H70" s="176" t="n"/>
    </row>
    <row r="71" ht="13.9" customHeight="1" s="402">
      <c r="A71" s="175" t="n"/>
      <c r="B71" s="175" t="n"/>
      <c r="C71" s="175" t="n"/>
      <c r="D71" s="176" t="n"/>
      <c r="E71" s="83" t="n"/>
      <c r="F71" s="175" t="n"/>
      <c r="G71" s="175" t="n"/>
      <c r="H71" s="176" t="n"/>
    </row>
    <row r="72" ht="13.9" customHeight="1" s="402">
      <c r="A72" s="175" t="n"/>
      <c r="B72" s="175" t="n"/>
      <c r="C72" s="175" t="n"/>
      <c r="D72" s="176" t="n"/>
      <c r="E72" s="83" t="n"/>
      <c r="F72" s="175" t="n"/>
      <c r="G72" s="175" t="n"/>
      <c r="H72" s="176" t="n"/>
    </row>
    <row r="73" ht="13.9" customHeight="1" s="402">
      <c r="A73" s="175" t="n"/>
      <c r="B73" s="175" t="n"/>
      <c r="C73" s="175" t="n"/>
      <c r="D73" s="176" t="n"/>
      <c r="E73" s="83" t="n"/>
      <c r="F73" s="175" t="n"/>
      <c r="G73" s="175" t="n"/>
      <c r="H73" s="176" t="n"/>
    </row>
    <row r="74" ht="13.9" customHeight="1" s="402">
      <c r="A74" s="175" t="n"/>
      <c r="B74" s="175" t="n"/>
      <c r="C74" s="175" t="n"/>
      <c r="D74" s="176" t="n"/>
      <c r="E74" s="83" t="n"/>
      <c r="F74" s="175" t="n"/>
      <c r="G74" s="175" t="n"/>
      <c r="H74" s="176" t="n"/>
    </row>
    <row r="75" ht="13.9" customHeight="1" s="402">
      <c r="A75" s="175" t="n"/>
      <c r="B75" s="175" t="n"/>
      <c r="C75" s="175" t="n"/>
      <c r="D75" s="176" t="n"/>
      <c r="E75" s="83" t="n"/>
      <c r="F75" s="175" t="n"/>
      <c r="G75" s="175" t="n"/>
      <c r="H75" s="176" t="n"/>
    </row>
    <row r="76" ht="13.9" customHeight="1" s="402">
      <c r="A76" s="175" t="n"/>
      <c r="B76" s="175" t="n"/>
      <c r="C76" s="175" t="n"/>
      <c r="D76" s="176" t="n"/>
      <c r="E76" s="83" t="n"/>
      <c r="F76" s="175" t="n"/>
      <c r="G76" s="175" t="n"/>
      <c r="H76" s="176" t="n"/>
    </row>
    <row r="77" ht="13.9" customHeight="1" s="402">
      <c r="A77" s="175" t="n"/>
      <c r="B77" s="175" t="n"/>
      <c r="C77" s="175" t="n"/>
      <c r="D77" s="176" t="n"/>
      <c r="E77" s="83" t="n"/>
      <c r="F77" s="175" t="n"/>
      <c r="G77" s="175" t="n"/>
      <c r="H77" s="176" t="n"/>
    </row>
    <row r="78" ht="13.9" customHeight="1" s="402">
      <c r="A78" s="175" t="n"/>
      <c r="B78" s="175" t="n"/>
      <c r="C78" s="175" t="n"/>
      <c r="D78" s="176" t="n"/>
      <c r="E78" s="83" t="n"/>
      <c r="F78" s="175" t="n"/>
      <c r="G78" s="175" t="n"/>
      <c r="H78" s="176" t="n"/>
    </row>
    <row r="79" ht="13.9" customHeight="1" s="402">
      <c r="A79" s="175" t="n"/>
      <c r="B79" s="175" t="n"/>
      <c r="C79" s="175" t="n"/>
      <c r="D79" s="176" t="n"/>
      <c r="E79" s="83" t="n"/>
      <c r="F79" s="175" t="n"/>
      <c r="G79" s="175" t="n"/>
      <c r="H79" s="176" t="n"/>
    </row>
    <row r="80" ht="13.9" customHeight="1" s="402">
      <c r="A80" s="175" t="n"/>
      <c r="B80" s="175" t="n"/>
      <c r="C80" s="175" t="n"/>
      <c r="D80" s="176" t="n"/>
      <c r="E80" s="83" t="n"/>
      <c r="F80" s="175" t="n"/>
      <c r="G80" s="175" t="n"/>
      <c r="H80" s="176" t="n"/>
    </row>
    <row r="81" ht="13.9" customHeight="1" s="402">
      <c r="A81" s="175" t="n"/>
      <c r="B81" s="175" t="n"/>
      <c r="C81" s="175" t="n"/>
      <c r="D81" s="176" t="n"/>
      <c r="E81" s="83" t="n"/>
      <c r="F81" s="175" t="n"/>
      <c r="G81" s="175" t="n"/>
      <c r="H81" s="176" t="n"/>
    </row>
    <row r="82" ht="13.9" customHeight="1" s="402">
      <c r="A82" s="175" t="n"/>
      <c r="B82" s="175" t="n"/>
      <c r="C82" s="175" t="n"/>
      <c r="D82" s="176" t="n"/>
      <c r="E82" s="83" t="n"/>
      <c r="F82" s="175" t="n"/>
      <c r="G82" s="175" t="n"/>
      <c r="H82" s="176" t="n"/>
    </row>
    <row r="83" ht="13.9" customHeight="1" s="402">
      <c r="A83" s="175" t="n"/>
      <c r="B83" s="175" t="n"/>
      <c r="C83" s="175" t="n"/>
      <c r="D83" s="176" t="n"/>
      <c r="E83" s="83" t="n"/>
      <c r="F83" s="175" t="n"/>
      <c r="G83" s="175" t="n"/>
      <c r="H83" s="176" t="n"/>
    </row>
    <row r="84" ht="13.9" customHeight="1" s="402">
      <c r="A84" s="175" t="n"/>
      <c r="B84" s="175" t="n"/>
      <c r="C84" s="175" t="n"/>
      <c r="D84" s="176" t="n"/>
      <c r="E84" s="83" t="n"/>
      <c r="F84" s="175" t="n"/>
      <c r="G84" s="175" t="n"/>
      <c r="H84" s="176" t="n"/>
    </row>
    <row r="85" ht="13.9" customHeight="1" s="402">
      <c r="A85" s="175" t="n"/>
      <c r="B85" s="175" t="n"/>
      <c r="C85" s="175" t="n"/>
      <c r="D85" s="176" t="n"/>
      <c r="E85" s="83" t="n"/>
      <c r="F85" s="175" t="n"/>
      <c r="G85" s="175" t="n"/>
      <c r="H85" s="176" t="n"/>
    </row>
    <row r="86" ht="13.9" customHeight="1" s="402">
      <c r="A86" s="175" t="n"/>
      <c r="B86" s="175" t="n"/>
      <c r="C86" s="175" t="n"/>
      <c r="D86" s="176" t="n"/>
      <c r="E86" s="83" t="n"/>
      <c r="F86" s="175" t="n"/>
      <c r="G86" s="175" t="n"/>
      <c r="H86" s="176" t="n"/>
    </row>
    <row r="87" ht="13.9" customHeight="1" s="402">
      <c r="A87" s="175" t="n"/>
      <c r="B87" s="175" t="n"/>
      <c r="C87" s="175" t="n"/>
      <c r="D87" s="176" t="n"/>
      <c r="E87" s="83" t="n"/>
      <c r="F87" s="175" t="n"/>
      <c r="G87" s="175" t="n"/>
      <c r="H87" s="176" t="n"/>
    </row>
    <row r="88" ht="13.9" customHeight="1" s="402">
      <c r="A88" s="175" t="n"/>
      <c r="B88" s="175" t="n"/>
      <c r="C88" s="175" t="n"/>
      <c r="D88" s="176" t="n"/>
      <c r="E88" s="83" t="n"/>
      <c r="F88" s="175" t="n"/>
      <c r="G88" s="175" t="n"/>
      <c r="H88" s="176" t="n"/>
    </row>
    <row r="89" ht="13.9" customHeight="1" s="402">
      <c r="A89" s="175" t="n"/>
      <c r="B89" s="175" t="n"/>
      <c r="C89" s="175" t="n"/>
      <c r="D89" s="176" t="n"/>
      <c r="E89" s="83" t="n"/>
      <c r="F89" s="175" t="n"/>
      <c r="G89" s="175" t="n"/>
      <c r="H89" s="176" t="n"/>
    </row>
    <row r="90" ht="13.9" customHeight="1" s="402">
      <c r="A90" s="175" t="n"/>
      <c r="B90" s="175" t="n"/>
      <c r="C90" s="175" t="n"/>
      <c r="D90" s="176" t="n"/>
      <c r="E90" s="83" t="n"/>
      <c r="F90" s="175" t="n"/>
      <c r="G90" s="175" t="n"/>
      <c r="H90" s="176" t="n"/>
    </row>
    <row r="91" ht="13.9" customHeight="1" s="402">
      <c r="A91" s="175" t="n"/>
      <c r="B91" s="175" t="n"/>
      <c r="C91" s="175" t="n"/>
      <c r="D91" s="176" t="n"/>
      <c r="E91" s="83" t="n"/>
      <c r="F91" s="175" t="n"/>
      <c r="G91" s="175" t="n"/>
      <c r="H91" s="176" t="n"/>
    </row>
    <row r="92" ht="13.9" customHeight="1" s="402">
      <c r="A92" s="175" t="n"/>
      <c r="B92" s="175" t="n"/>
      <c r="C92" s="175" t="n"/>
      <c r="D92" s="176" t="n"/>
      <c r="E92" s="83" t="n"/>
      <c r="F92" s="175" t="n"/>
      <c r="G92" s="175" t="n"/>
      <c r="H92" s="176" t="n"/>
    </row>
    <row r="93" ht="13.9" customHeight="1" s="402">
      <c r="A93" s="175" t="n"/>
      <c r="B93" s="175" t="n"/>
      <c r="C93" s="175" t="n"/>
      <c r="D93" s="176" t="n"/>
      <c r="E93" s="83" t="n"/>
      <c r="F93" s="175" t="n"/>
      <c r="G93" s="175" t="n"/>
      <c r="H93" s="176" t="n"/>
    </row>
    <row r="94" ht="13.9" customHeight="1" s="402">
      <c r="A94" s="175" t="n"/>
      <c r="B94" s="175" t="n"/>
      <c r="C94" s="175" t="n"/>
      <c r="D94" s="176" t="n"/>
      <c r="E94" s="83" t="n"/>
      <c r="F94" s="175" t="n"/>
      <c r="G94" s="175" t="n"/>
      <c r="H94" s="176" t="n"/>
    </row>
    <row r="95" ht="13.9" customHeight="1" s="402">
      <c r="A95" s="175" t="n"/>
      <c r="B95" s="175" t="n"/>
      <c r="C95" s="175" t="n"/>
      <c r="D95" s="176" t="n"/>
      <c r="E95" s="83" t="n"/>
      <c r="F95" s="175" t="n"/>
      <c r="G95" s="175" t="n"/>
      <c r="H95" s="176" t="n"/>
    </row>
    <row r="96" ht="13.9" customHeight="1" s="402">
      <c r="A96" s="175" t="n"/>
      <c r="B96" s="175" t="n"/>
      <c r="C96" s="175" t="n"/>
      <c r="D96" s="176" t="n"/>
      <c r="E96" s="83" t="n"/>
      <c r="F96" s="175" t="n"/>
      <c r="G96" s="175" t="n"/>
      <c r="H96" s="176" t="n"/>
    </row>
    <row r="97" ht="13.9" customHeight="1" s="402">
      <c r="A97" s="175" t="n"/>
      <c r="B97" s="175" t="n"/>
      <c r="C97" s="175" t="n"/>
      <c r="D97" s="176" t="n"/>
      <c r="E97" s="83" t="n"/>
      <c r="F97" s="175" t="n"/>
      <c r="G97" s="175" t="n"/>
      <c r="H97" s="176" t="n"/>
    </row>
    <row r="98" ht="13.9" customHeight="1" s="402">
      <c r="A98" s="175" t="n"/>
      <c r="B98" s="175" t="n"/>
      <c r="C98" s="175" t="n"/>
      <c r="D98" s="176" t="n"/>
      <c r="E98" s="83" t="n"/>
      <c r="F98" s="175" t="n"/>
      <c r="G98" s="175" t="n"/>
      <c r="H98" s="176" t="n"/>
    </row>
    <row r="99" ht="13.9" customHeight="1" s="402">
      <c r="A99" s="175" t="n"/>
      <c r="B99" s="175" t="n"/>
      <c r="C99" s="175" t="n"/>
      <c r="D99" s="176" t="n"/>
      <c r="E99" s="83" t="n"/>
      <c r="F99" s="175" t="n"/>
      <c r="G99" s="175" t="n"/>
      <c r="H99" s="176" t="n"/>
    </row>
    <row r="100" ht="13.9" customHeight="1" s="402">
      <c r="A100" s="175" t="n"/>
      <c r="B100" s="175" t="n"/>
      <c r="C100" s="175" t="n"/>
      <c r="D100" s="176" t="n"/>
      <c r="E100" s="83" t="n"/>
      <c r="F100" s="175" t="n"/>
      <c r="G100" s="175" t="n"/>
      <c r="H100" s="176" t="n"/>
    </row>
    <row r="101" ht="13.9" customHeight="1" s="402">
      <c r="A101" s="175" t="n"/>
      <c r="B101" s="175" t="n"/>
      <c r="C101" s="175" t="n"/>
      <c r="D101" s="176" t="n"/>
      <c r="E101" s="83" t="n"/>
      <c r="F101" s="175" t="n"/>
      <c r="G101" s="175" t="n"/>
      <c r="H101" s="176" t="n"/>
    </row>
    <row r="102" ht="13.9" customHeight="1" s="402">
      <c r="A102" s="175" t="n"/>
      <c r="B102" s="175" t="n"/>
      <c r="C102" s="175" t="n"/>
      <c r="D102" s="176" t="n"/>
      <c r="E102" s="83" t="n"/>
      <c r="F102" s="175" t="n"/>
      <c r="G102" s="175" t="n"/>
      <c r="H102" s="176" t="n"/>
    </row>
    <row r="103" ht="13.9" customHeight="1" s="402">
      <c r="A103" s="175" t="n"/>
      <c r="B103" s="175" t="n"/>
      <c r="C103" s="175" t="n"/>
      <c r="D103" s="176" t="n"/>
      <c r="E103" s="83" t="n"/>
      <c r="F103" s="175" t="n"/>
      <c r="G103" s="175" t="n"/>
      <c r="H103" s="176" t="n"/>
    </row>
    <row r="104" ht="13.9" customHeight="1" s="402">
      <c r="A104" s="175" t="n"/>
      <c r="B104" s="175" t="n"/>
      <c r="C104" s="175" t="n"/>
      <c r="D104" s="176" t="n"/>
      <c r="E104" s="83" t="n"/>
      <c r="F104" s="175" t="n"/>
      <c r="G104" s="175" t="n"/>
      <c r="H104" s="176" t="n"/>
    </row>
    <row r="105" ht="13.9" customHeight="1" s="402">
      <c r="A105" s="175" t="n"/>
      <c r="B105" s="175" t="n"/>
      <c r="C105" s="175" t="n"/>
      <c r="D105" s="176" t="n"/>
      <c r="E105" s="83" t="n"/>
      <c r="F105" s="175" t="n"/>
      <c r="G105" s="175" t="n"/>
      <c r="H105" s="176" t="n"/>
    </row>
    <row r="106" ht="13.9" customHeight="1" s="402">
      <c r="A106" s="175" t="n"/>
      <c r="B106" s="175" t="n"/>
      <c r="C106" s="175" t="n"/>
      <c r="D106" s="176" t="n"/>
      <c r="E106" s="83" t="n"/>
      <c r="F106" s="175" t="n"/>
      <c r="G106" s="175" t="n"/>
      <c r="H106" s="176" t="n"/>
    </row>
    <row r="107" ht="13.9" customHeight="1" s="402">
      <c r="A107" s="175" t="n"/>
      <c r="B107" s="175" t="n"/>
      <c r="C107" s="175" t="n"/>
      <c r="D107" s="176" t="n"/>
      <c r="E107" s="83" t="n"/>
      <c r="F107" s="175" t="n"/>
      <c r="G107" s="175" t="n"/>
      <c r="H107" s="176" t="n"/>
    </row>
    <row r="108" ht="13.9" customHeight="1" s="402">
      <c r="A108" s="175" t="n"/>
      <c r="B108" s="175" t="n"/>
      <c r="C108" s="175" t="n"/>
      <c r="D108" s="176" t="n"/>
      <c r="E108" s="83" t="n"/>
      <c r="F108" s="175" t="n"/>
      <c r="G108" s="175" t="n"/>
      <c r="H108" s="176" t="n"/>
    </row>
    <row r="109" ht="13.9" customHeight="1" s="402">
      <c r="A109" s="175" t="n"/>
      <c r="B109" s="175" t="n"/>
      <c r="C109" s="175" t="n"/>
      <c r="D109" s="176" t="n"/>
      <c r="E109" s="83" t="n"/>
      <c r="F109" s="175" t="n"/>
      <c r="G109" s="175" t="n"/>
      <c r="H109" s="176" t="n"/>
    </row>
    <row r="110" ht="13.9" customHeight="1" s="402">
      <c r="A110" s="175" t="n"/>
      <c r="B110" s="175" t="n"/>
      <c r="C110" s="175" t="n"/>
      <c r="D110" s="176" t="n"/>
      <c r="E110" s="83" t="n"/>
      <c r="F110" s="175" t="n"/>
      <c r="G110" s="175" t="n"/>
      <c r="H110" s="176" t="n"/>
    </row>
    <row r="111" ht="13.9" customHeight="1" s="402">
      <c r="A111" s="175" t="n"/>
      <c r="B111" s="175" t="n"/>
      <c r="C111" s="175" t="n"/>
      <c r="D111" s="176" t="n"/>
      <c r="E111" s="83" t="n"/>
      <c r="F111" s="175" t="n"/>
      <c r="G111" s="175" t="n"/>
      <c r="H111" s="176" t="n"/>
    </row>
    <row r="112" ht="13.9" customHeight="1" s="402">
      <c r="A112" s="175" t="n"/>
      <c r="B112" s="175" t="n"/>
      <c r="C112" s="175" t="n"/>
      <c r="D112" s="176" t="n"/>
      <c r="E112" s="83" t="n"/>
      <c r="F112" s="175" t="n"/>
      <c r="G112" s="175" t="n"/>
      <c r="H112" s="176" t="n"/>
    </row>
    <row r="113" ht="13.9" customHeight="1" s="402">
      <c r="A113" s="175" t="n"/>
      <c r="B113" s="175" t="n"/>
      <c r="C113" s="175" t="n"/>
      <c r="D113" s="176" t="n"/>
      <c r="E113" s="83" t="n"/>
      <c r="F113" s="175" t="n"/>
      <c r="G113" s="175" t="n"/>
      <c r="H113" s="176" t="n"/>
    </row>
    <row r="114" ht="13.9" customHeight="1" s="402">
      <c r="A114" s="175" t="n"/>
      <c r="B114" s="175" t="n"/>
      <c r="C114" s="175" t="n"/>
      <c r="D114" s="176" t="n"/>
      <c r="E114" s="83" t="n"/>
      <c r="F114" s="175" t="n"/>
      <c r="G114" s="175" t="n"/>
      <c r="H114" s="176" t="n"/>
    </row>
    <row r="115" ht="13.9" customHeight="1" s="402">
      <c r="A115" s="175" t="n"/>
      <c r="B115" s="175" t="n"/>
      <c r="C115" s="175" t="n"/>
      <c r="D115" s="176" t="n"/>
      <c r="E115" s="83" t="n"/>
      <c r="F115" s="175" t="n"/>
      <c r="G115" s="175" t="n"/>
      <c r="H115" s="176" t="n"/>
    </row>
    <row r="116" ht="13.9" customHeight="1" s="402">
      <c r="A116" s="175" t="n"/>
      <c r="B116" s="175" t="n"/>
      <c r="C116" s="175" t="n"/>
      <c r="D116" s="176" t="n"/>
      <c r="E116" s="83" t="n"/>
      <c r="F116" s="175" t="n"/>
      <c r="G116" s="175" t="n"/>
      <c r="H116" s="176" t="n"/>
    </row>
    <row r="117" ht="13.9" customHeight="1" s="402">
      <c r="A117" s="175" t="n"/>
      <c r="B117" s="175" t="n"/>
      <c r="C117" s="175" t="n"/>
      <c r="D117" s="176" t="n"/>
      <c r="E117" s="83" t="n"/>
      <c r="F117" s="175" t="n"/>
      <c r="G117" s="175" t="n"/>
      <c r="H117" s="176" t="n"/>
    </row>
    <row r="118" ht="13.9" customHeight="1" s="402">
      <c r="A118" s="175" t="n"/>
      <c r="B118" s="175" t="n"/>
      <c r="C118" s="175" t="n"/>
      <c r="D118" s="176" t="n"/>
      <c r="E118" s="83" t="n"/>
      <c r="F118" s="175" t="n"/>
      <c r="G118" s="175" t="n"/>
      <c r="H118" s="176" t="n"/>
    </row>
    <row r="119" ht="13.9" customHeight="1" s="402">
      <c r="A119" s="175" t="n"/>
      <c r="B119" s="175" t="n"/>
      <c r="C119" s="175" t="n"/>
      <c r="D119" s="176" t="n"/>
      <c r="E119" s="83" t="n"/>
      <c r="F119" s="175" t="n"/>
      <c r="G119" s="175" t="n"/>
      <c r="H119" s="176" t="n"/>
    </row>
    <row r="120" ht="13.9" customHeight="1" s="402">
      <c r="A120" s="175" t="n"/>
      <c r="B120" s="175" t="n"/>
      <c r="C120" s="175" t="n"/>
      <c r="D120" s="176" t="n"/>
      <c r="E120" s="83" t="n"/>
      <c r="F120" s="175" t="n"/>
      <c r="G120" s="175" t="n"/>
      <c r="H120" s="176" t="n"/>
    </row>
    <row r="121" ht="13.9" customHeight="1" s="402">
      <c r="A121" s="175" t="n"/>
      <c r="B121" s="175" t="n"/>
      <c r="C121" s="175" t="n"/>
      <c r="D121" s="176" t="n"/>
      <c r="E121" s="83" t="n"/>
      <c r="F121" s="175" t="n"/>
      <c r="G121" s="175" t="n"/>
      <c r="H121" s="176" t="n"/>
    </row>
    <row r="122" ht="13.9" customHeight="1" s="402">
      <c r="A122" s="175" t="n"/>
      <c r="B122" s="175" t="n"/>
      <c r="C122" s="175" t="n"/>
      <c r="D122" s="176" t="n"/>
      <c r="E122" s="83" t="n"/>
      <c r="F122" s="175" t="n"/>
      <c r="G122" s="175" t="n"/>
      <c r="H122" s="176" t="n"/>
    </row>
    <row r="123" ht="13.9" customHeight="1" s="402">
      <c r="A123" s="175" t="n"/>
      <c r="B123" s="175" t="n"/>
      <c r="C123" s="175" t="n"/>
      <c r="D123" s="176" t="n"/>
      <c r="E123" s="83" t="n"/>
      <c r="F123" s="175" t="n"/>
      <c r="G123" s="175" t="n"/>
      <c r="H123" s="176" t="n"/>
    </row>
    <row r="124" ht="13.9" customHeight="1" s="402">
      <c r="A124" s="175" t="n"/>
      <c r="B124" s="175" t="n"/>
      <c r="C124" s="175" t="n"/>
      <c r="D124" s="176" t="n"/>
      <c r="E124" s="83" t="n"/>
      <c r="F124" s="175" t="n"/>
      <c r="G124" s="175" t="n"/>
      <c r="H124" s="176" t="n"/>
    </row>
    <row r="125" ht="13.9" customHeight="1" s="402">
      <c r="A125" s="175" t="n"/>
      <c r="B125" s="175" t="n"/>
      <c r="C125" s="175" t="n"/>
      <c r="D125" s="176" t="n"/>
      <c r="E125" s="83" t="n"/>
      <c r="F125" s="175" t="n"/>
      <c r="G125" s="175" t="n"/>
      <c r="H125" s="176" t="n"/>
    </row>
    <row r="126" ht="13.9" customHeight="1" s="402">
      <c r="A126" s="175" t="n"/>
      <c r="B126" s="175" t="n"/>
      <c r="C126" s="175" t="n"/>
      <c r="D126" s="176" t="n"/>
      <c r="E126" s="83" t="n"/>
      <c r="F126" s="175" t="n"/>
      <c r="G126" s="175" t="n"/>
      <c r="H126" s="176" t="n"/>
    </row>
    <row r="127" ht="13.9" customHeight="1" s="402">
      <c r="A127" s="175" t="n"/>
      <c r="B127" s="175" t="n"/>
      <c r="C127" s="175" t="n"/>
      <c r="D127" s="176" t="n"/>
      <c r="E127" s="83" t="n"/>
      <c r="F127" s="175" t="n"/>
      <c r="G127" s="175" t="n"/>
      <c r="H127" s="176" t="n"/>
    </row>
    <row r="128" ht="13.9" customHeight="1" s="402">
      <c r="A128" s="175" t="n"/>
      <c r="B128" s="175" t="n"/>
      <c r="C128" s="175" t="n"/>
      <c r="D128" s="176" t="n"/>
      <c r="E128" s="83" t="n"/>
      <c r="F128" s="175" t="n"/>
      <c r="G128" s="175" t="n"/>
      <c r="H128" s="176" t="n"/>
    </row>
    <row r="129" ht="13.9" customHeight="1" s="402">
      <c r="A129" s="175" t="n"/>
      <c r="B129" s="175" t="n"/>
      <c r="C129" s="175" t="n"/>
      <c r="D129" s="176" t="n"/>
      <c r="E129" s="83" t="n"/>
      <c r="F129" s="175" t="n"/>
      <c r="G129" s="175" t="n"/>
      <c r="H129" s="176" t="n"/>
    </row>
    <row r="130" ht="13.9" customHeight="1" s="402">
      <c r="A130" s="175" t="n"/>
      <c r="B130" s="175" t="n"/>
      <c r="C130" s="175" t="n"/>
      <c r="D130" s="176" t="n"/>
      <c r="E130" s="83" t="n"/>
      <c r="F130" s="175" t="n"/>
      <c r="G130" s="175" t="n"/>
      <c r="H130" s="176" t="n"/>
    </row>
    <row r="131" ht="13.9" customHeight="1" s="402">
      <c r="A131" s="175" t="n"/>
      <c r="B131" s="175" t="n"/>
      <c r="C131" s="175" t="n"/>
      <c r="D131" s="176" t="n"/>
      <c r="E131" s="83" t="n"/>
      <c r="F131" s="175" t="n"/>
      <c r="G131" s="175" t="n"/>
      <c r="H131" s="176" t="n"/>
    </row>
    <row r="132" ht="13.9" customHeight="1" s="402">
      <c r="A132" s="175" t="n"/>
      <c r="B132" s="175" t="n"/>
      <c r="C132" s="175" t="n"/>
      <c r="D132" s="176" t="n"/>
      <c r="E132" s="83" t="n"/>
      <c r="F132" s="175" t="n"/>
      <c r="G132" s="175" t="n"/>
      <c r="H132" s="176" t="n"/>
    </row>
    <row r="133" ht="13.9" customHeight="1" s="402">
      <c r="A133" s="175" t="n"/>
      <c r="B133" s="175" t="n"/>
      <c r="C133" s="175" t="n"/>
      <c r="D133" s="176" t="n"/>
      <c r="E133" s="83" t="n"/>
      <c r="F133" s="175" t="n"/>
      <c r="G133" s="175" t="n"/>
      <c r="H133" s="176" t="n"/>
    </row>
    <row r="134" ht="13.9" customHeight="1" s="402">
      <c r="A134" s="175" t="n"/>
      <c r="B134" s="175" t="n"/>
      <c r="C134" s="175" t="n"/>
      <c r="D134" s="176" t="n"/>
      <c r="E134" s="83" t="n"/>
      <c r="F134" s="175" t="n"/>
      <c r="G134" s="175" t="n"/>
      <c r="H134" s="176" t="n"/>
    </row>
    <row r="135" ht="13.9" customHeight="1" s="402">
      <c r="A135" s="175" t="n"/>
      <c r="B135" s="175" t="n"/>
      <c r="C135" s="175" t="n"/>
      <c r="D135" s="176" t="n"/>
      <c r="E135" s="83" t="n"/>
      <c r="F135" s="175" t="n"/>
      <c r="G135" s="175" t="n"/>
      <c r="H135" s="176" t="n"/>
    </row>
    <row r="136" ht="13.9" customHeight="1" s="402">
      <c r="A136" s="175" t="n"/>
      <c r="B136" s="175" t="n"/>
      <c r="C136" s="175" t="n"/>
      <c r="D136" s="176" t="n"/>
      <c r="E136" s="83" t="n"/>
      <c r="F136" s="175" t="n"/>
      <c r="G136" s="175" t="n"/>
      <c r="H136" s="176" t="n"/>
    </row>
    <row r="137" ht="13.9" customHeight="1" s="402">
      <c r="A137" s="175" t="n"/>
      <c r="B137" s="175" t="n"/>
      <c r="C137" s="175" t="n"/>
      <c r="D137" s="176" t="n"/>
      <c r="E137" s="83" t="n"/>
      <c r="F137" s="175" t="n"/>
      <c r="G137" s="175" t="n"/>
      <c r="H137" s="176" t="n"/>
    </row>
    <row r="138" ht="13.9" customHeight="1" s="402">
      <c r="A138" s="175" t="n"/>
      <c r="B138" s="175" t="n"/>
      <c r="C138" s="175" t="n"/>
      <c r="D138" s="176" t="n"/>
      <c r="E138" s="83" t="n"/>
      <c r="F138" s="175" t="n"/>
      <c r="G138" s="175" t="n"/>
      <c r="H138" s="176" t="n"/>
    </row>
    <row r="139" ht="13.9" customHeight="1" s="402">
      <c r="A139" s="175" t="n"/>
      <c r="B139" s="175" t="n"/>
      <c r="C139" s="175" t="n"/>
      <c r="D139" s="176" t="n"/>
      <c r="E139" s="83" t="n"/>
      <c r="F139" s="175" t="n"/>
      <c r="G139" s="175" t="n"/>
      <c r="H139" s="176" t="n"/>
    </row>
    <row r="140" ht="13.9" customHeight="1" s="402">
      <c r="A140" s="175" t="n"/>
      <c r="B140" s="175" t="n"/>
      <c r="C140" s="175" t="n"/>
      <c r="D140" s="176" t="n"/>
      <c r="E140" s="83" t="n"/>
      <c r="F140" s="175" t="n"/>
      <c r="G140" s="175" t="n"/>
      <c r="H140" s="176" t="n"/>
    </row>
    <row r="141" ht="13.9" customHeight="1" s="402">
      <c r="A141" s="175" t="n"/>
      <c r="B141" s="175" t="n"/>
      <c r="C141" s="175" t="n"/>
      <c r="D141" s="176" t="n"/>
      <c r="E141" s="83" t="n"/>
      <c r="F141" s="175" t="n"/>
      <c r="G141" s="175" t="n"/>
      <c r="H141" s="176" t="n"/>
    </row>
    <row r="142" ht="13.9" customHeight="1" s="402">
      <c r="A142" s="175" t="n"/>
      <c r="B142" s="175" t="n"/>
      <c r="C142" s="175" t="n"/>
      <c r="D142" s="176" t="n"/>
      <c r="E142" s="83" t="n"/>
      <c r="F142" s="175" t="n"/>
      <c r="G142" s="175" t="n"/>
      <c r="H142" s="176" t="n"/>
    </row>
    <row r="143" ht="13.9" customHeight="1" s="402">
      <c r="A143" s="175" t="n"/>
      <c r="B143" s="175" t="n"/>
      <c r="C143" s="175" t="n"/>
      <c r="D143" s="176" t="n"/>
      <c r="E143" s="83" t="n"/>
      <c r="F143" s="175" t="n"/>
      <c r="G143" s="175" t="n"/>
      <c r="H143" s="176" t="n"/>
    </row>
    <row r="144" ht="13.9" customHeight="1" s="402">
      <c r="A144" s="175" t="n"/>
      <c r="B144" s="175" t="n"/>
      <c r="C144" s="175" t="n"/>
      <c r="D144" s="176" t="n"/>
      <c r="E144" s="83" t="n"/>
      <c r="F144" s="175" t="n"/>
      <c r="G144" s="175" t="n"/>
      <c r="H144" s="176" t="n"/>
    </row>
    <row r="145" ht="13.9" customHeight="1" s="402">
      <c r="A145" s="175" t="n"/>
      <c r="B145" s="175" t="n"/>
      <c r="C145" s="175" t="n"/>
      <c r="D145" s="176" t="n"/>
      <c r="E145" s="83" t="n"/>
      <c r="F145" s="175" t="n"/>
      <c r="G145" s="175" t="n"/>
      <c r="H145" s="176" t="n"/>
    </row>
    <row r="146" ht="13.9" customHeight="1" s="402">
      <c r="A146" s="175" t="n"/>
      <c r="B146" s="175" t="n"/>
      <c r="C146" s="175" t="n"/>
      <c r="D146" s="176" t="n"/>
      <c r="E146" s="83" t="n"/>
      <c r="F146" s="175" t="n"/>
      <c r="G146" s="175" t="n"/>
      <c r="H146" s="176" t="n"/>
    </row>
    <row r="147" ht="13.9" customHeight="1" s="402">
      <c r="A147" s="175" t="n"/>
      <c r="B147" s="175" t="n"/>
      <c r="C147" s="175" t="n"/>
      <c r="D147" s="176" t="n"/>
      <c r="E147" s="83" t="n"/>
      <c r="F147" s="175" t="n"/>
      <c r="G147" s="175" t="n"/>
      <c r="H147" s="176" t="n"/>
    </row>
    <row r="148" ht="13.9" customHeight="1" s="402">
      <c r="A148" s="175" t="n"/>
      <c r="B148" s="175" t="n"/>
      <c r="C148" s="175" t="n"/>
      <c r="D148" s="176" t="n"/>
      <c r="E148" s="83" t="n"/>
      <c r="F148" s="175" t="n"/>
      <c r="G148" s="175" t="n"/>
      <c r="H148" s="176" t="n"/>
    </row>
    <row r="149" ht="13.9" customHeight="1" s="402">
      <c r="A149" s="175" t="n"/>
      <c r="B149" s="175" t="n"/>
      <c r="C149" s="175" t="n"/>
      <c r="D149" s="176" t="n"/>
      <c r="E149" s="83" t="n"/>
      <c r="F149" s="175" t="n"/>
      <c r="G149" s="175" t="n"/>
      <c r="H149" s="176" t="n"/>
    </row>
    <row r="150" ht="13.9" customHeight="1" s="402">
      <c r="A150" s="175" t="n"/>
      <c r="B150" s="175" t="n"/>
      <c r="C150" s="175" t="n"/>
      <c r="D150" s="176" t="n"/>
      <c r="E150" s="83" t="n"/>
      <c r="F150" s="175" t="n"/>
      <c r="G150" s="175" t="n"/>
      <c r="H150" s="176" t="n"/>
    </row>
    <row r="151" ht="13.9" customHeight="1" s="402">
      <c r="A151" s="175" t="n"/>
      <c r="B151" s="175" t="n"/>
      <c r="C151" s="175" t="n"/>
      <c r="D151" s="176" t="n"/>
      <c r="E151" s="83" t="n"/>
      <c r="F151" s="175" t="n"/>
      <c r="G151" s="175" t="n"/>
      <c r="H151" s="176" t="n"/>
    </row>
    <row r="152" ht="13.9" customHeight="1" s="402">
      <c r="A152" s="175" t="n"/>
      <c r="B152" s="175" t="n"/>
      <c r="C152" s="175" t="n"/>
      <c r="D152" s="176" t="n"/>
      <c r="E152" s="83" t="n"/>
      <c r="F152" s="175" t="n"/>
      <c r="G152" s="175" t="n"/>
      <c r="H152" s="176" t="n"/>
    </row>
    <row r="153" ht="13.9" customHeight="1" s="402">
      <c r="A153" s="175" t="n"/>
      <c r="B153" s="175" t="n"/>
      <c r="C153" s="175" t="n"/>
      <c r="D153" s="176" t="n"/>
      <c r="E153" s="83" t="n"/>
      <c r="F153" s="175" t="n"/>
      <c r="G153" s="175" t="n"/>
      <c r="H153" s="176" t="n"/>
    </row>
    <row r="154" ht="13.9" customHeight="1" s="402">
      <c r="A154" s="175" t="n"/>
      <c r="B154" s="175" t="n"/>
      <c r="C154" s="175" t="n"/>
      <c r="D154" s="176" t="n"/>
      <c r="E154" s="83" t="n"/>
      <c r="F154" s="175" t="n"/>
      <c r="G154" s="175" t="n"/>
      <c r="H154" s="176" t="n"/>
    </row>
    <row r="155" ht="13.9" customHeight="1" s="402">
      <c r="A155" s="175" t="n"/>
      <c r="B155" s="175" t="n"/>
      <c r="C155" s="175" t="n"/>
      <c r="D155" s="176" t="n"/>
      <c r="E155" s="83" t="n"/>
      <c r="F155" s="175" t="n"/>
      <c r="G155" s="175" t="n"/>
      <c r="H155" s="176" t="n"/>
    </row>
    <row r="156" ht="13.9" customHeight="1" s="402">
      <c r="A156" s="175" t="n"/>
      <c r="B156" s="175" t="n"/>
      <c r="C156" s="175" t="n"/>
      <c r="D156" s="176" t="n"/>
      <c r="E156" s="83" t="n"/>
      <c r="F156" s="175" t="n"/>
      <c r="G156" s="175" t="n"/>
      <c r="H156" s="176" t="n"/>
    </row>
    <row r="157" ht="13.9" customHeight="1" s="402">
      <c r="A157" s="175" t="n"/>
      <c r="B157" s="175" t="n"/>
      <c r="C157" s="175" t="n"/>
      <c r="D157" s="176" t="n"/>
      <c r="E157" s="83" t="n"/>
      <c r="F157" s="175" t="n"/>
      <c r="G157" s="175" t="n"/>
      <c r="H157" s="176" t="n"/>
    </row>
    <row r="158" ht="13.9" customHeight="1" s="402">
      <c r="A158" s="175" t="n"/>
      <c r="B158" s="175" t="n"/>
      <c r="C158" s="175" t="n"/>
      <c r="D158" s="176" t="n"/>
      <c r="E158" s="83" t="n"/>
      <c r="F158" s="175" t="n"/>
      <c r="G158" s="175" t="n"/>
      <c r="H158" s="176" t="n"/>
    </row>
    <row r="159" ht="13.9" customHeight="1" s="402">
      <c r="A159" s="175" t="n"/>
      <c r="B159" s="175" t="n"/>
      <c r="C159" s="175" t="n"/>
      <c r="D159" s="176" t="n"/>
      <c r="E159" s="83" t="n"/>
      <c r="F159" s="175" t="n"/>
      <c r="G159" s="175" t="n"/>
      <c r="H159" s="176" t="n"/>
    </row>
    <row r="160" ht="13.9" customHeight="1" s="402">
      <c r="A160" s="175" t="n"/>
      <c r="B160" s="175" t="n"/>
      <c r="C160" s="175" t="n"/>
      <c r="D160" s="176" t="n"/>
      <c r="E160" s="83" t="n"/>
      <c r="F160" s="175" t="n"/>
      <c r="G160" s="175" t="n"/>
      <c r="H160" s="176" t="n"/>
    </row>
    <row r="161" ht="13.9" customHeight="1" s="402">
      <c r="A161" s="175" t="n"/>
      <c r="B161" s="175" t="n"/>
      <c r="C161" s="175" t="n"/>
      <c r="D161" s="176" t="n"/>
      <c r="E161" s="83" t="n"/>
      <c r="F161" s="175" t="n"/>
      <c r="G161" s="175" t="n"/>
      <c r="H161" s="176" t="n"/>
    </row>
    <row r="162" ht="13.9" customHeight="1" s="402">
      <c r="A162" s="175" t="n"/>
      <c r="B162" s="175" t="n"/>
      <c r="C162" s="175" t="n"/>
      <c r="D162" s="176" t="n"/>
      <c r="E162" s="83" t="n"/>
      <c r="F162" s="175" t="n"/>
      <c r="G162" s="175" t="n"/>
      <c r="H162" s="176" t="n"/>
    </row>
    <row r="163" ht="13.9" customHeight="1" s="402">
      <c r="A163" s="175" t="n"/>
      <c r="B163" s="175" t="n"/>
      <c r="C163" s="175" t="n"/>
      <c r="D163" s="176" t="n"/>
      <c r="E163" s="83" t="n"/>
      <c r="F163" s="175" t="n"/>
      <c r="G163" s="175" t="n"/>
      <c r="H163" s="176" t="n"/>
    </row>
    <row r="164" ht="13.9" customHeight="1" s="402">
      <c r="A164" s="175" t="n"/>
      <c r="B164" s="175" t="n"/>
      <c r="C164" s="175" t="n"/>
      <c r="D164" s="176" t="n"/>
      <c r="E164" s="83" t="n"/>
      <c r="F164" s="175" t="n"/>
      <c r="G164" s="175" t="n"/>
      <c r="H164" s="176" t="n"/>
    </row>
    <row r="165" ht="13.9" customHeight="1" s="402">
      <c r="A165" s="175" t="n"/>
      <c r="B165" s="175" t="n"/>
      <c r="C165" s="175" t="n"/>
      <c r="D165" s="176" t="n"/>
      <c r="E165" s="83" t="n"/>
      <c r="F165" s="175" t="n"/>
      <c r="G165" s="175" t="n"/>
      <c r="H165" s="176" t="n"/>
    </row>
    <row r="166" ht="13.9" customHeight="1" s="402">
      <c r="A166" s="175" t="n"/>
      <c r="B166" s="175" t="n"/>
      <c r="C166" s="175" t="n"/>
      <c r="D166" s="176" t="n"/>
      <c r="E166" s="83" t="n"/>
      <c r="F166" s="175" t="n"/>
      <c r="G166" s="175" t="n"/>
      <c r="H166" s="176" t="n"/>
    </row>
    <row r="167" ht="13.9" customHeight="1" s="402">
      <c r="A167" s="175" t="n"/>
      <c r="B167" s="175" t="n"/>
      <c r="C167" s="175" t="n"/>
      <c r="D167" s="176" t="n"/>
      <c r="E167" s="83" t="n"/>
      <c r="F167" s="175" t="n"/>
      <c r="G167" s="175" t="n"/>
      <c r="H167" s="176" t="n"/>
    </row>
    <row r="168" ht="13.9" customHeight="1" s="402">
      <c r="A168" s="175" t="n"/>
      <c r="B168" s="175" t="n"/>
      <c r="C168" s="175" t="n"/>
      <c r="D168" s="176" t="n"/>
      <c r="E168" s="83" t="n"/>
      <c r="F168" s="175" t="n"/>
      <c r="G168" s="175" t="n"/>
      <c r="H168" s="176" t="n"/>
    </row>
    <row r="169" ht="13.9" customHeight="1" s="402">
      <c r="A169" s="175" t="n"/>
      <c r="B169" s="175" t="n"/>
      <c r="C169" s="175" t="n"/>
      <c r="D169" s="176" t="n"/>
      <c r="E169" s="83" t="n"/>
      <c r="F169" s="175" t="n"/>
      <c r="G169" s="175" t="n"/>
      <c r="H169" s="176" t="n"/>
    </row>
    <row r="170" ht="13.9" customHeight="1" s="402">
      <c r="A170" s="175" t="n"/>
      <c r="B170" s="175" t="n"/>
      <c r="C170" s="175" t="n"/>
      <c r="D170" s="176" t="n"/>
      <c r="E170" s="83" t="n"/>
      <c r="F170" s="175" t="n"/>
      <c r="G170" s="175" t="n"/>
      <c r="H170" s="176" t="n"/>
    </row>
    <row r="171" ht="13.9" customHeight="1" s="402">
      <c r="A171" s="175" t="n"/>
      <c r="B171" s="175" t="n"/>
      <c r="C171" s="175" t="n"/>
      <c r="D171" s="176" t="n"/>
      <c r="E171" s="83" t="n"/>
      <c r="F171" s="175" t="n"/>
      <c r="G171" s="175" t="n"/>
      <c r="H171" s="176" t="n"/>
    </row>
    <row r="172" ht="13.9" customHeight="1" s="402">
      <c r="A172" s="175" t="n"/>
      <c r="B172" s="175" t="n"/>
      <c r="C172" s="175" t="n"/>
      <c r="D172" s="176" t="n"/>
      <c r="E172" s="83" t="n"/>
      <c r="F172" s="175" t="n"/>
      <c r="G172" s="175" t="n"/>
      <c r="H172" s="176" t="n"/>
    </row>
    <row r="173" ht="13.9" customHeight="1" s="402">
      <c r="A173" s="175" t="n"/>
      <c r="B173" s="175" t="n"/>
      <c r="C173" s="175" t="n"/>
      <c r="D173" s="176" t="n"/>
      <c r="E173" s="83" t="n"/>
      <c r="F173" s="175" t="n"/>
      <c r="G173" s="175" t="n"/>
      <c r="H173" s="176" t="n"/>
    </row>
    <row r="174" ht="13.9" customHeight="1" s="402">
      <c r="A174" s="175" t="n"/>
      <c r="B174" s="175" t="n"/>
      <c r="C174" s="175" t="n"/>
      <c r="D174" s="176" t="n"/>
      <c r="E174" s="83" t="n"/>
      <c r="F174" s="175" t="n"/>
      <c r="G174" s="175" t="n"/>
      <c r="H174" s="176" t="n"/>
    </row>
    <row r="175" ht="13.9" customHeight="1" s="402">
      <c r="A175" s="175" t="n"/>
      <c r="B175" s="175" t="n"/>
      <c r="C175" s="175" t="n"/>
      <c r="D175" s="176" t="n"/>
      <c r="E175" s="83" t="n"/>
      <c r="F175" s="175" t="n"/>
      <c r="G175" s="175" t="n"/>
      <c r="H175" s="176" t="n"/>
    </row>
    <row r="176" ht="13.9" customHeight="1" s="402">
      <c r="A176" s="175" t="n"/>
      <c r="B176" s="175" t="n"/>
      <c r="C176" s="175" t="n"/>
      <c r="D176" s="176" t="n"/>
      <c r="E176" s="83" t="n"/>
      <c r="F176" s="175" t="n"/>
      <c r="G176" s="175" t="n"/>
      <c r="H176" s="176" t="n"/>
    </row>
    <row r="177" ht="13.9" customHeight="1" s="402">
      <c r="A177" s="175" t="n"/>
      <c r="B177" s="175" t="n"/>
      <c r="C177" s="175" t="n"/>
      <c r="D177" s="176" t="n"/>
      <c r="E177" s="83" t="n"/>
      <c r="F177" s="175" t="n"/>
      <c r="G177" s="175" t="n"/>
      <c r="H177" s="176" t="n"/>
    </row>
    <row r="178" ht="13.9" customHeight="1" s="402">
      <c r="A178" s="175" t="n"/>
      <c r="B178" s="175" t="n"/>
      <c r="C178" s="175" t="n"/>
      <c r="D178" s="176" t="n"/>
      <c r="E178" s="83" t="n"/>
      <c r="F178" s="175" t="n"/>
      <c r="G178" s="175" t="n"/>
      <c r="H178" s="176" t="n"/>
    </row>
    <row r="179" ht="13.9" customHeight="1" s="402">
      <c r="A179" s="175" t="n"/>
      <c r="B179" s="175" t="n"/>
      <c r="C179" s="175" t="n"/>
      <c r="D179" s="176" t="n"/>
      <c r="E179" s="83" t="n"/>
      <c r="F179" s="175" t="n"/>
      <c r="G179" s="175" t="n"/>
      <c r="H179" s="176" t="n"/>
    </row>
    <row r="180" ht="13.9" customHeight="1" s="402">
      <c r="A180" s="175" t="n"/>
      <c r="B180" s="175" t="n"/>
      <c r="C180" s="175" t="n"/>
      <c r="D180" s="176" t="n"/>
      <c r="E180" s="83" t="n"/>
      <c r="F180" s="175" t="n"/>
      <c r="G180" s="175" t="n"/>
      <c r="H180" s="176" t="n"/>
    </row>
    <row r="181" ht="13.9" customHeight="1" s="402">
      <c r="A181" s="175" t="n"/>
      <c r="B181" s="175" t="n"/>
      <c r="C181" s="175" t="n"/>
      <c r="D181" s="176" t="n"/>
      <c r="E181" s="83" t="n"/>
      <c r="F181" s="175" t="n"/>
      <c r="G181" s="175" t="n"/>
      <c r="H181" s="176" t="n"/>
    </row>
    <row r="182" ht="13.9" customHeight="1" s="402">
      <c r="A182" s="175" t="n"/>
      <c r="B182" s="175" t="n"/>
      <c r="C182" s="175" t="n"/>
      <c r="D182" s="176" t="n"/>
      <c r="E182" s="83" t="n"/>
      <c r="F182" s="175" t="n"/>
      <c r="G182" s="175" t="n"/>
      <c r="H182" s="176" t="n"/>
    </row>
    <row r="183" ht="13.9" customHeight="1" s="402">
      <c r="A183" s="175" t="n"/>
      <c r="B183" s="175" t="n"/>
      <c r="C183" s="175" t="n"/>
      <c r="D183" s="176" t="n"/>
      <c r="E183" s="83" t="n"/>
      <c r="F183" s="175" t="n"/>
      <c r="G183" s="175" t="n"/>
      <c r="H183" s="176" t="n"/>
    </row>
    <row r="184" ht="13.9" customHeight="1" s="402">
      <c r="A184" s="175" t="n"/>
      <c r="B184" s="175" t="n"/>
      <c r="C184" s="175" t="n"/>
      <c r="D184" s="176" t="n"/>
      <c r="E184" s="83" t="n"/>
      <c r="F184" s="175" t="n"/>
      <c r="G184" s="175" t="n"/>
      <c r="H184" s="176" t="n"/>
    </row>
    <row r="185" ht="13.9" customHeight="1" s="402">
      <c r="A185" s="175" t="n"/>
      <c r="B185" s="175" t="n"/>
      <c r="C185" s="175" t="n"/>
      <c r="D185" s="176" t="n"/>
      <c r="E185" s="83" t="n"/>
      <c r="F185" s="175" t="n"/>
      <c r="G185" s="175" t="n"/>
      <c r="H185" s="176" t="n"/>
    </row>
    <row r="186" ht="13.9" customHeight="1" s="402">
      <c r="A186" s="175" t="n"/>
      <c r="B186" s="175" t="n"/>
      <c r="C186" s="175" t="n"/>
      <c r="D186" s="176" t="n"/>
      <c r="E186" s="83" t="n"/>
      <c r="F186" s="175" t="n"/>
      <c r="G186" s="175" t="n"/>
      <c r="H186" s="176" t="n"/>
    </row>
    <row r="187" ht="13.9" customHeight="1" s="402">
      <c r="A187" s="175" t="n"/>
      <c r="B187" s="175" t="n"/>
      <c r="C187" s="175" t="n"/>
      <c r="D187" s="176" t="n"/>
      <c r="E187" s="83" t="n"/>
      <c r="F187" s="175" t="n"/>
      <c r="G187" s="175" t="n"/>
      <c r="H187" s="176" t="n"/>
    </row>
    <row r="188" ht="13.9" customHeight="1" s="402">
      <c r="A188" s="175" t="n"/>
      <c r="B188" s="175" t="n"/>
      <c r="C188" s="175" t="n"/>
      <c r="D188" s="176" t="n"/>
      <c r="E188" s="83" t="n"/>
      <c r="F188" s="175" t="n"/>
      <c r="G188" s="175" t="n"/>
      <c r="H188" s="176" t="n"/>
    </row>
    <row r="189" ht="13.9" customHeight="1" s="402">
      <c r="A189" s="175" t="n"/>
      <c r="B189" s="175" t="n"/>
      <c r="C189" s="175" t="n"/>
      <c r="D189" s="176" t="n"/>
      <c r="E189" s="83" t="n"/>
      <c r="F189" s="175" t="n"/>
      <c r="G189" s="175" t="n"/>
      <c r="H189" s="176" t="n"/>
    </row>
    <row r="190" ht="13.9" customHeight="1" s="402">
      <c r="A190" s="175" t="n"/>
      <c r="B190" s="175" t="n"/>
      <c r="C190" s="175" t="n"/>
      <c r="D190" s="176" t="n"/>
      <c r="E190" s="83" t="n"/>
      <c r="F190" s="175" t="n"/>
      <c r="G190" s="175" t="n"/>
      <c r="H190" s="176" t="n"/>
    </row>
    <row r="191" ht="13.9" customHeight="1" s="402">
      <c r="A191" s="175" t="n"/>
      <c r="B191" s="175" t="n"/>
      <c r="C191" s="175" t="n"/>
      <c r="D191" s="176" t="n"/>
      <c r="E191" s="83" t="n"/>
      <c r="F191" s="175" t="n"/>
      <c r="G191" s="175" t="n"/>
      <c r="H191" s="176" t="n"/>
    </row>
    <row r="192" ht="13.9" customHeight="1" s="402">
      <c r="A192" s="175" t="n"/>
      <c r="B192" s="175" t="n"/>
      <c r="C192" s="175" t="n"/>
      <c r="D192" s="176" t="n"/>
      <c r="E192" s="83" t="n"/>
      <c r="F192" s="175" t="n"/>
      <c r="G192" s="175" t="n"/>
      <c r="H192" s="176" t="n"/>
    </row>
    <row r="193" ht="13.9" customHeight="1" s="402">
      <c r="A193" s="175" t="n"/>
      <c r="B193" s="175" t="n"/>
      <c r="C193" s="175" t="n"/>
      <c r="D193" s="176" t="n"/>
      <c r="E193" s="83" t="n"/>
      <c r="F193" s="175" t="n"/>
      <c r="G193" s="175" t="n"/>
      <c r="H193" s="176" t="n"/>
    </row>
    <row r="194" ht="13.9" customHeight="1" s="402">
      <c r="A194" s="175" t="n"/>
      <c r="B194" s="175" t="n"/>
      <c r="C194" s="175" t="n"/>
      <c r="D194" s="176" t="n"/>
      <c r="E194" s="83" t="n"/>
      <c r="F194" s="175" t="n"/>
      <c r="G194" s="175" t="n"/>
      <c r="H194" s="176" t="n"/>
    </row>
    <row r="195" ht="13.9" customHeight="1" s="402">
      <c r="A195" s="175" t="n"/>
      <c r="B195" s="175" t="n"/>
      <c r="C195" s="175" t="n"/>
      <c r="D195" s="176" t="n"/>
      <c r="E195" s="83" t="n"/>
      <c r="F195" s="175" t="n"/>
      <c r="G195" s="175" t="n"/>
      <c r="H195" s="176" t="n"/>
    </row>
    <row r="196" ht="13.9" customHeight="1" s="402">
      <c r="A196" s="175" t="n"/>
      <c r="B196" s="175" t="n"/>
      <c r="C196" s="175" t="n"/>
      <c r="D196" s="176" t="n"/>
      <c r="E196" s="83" t="n"/>
      <c r="F196" s="175" t="n"/>
      <c r="G196" s="175" t="n"/>
      <c r="H196" s="176" t="n"/>
    </row>
    <row r="197" ht="13.9" customHeight="1" s="402">
      <c r="A197" s="175" t="n"/>
      <c r="B197" s="175" t="n"/>
      <c r="C197" s="175" t="n"/>
      <c r="D197" s="176" t="n"/>
      <c r="E197" s="83" t="n"/>
      <c r="F197" s="175" t="n"/>
      <c r="G197" s="175" t="n"/>
      <c r="H197" s="176" t="n"/>
    </row>
    <row r="198" ht="13.9" customHeight="1" s="402">
      <c r="A198" s="175" t="n"/>
      <c r="B198" s="175" t="n"/>
      <c r="C198" s="175" t="n"/>
      <c r="D198" s="176" t="n"/>
      <c r="E198" s="83" t="n"/>
      <c r="F198" s="175" t="n"/>
      <c r="G198" s="175" t="n"/>
      <c r="H198" s="176" t="n"/>
    </row>
    <row r="199" ht="13.9" customHeight="1" s="402">
      <c r="A199" s="175" t="n"/>
      <c r="B199" s="175" t="n"/>
      <c r="C199" s="175" t="n"/>
      <c r="D199" s="176" t="n"/>
      <c r="E199" s="83" t="n"/>
      <c r="F199" s="175" t="n"/>
      <c r="G199" s="175" t="n"/>
      <c r="H199" s="176" t="n"/>
    </row>
    <row r="200" ht="13.9" customHeight="1" s="402">
      <c r="A200" s="175" t="n"/>
      <c r="B200" s="175" t="n"/>
      <c r="C200" s="175" t="n"/>
      <c r="D200" s="176" t="n"/>
      <c r="E200" s="83" t="n"/>
      <c r="F200" s="175" t="n"/>
      <c r="G200" s="175" t="n"/>
      <c r="H200" s="176" t="n"/>
    </row>
    <row r="201" ht="13.9" customHeight="1" s="402">
      <c r="A201" s="175" t="n"/>
      <c r="B201" s="175" t="n"/>
      <c r="C201" s="175" t="n"/>
      <c r="D201" s="176" t="n"/>
      <c r="E201" s="83" t="n"/>
      <c r="F201" s="175" t="n"/>
      <c r="G201" s="175" t="n"/>
      <c r="H201" s="176" t="n"/>
    </row>
    <row r="202" ht="13.9" customHeight="1" s="402">
      <c r="A202" s="175" t="n"/>
      <c r="B202" s="175" t="n"/>
      <c r="C202" s="175" t="n"/>
      <c r="D202" s="176" t="n"/>
      <c r="E202" s="83" t="n"/>
      <c r="F202" s="175" t="n"/>
      <c r="G202" s="175" t="n"/>
      <c r="H202" s="176" t="n"/>
    </row>
    <row r="203" ht="13.9" customHeight="1" s="402">
      <c r="A203" s="175" t="n"/>
      <c r="B203" s="175" t="n"/>
      <c r="C203" s="175" t="n"/>
      <c r="D203" s="176" t="n"/>
      <c r="E203" s="83" t="n"/>
      <c r="F203" s="175" t="n"/>
      <c r="G203" s="175" t="n"/>
      <c r="H203" s="176" t="n"/>
    </row>
    <row r="204" ht="13.9" customHeight="1" s="402">
      <c r="A204" s="175" t="n"/>
      <c r="B204" s="175" t="n"/>
      <c r="C204" s="175" t="n"/>
      <c r="D204" s="176" t="n"/>
      <c r="E204" s="83" t="n"/>
      <c r="F204" s="175" t="n"/>
      <c r="G204" s="175" t="n"/>
      <c r="H204" s="176" t="n"/>
    </row>
    <row r="205" ht="13.9" customHeight="1" s="402">
      <c r="A205" s="175" t="n"/>
      <c r="B205" s="175" t="n"/>
      <c r="C205" s="175" t="n"/>
      <c r="D205" s="176" t="n"/>
      <c r="E205" s="83" t="n"/>
      <c r="F205" s="175" t="n"/>
      <c r="G205" s="175" t="n"/>
      <c r="H205" s="176" t="n"/>
    </row>
    <row r="206" ht="13.9" customHeight="1" s="402">
      <c r="A206" s="175" t="n"/>
      <c r="B206" s="175" t="n"/>
      <c r="C206" s="175" t="n"/>
      <c r="D206" s="176" t="n"/>
      <c r="E206" s="83" t="n"/>
      <c r="F206" s="175" t="n"/>
      <c r="G206" s="175" t="n"/>
      <c r="H206" s="176" t="n"/>
    </row>
    <row r="207" ht="13.9" customHeight="1" s="402">
      <c r="A207" s="175" t="n"/>
      <c r="B207" s="175" t="n"/>
      <c r="C207" s="175" t="n"/>
      <c r="D207" s="176" t="n"/>
      <c r="E207" s="83" t="n"/>
      <c r="F207" s="175" t="n"/>
      <c r="G207" s="175" t="n"/>
      <c r="H207" s="176" t="n"/>
    </row>
    <row r="208" ht="13.9" customHeight="1" s="402">
      <c r="A208" s="175" t="n"/>
      <c r="B208" s="175" t="n"/>
      <c r="C208" s="175" t="n"/>
      <c r="D208" s="176" t="n"/>
      <c r="E208" s="83" t="n"/>
      <c r="F208" s="175" t="n"/>
      <c r="G208" s="175" t="n"/>
      <c r="H208" s="176" t="n"/>
    </row>
    <row r="209" ht="13.9" customHeight="1" s="402">
      <c r="A209" s="175" t="n"/>
      <c r="B209" s="175" t="n"/>
      <c r="C209" s="175" t="n"/>
      <c r="D209" s="176" t="n"/>
      <c r="E209" s="83" t="n"/>
      <c r="F209" s="175" t="n"/>
      <c r="G209" s="175" t="n"/>
      <c r="H209" s="176" t="n"/>
    </row>
    <row r="210" ht="13.9" customHeight="1" s="402">
      <c r="A210" s="175" t="n"/>
      <c r="B210" s="175" t="n"/>
      <c r="C210" s="175" t="n"/>
      <c r="D210" s="176" t="n"/>
      <c r="E210" s="83" t="n"/>
      <c r="F210" s="175" t="n"/>
      <c r="G210" s="175" t="n"/>
      <c r="H210" s="176" t="n"/>
    </row>
    <row r="211" ht="13.9" customHeight="1" s="402">
      <c r="A211" s="175" t="n"/>
      <c r="B211" s="175" t="n"/>
      <c r="C211" s="175" t="n"/>
      <c r="D211" s="176" t="n"/>
      <c r="E211" s="83" t="n"/>
      <c r="F211" s="175" t="n"/>
      <c r="G211" s="175" t="n"/>
      <c r="H211" s="176" t="n"/>
    </row>
    <row r="212" ht="13.9" customHeight="1" s="402">
      <c r="A212" s="175" t="n"/>
      <c r="B212" s="175" t="n"/>
      <c r="C212" s="175" t="n"/>
      <c r="D212" s="176" t="n"/>
      <c r="E212" s="83" t="n"/>
      <c r="F212" s="175" t="n"/>
      <c r="G212" s="175" t="n"/>
      <c r="H212" s="176" t="n"/>
    </row>
    <row r="213" ht="13.9" customHeight="1" s="402">
      <c r="A213" s="175" t="n"/>
      <c r="B213" s="175" t="n"/>
      <c r="C213" s="175" t="n"/>
      <c r="D213" s="176" t="n"/>
      <c r="E213" s="83" t="n"/>
      <c r="F213" s="175" t="n"/>
      <c r="G213" s="175" t="n"/>
      <c r="H213" s="176" t="n"/>
    </row>
    <row r="214" ht="13.9" customHeight="1" s="402">
      <c r="A214" s="175" t="n"/>
      <c r="B214" s="175" t="n"/>
      <c r="C214" s="175" t="n"/>
      <c r="D214" s="176" t="n"/>
      <c r="E214" s="83" t="n"/>
      <c r="F214" s="175" t="n"/>
      <c r="G214" s="175" t="n"/>
      <c r="H214" s="176" t="n"/>
    </row>
    <row r="215" ht="13.9" customHeight="1" s="402">
      <c r="A215" s="175" t="n"/>
      <c r="B215" s="175" t="n"/>
      <c r="C215" s="175" t="n"/>
      <c r="D215" s="176" t="n"/>
      <c r="E215" s="83" t="n"/>
      <c r="F215" s="175" t="n"/>
      <c r="G215" s="175" t="n"/>
      <c r="H215" s="176" t="n"/>
    </row>
    <row r="216" ht="13.9" customHeight="1" s="402">
      <c r="A216" s="175" t="n"/>
      <c r="B216" s="175" t="n"/>
      <c r="C216" s="175" t="n"/>
      <c r="D216" s="176" t="n"/>
      <c r="E216" s="83" t="n"/>
      <c r="F216" s="175" t="n"/>
      <c r="G216" s="175" t="n"/>
      <c r="H216" s="176" t="n"/>
    </row>
    <row r="217" ht="13.9" customHeight="1" s="402">
      <c r="A217" s="175" t="n"/>
      <c r="B217" s="175" t="n"/>
      <c r="C217" s="175" t="n"/>
      <c r="D217" s="176" t="n"/>
      <c r="E217" s="83" t="n"/>
      <c r="F217" s="175" t="n"/>
      <c r="G217" s="175" t="n"/>
      <c r="H217" s="176" t="n"/>
    </row>
    <row r="218" ht="13.9" customHeight="1" s="402">
      <c r="A218" s="175" t="n"/>
      <c r="B218" s="175" t="n"/>
      <c r="C218" s="175" t="n"/>
      <c r="D218" s="176" t="n"/>
      <c r="E218" s="83" t="n"/>
      <c r="F218" s="175" t="n"/>
      <c r="G218" s="175" t="n"/>
      <c r="H218" s="176" t="n"/>
    </row>
    <row r="219" ht="13.9" customHeight="1" s="402">
      <c r="A219" s="175" t="n"/>
      <c r="B219" s="175" t="n"/>
      <c r="C219" s="175" t="n"/>
      <c r="D219" s="176" t="n"/>
      <c r="E219" s="83" t="n"/>
      <c r="F219" s="175" t="n"/>
      <c r="G219" s="175" t="n"/>
      <c r="H219" s="176" t="n"/>
    </row>
    <row r="220" ht="13.9" customHeight="1" s="402">
      <c r="A220" s="175" t="n"/>
      <c r="B220" s="175" t="n"/>
      <c r="C220" s="175" t="n"/>
      <c r="D220" s="176" t="n"/>
      <c r="E220" s="83" t="n"/>
      <c r="F220" s="175" t="n"/>
      <c r="G220" s="175" t="n"/>
      <c r="H220" s="176" t="n"/>
    </row>
    <row r="221" ht="13.9" customHeight="1" s="402">
      <c r="A221" s="175" t="n"/>
      <c r="B221" s="175" t="n"/>
      <c r="C221" s="175" t="n"/>
      <c r="D221" s="176" t="n"/>
      <c r="E221" s="83" t="n"/>
      <c r="F221" s="175" t="n"/>
      <c r="G221" s="175" t="n"/>
      <c r="H221" s="176" t="n"/>
    </row>
    <row r="222" ht="13.9" customHeight="1" s="402">
      <c r="A222" s="175" t="n"/>
      <c r="B222" s="175" t="n"/>
      <c r="C222" s="175" t="n"/>
      <c r="D222" s="176" t="n"/>
      <c r="E222" s="83" t="n"/>
      <c r="F222" s="175" t="n"/>
      <c r="G222" s="175" t="n"/>
      <c r="H222" s="176" t="n"/>
    </row>
    <row r="223" ht="13.9" customHeight="1" s="402">
      <c r="A223" s="175" t="n"/>
      <c r="B223" s="175" t="n"/>
      <c r="C223" s="175" t="n"/>
      <c r="D223" s="176" t="n"/>
      <c r="E223" s="83" t="n"/>
      <c r="F223" s="175" t="n"/>
      <c r="G223" s="175" t="n"/>
      <c r="H223" s="176" t="n"/>
    </row>
    <row r="224" ht="13.9" customHeight="1" s="402">
      <c r="A224" s="175" t="n"/>
      <c r="B224" s="175" t="n"/>
      <c r="C224" s="175" t="n"/>
      <c r="D224" s="176" t="n"/>
      <c r="E224" s="83" t="n"/>
      <c r="F224" s="175" t="n"/>
      <c r="G224" s="175" t="n"/>
      <c r="H224" s="176" t="n"/>
    </row>
    <row r="225" ht="13.9" customHeight="1" s="402">
      <c r="A225" s="175" t="n"/>
      <c r="B225" s="175" t="n"/>
      <c r="C225" s="175" t="n"/>
      <c r="D225" s="176" t="n"/>
      <c r="E225" s="83" t="n"/>
      <c r="F225" s="175" t="n"/>
      <c r="G225" s="175" t="n"/>
      <c r="H225" s="176" t="n"/>
    </row>
    <row r="226" ht="13.9" customHeight="1" s="402">
      <c r="A226" s="175" t="n"/>
      <c r="B226" s="175" t="n"/>
      <c r="C226" s="175" t="n"/>
      <c r="D226" s="176" t="n"/>
      <c r="E226" s="83" t="n"/>
      <c r="F226" s="175" t="n"/>
      <c r="G226" s="175" t="n"/>
      <c r="H226" s="176" t="n"/>
    </row>
    <row r="227" ht="13.9" customHeight="1" s="402">
      <c r="A227" s="175" t="n"/>
      <c r="B227" s="175" t="n"/>
      <c r="C227" s="175" t="n"/>
      <c r="D227" s="176" t="n"/>
      <c r="E227" s="83" t="n"/>
      <c r="F227" s="175" t="n"/>
      <c r="G227" s="175" t="n"/>
      <c r="H227" s="176" t="n"/>
    </row>
    <row r="228" ht="13.9" customHeight="1" s="402">
      <c r="A228" s="175" t="n"/>
      <c r="B228" s="175" t="n"/>
      <c r="C228" s="175" t="n"/>
      <c r="D228" s="176" t="n"/>
      <c r="E228" s="83" t="n"/>
      <c r="F228" s="175" t="n"/>
      <c r="G228" s="175" t="n"/>
      <c r="H228" s="176" t="n"/>
    </row>
    <row r="229" ht="13.9" customHeight="1" s="402">
      <c r="A229" s="175" t="n"/>
      <c r="B229" s="175" t="n"/>
      <c r="C229" s="175" t="n"/>
      <c r="D229" s="176" t="n"/>
      <c r="E229" s="83" t="n"/>
      <c r="F229" s="175" t="n"/>
      <c r="G229" s="175" t="n"/>
      <c r="H229" s="176" t="n"/>
    </row>
    <row r="230">
      <c r="A230" s="83" t="n"/>
      <c r="B230" s="83" t="n"/>
      <c r="C230" s="83" t="n"/>
      <c r="D230" s="183" t="n"/>
      <c r="E230" s="83" t="n"/>
      <c r="F230" s="83" t="n"/>
      <c r="G230" s="83" t="n"/>
      <c r="H230" s="183" t="n"/>
    </row>
    <row r="231" ht="15" customHeight="1" s="402">
      <c r="A231" s="40" t="n"/>
      <c r="B231" s="83" t="n"/>
      <c r="C231" s="83" t="n"/>
      <c r="D231" s="184" t="n"/>
      <c r="E231" s="83" t="n"/>
      <c r="F231" s="41" t="n"/>
      <c r="G231" s="83" t="n"/>
      <c r="H231" s="185" t="n"/>
    </row>
    <row r="232">
      <c r="A232" s="83" t="n"/>
      <c r="B232" s="83" t="n"/>
      <c r="C232" s="83" t="n"/>
      <c r="D232" s="183" t="n"/>
      <c r="E232" s="83" t="n"/>
      <c r="F232" s="83" t="n"/>
      <c r="G232" s="83" t="n"/>
      <c r="H232" s="183" t="n"/>
    </row>
    <row r="233" ht="19.9" customHeight="1" s="402">
      <c r="A233" s="186" t="n"/>
      <c r="B233" s="83" t="n"/>
      <c r="C233" s="83" t="n"/>
      <c r="D233" s="83" t="n"/>
      <c r="E233" s="83" t="n"/>
      <c r="F233" s="83" t="n"/>
      <c r="G233" s="83" t="n"/>
      <c r="H233" s="183" t="n"/>
    </row>
    <row r="234">
      <c r="A234" s="83" t="n"/>
      <c r="B234" s="83" t="n"/>
      <c r="C234" s="83" t="n"/>
      <c r="D234" s="183" t="n"/>
      <c r="E234" s="83" t="n"/>
      <c r="F234" s="83" t="n"/>
      <c r="G234" s="83" t="n"/>
      <c r="H234" s="183" t="n"/>
    </row>
    <row r="235">
      <c r="A235" s="187" t="n"/>
      <c r="B235" s="83" t="n"/>
      <c r="C235" s="83" t="n"/>
      <c r="D235" s="83" t="n"/>
      <c r="E235" s="83" t="n"/>
      <c r="F235" s="83" t="n"/>
      <c r="G235" s="83" t="n"/>
      <c r="H235" s="83" t="n"/>
    </row>
  </sheetData>
  <mergeCells count="4">
    <mergeCell ref="F4:H4"/>
    <mergeCell ref="A4:D4"/>
    <mergeCell ref="A2:D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Blad4">
    <outlinePr summaryBelow="1" summaryRight="1"/>
    <pageSetUpPr/>
  </sheetPr>
  <dimension ref="A1:O695"/>
  <sheetViews>
    <sheetView topLeftCell="A282" workbookViewId="0">
      <selection activeCell="H324" sqref="H324"/>
    </sheetView>
  </sheetViews>
  <sheetFormatPr baseColWidth="8" defaultColWidth="9.140625" defaultRowHeight="12.75"/>
  <cols>
    <col width="7.85546875" bestFit="1" customWidth="1" style="35" min="1" max="1"/>
    <col width="35.5703125" customWidth="1" style="35" min="2" max="2"/>
    <col width="7.5703125" customWidth="1" style="36" min="3" max="3"/>
    <col width="36.140625" customWidth="1" style="36" min="4" max="4"/>
    <col width="9.140625" customWidth="1" style="35" min="5" max="5"/>
    <col width="30.7109375" customWidth="1" style="35" min="6" max="6"/>
    <col width="25.140625" customWidth="1" style="35" min="7" max="7"/>
    <col width="9.140625" customWidth="1" style="2" min="8" max="8"/>
    <col width="60.42578125" bestFit="1" customWidth="1" style="1" min="9" max="9"/>
    <col hidden="1" width="13" customWidth="1" style="2" min="10" max="10"/>
    <col hidden="1" width="8.7109375" customWidth="1" style="1" min="11" max="11"/>
    <col width="8.7109375" customWidth="1" style="1" min="12" max="12"/>
    <col width="9.140625" customWidth="1" style="1" min="13" max="15"/>
    <col width="9.140625" customWidth="1" style="1" min="16" max="16384"/>
  </cols>
  <sheetData>
    <row r="1" customFormat="1" s="29">
      <c r="A1" s="188" t="inlineStr">
        <is>
          <t>Grootb</t>
        </is>
      </c>
      <c r="B1" s="188" t="inlineStr">
        <is>
          <t>Omschrijving grootboeknummer</t>
        </is>
      </c>
      <c r="C1" s="189" t="inlineStr">
        <is>
          <t>htv</t>
        </is>
      </c>
      <c r="D1" s="189" t="inlineStr">
        <is>
          <t>omschrijving programma</t>
        </is>
      </c>
      <c r="E1" s="188" t="inlineStr">
        <is>
          <t>taakveld</t>
        </is>
      </c>
      <c r="F1" s="188" t="inlineStr">
        <is>
          <t>omschrijving taakveld</t>
        </is>
      </c>
      <c r="G1" s="188" t="n"/>
      <c r="H1" s="190" t="inlineStr">
        <is>
          <t>Cat</t>
        </is>
      </c>
      <c r="I1" s="191" t="inlineStr">
        <is>
          <t>Omschr categorie</t>
        </is>
      </c>
      <c r="J1" s="191" t="inlineStr">
        <is>
          <t>Hulptabel kolom D</t>
        </is>
      </c>
      <c r="K1" s="188" t="n"/>
      <c r="L1" s="124" t="n"/>
      <c r="M1" s="124" t="n"/>
      <c r="N1" s="124" t="n"/>
    </row>
    <row r="2" ht="15" customHeight="1" s="402">
      <c r="A2" s="192" t="n">
        <v>601001</v>
      </c>
      <c r="B2" s="192" t="inlineStr">
        <is>
          <t>kosten raad</t>
        </is>
      </c>
      <c r="C2" s="124" t="n"/>
      <c r="D2" s="8" t="inlineStr">
        <is>
          <t>bestuur en ondersteuning</t>
        </is>
      </c>
      <c r="E2" s="113" t="inlineStr">
        <is>
          <t>T01</t>
        </is>
      </c>
      <c r="F2" s="124" t="inlineStr">
        <is>
          <t>bestuur</t>
        </is>
      </c>
      <c r="G2" s="192" t="n"/>
      <c r="H2" s="193" t="n">
        <v>41100</v>
      </c>
      <c r="I2" s="87" t="inlineStr">
        <is>
          <t>salarissen</t>
        </is>
      </c>
      <c r="J2" s="194" t="n">
        <v>0</v>
      </c>
      <c r="K2" s="195" t="inlineStr">
        <is>
          <t>bestuur en ondersteuning</t>
        </is>
      </c>
      <c r="L2" s="196" t="n"/>
      <c r="M2" s="124" t="n"/>
      <c r="N2" s="124" t="n"/>
    </row>
    <row r="3" ht="15" customHeight="1" s="402">
      <c r="A3" s="192" t="n">
        <v>601002</v>
      </c>
      <c r="B3" s="192" t="inlineStr">
        <is>
          <t>werkbudget griffie</t>
        </is>
      </c>
      <c r="C3" s="124" t="n"/>
      <c r="D3" s="8" t="inlineStr">
        <is>
          <t>bestuur en ondersteuning</t>
        </is>
      </c>
      <c r="E3" s="113" t="inlineStr">
        <is>
          <t>T01</t>
        </is>
      </c>
      <c r="F3" s="124" t="inlineStr">
        <is>
          <t>bestuur</t>
        </is>
      </c>
      <c r="G3" s="192" t="n"/>
      <c r="H3" s="193" t="n">
        <v>41101</v>
      </c>
      <c r="I3" s="87" t="inlineStr">
        <is>
          <t>uitkeringen voormalig personeel</t>
        </is>
      </c>
      <c r="J3" s="194" t="n">
        <v>1</v>
      </c>
      <c r="K3" s="195" t="inlineStr">
        <is>
          <t>veiligheid</t>
        </is>
      </c>
      <c r="L3" s="196" t="n"/>
      <c r="M3" s="124" t="n"/>
      <c r="N3" s="124" t="n"/>
    </row>
    <row r="4" ht="15" customHeight="1" s="402">
      <c r="A4" s="192" t="n">
        <v>601003</v>
      </c>
      <c r="B4" s="192" t="inlineStr">
        <is>
          <t>rekenkamerfunctie</t>
        </is>
      </c>
      <c r="C4" s="124" t="n"/>
      <c r="D4" s="8" t="inlineStr">
        <is>
          <t>bestuur en ondersteuning</t>
        </is>
      </c>
      <c r="E4" s="113" t="inlineStr">
        <is>
          <t>T01</t>
        </is>
      </c>
      <c r="F4" s="124" t="inlineStr">
        <is>
          <t>bestuur</t>
        </is>
      </c>
      <c r="G4" s="192" t="n"/>
      <c r="H4" s="193" t="n">
        <v>41102</v>
      </c>
      <c r="I4" s="87" t="inlineStr">
        <is>
          <t>sociale verzekeringswetten</t>
        </is>
      </c>
      <c r="J4" s="194" t="n">
        <v>2</v>
      </c>
      <c r="K4" s="195" t="inlineStr">
        <is>
          <t>verkeer, vervoer en waterstaat</t>
        </is>
      </c>
      <c r="L4" s="196" t="n"/>
      <c r="M4" s="124" t="n"/>
      <c r="N4" s="124" t="n"/>
    </row>
    <row r="5" ht="15" customHeight="1" s="402">
      <c r="A5" s="192" t="n">
        <v>601004</v>
      </c>
      <c r="B5" s="192" t="inlineStr">
        <is>
          <t>gemeentefinanciën</t>
        </is>
      </c>
      <c r="C5" s="124" t="n"/>
      <c r="D5" s="8" t="inlineStr">
        <is>
          <t>bestuur en ondersteuning</t>
        </is>
      </c>
      <c r="E5" s="113" t="inlineStr">
        <is>
          <t>T01</t>
        </is>
      </c>
      <c r="F5" s="124" t="inlineStr">
        <is>
          <t>bestuur</t>
        </is>
      </c>
      <c r="G5" s="192" t="n"/>
      <c r="H5" s="193" t="n">
        <v>41103</v>
      </c>
      <c r="I5" s="87" t="inlineStr">
        <is>
          <t>sociale lasten voorgaande jaren</t>
        </is>
      </c>
      <c r="J5" s="194" t="n">
        <v>3</v>
      </c>
      <c r="K5" s="195" t="inlineStr">
        <is>
          <t>economie</t>
        </is>
      </c>
      <c r="L5" s="196" t="n"/>
      <c r="M5" s="124" t="n"/>
      <c r="N5" s="124" t="n"/>
    </row>
    <row r="6" ht="15" customHeight="1" s="402">
      <c r="A6" s="192" t="n">
        <v>601005</v>
      </c>
      <c r="B6" s="192" t="inlineStr">
        <is>
          <t>jeugdraad</t>
        </is>
      </c>
      <c r="C6" s="124" t="n"/>
      <c r="D6" s="8" t="inlineStr">
        <is>
          <t>bestuur en ondersteuning</t>
        </is>
      </c>
      <c r="E6" s="113" t="inlineStr">
        <is>
          <t>T01</t>
        </is>
      </c>
      <c r="F6" s="124" t="inlineStr">
        <is>
          <t>bestuur</t>
        </is>
      </c>
      <c r="G6" s="192" t="n"/>
      <c r="H6" s="193" t="n">
        <v>41104</v>
      </c>
      <c r="I6" s="87" t="inlineStr">
        <is>
          <t>vergoedingen stagiares</t>
        </is>
      </c>
      <c r="J6" s="194" t="n">
        <v>4</v>
      </c>
      <c r="K6" s="195" t="inlineStr">
        <is>
          <t>onderwijs</t>
        </is>
      </c>
      <c r="L6" s="196" t="n"/>
      <c r="M6" s="124" t="n"/>
      <c r="N6" s="124" t="n"/>
    </row>
    <row r="7" ht="15" customHeight="1" s="402">
      <c r="A7" s="192" t="n">
        <v>601006</v>
      </c>
      <c r="B7" s="192" t="inlineStr">
        <is>
          <t>burgemeester</t>
        </is>
      </c>
      <c r="C7" s="124" t="n"/>
      <c r="D7" s="8" t="inlineStr">
        <is>
          <t>bestuur en ondersteuning</t>
        </is>
      </c>
      <c r="E7" s="113" t="inlineStr">
        <is>
          <t>T01</t>
        </is>
      </c>
      <c r="F7" s="124" t="inlineStr">
        <is>
          <t>bestuur</t>
        </is>
      </c>
      <c r="G7" s="192" t="n"/>
      <c r="H7" s="193" t="n">
        <v>41105</v>
      </c>
      <c r="I7" s="87" t="inlineStr">
        <is>
          <t>corona salarissen</t>
        </is>
      </c>
      <c r="J7" s="194" t="n">
        <v>5</v>
      </c>
      <c r="K7" s="195" t="inlineStr">
        <is>
          <t>sport, cultuur en recreatie</t>
        </is>
      </c>
      <c r="L7" s="196" t="n"/>
      <c r="M7" s="124" t="n"/>
      <c r="N7" s="124" t="n"/>
    </row>
    <row r="8" ht="15" customHeight="1" s="402">
      <c r="A8" s="192" t="n">
        <v>601007</v>
      </c>
      <c r="B8" s="192" t="inlineStr">
        <is>
          <t>kosten voormalig b&amp;w</t>
        </is>
      </c>
      <c r="C8" s="124" t="n"/>
      <c r="D8" s="8" t="inlineStr">
        <is>
          <t>bestuur en ondersteuning</t>
        </is>
      </c>
      <c r="E8" s="113" t="inlineStr">
        <is>
          <t>T01</t>
        </is>
      </c>
      <c r="F8" s="124" t="inlineStr">
        <is>
          <t>bestuur</t>
        </is>
      </c>
      <c r="G8" s="192" t="n"/>
      <c r="H8" s="193" t="n">
        <v>42100</v>
      </c>
      <c r="I8" s="87" t="inlineStr">
        <is>
          <t>belastingen en heffingen</t>
        </is>
      </c>
      <c r="J8" s="194" t="n">
        <v>6</v>
      </c>
      <c r="K8" s="195" t="inlineStr">
        <is>
          <t>sociaal domein</t>
        </is>
      </c>
      <c r="L8" s="196" t="n"/>
      <c r="M8" s="124" t="n"/>
      <c r="N8" s="124" t="n"/>
    </row>
    <row r="9" ht="15" customHeight="1" s="402">
      <c r="A9" s="192" t="n">
        <v>601008</v>
      </c>
      <c r="B9" s="192" t="inlineStr">
        <is>
          <t>college van b&amp;w</t>
        </is>
      </c>
      <c r="C9" s="124" t="n"/>
      <c r="D9" s="8" t="inlineStr">
        <is>
          <t>bestuur en ondersteuning</t>
        </is>
      </c>
      <c r="E9" s="113" t="inlineStr">
        <is>
          <t>T01</t>
        </is>
      </c>
      <c r="F9" s="124" t="inlineStr">
        <is>
          <t>bestuur</t>
        </is>
      </c>
      <c r="G9" s="192" t="n"/>
      <c r="H9" s="193" t="n">
        <v>43100</v>
      </c>
      <c r="I9" s="87" t="inlineStr">
        <is>
          <t>grondaankopen</t>
        </is>
      </c>
      <c r="J9" s="194" t="n">
        <v>7</v>
      </c>
      <c r="K9" s="195" t="inlineStr">
        <is>
          <t>volksgezondheid en milieu</t>
        </is>
      </c>
      <c r="L9" s="196" t="n"/>
      <c r="M9" s="124" t="n"/>
      <c r="N9" s="124" t="n"/>
    </row>
    <row r="10" ht="15" customHeight="1" s="402">
      <c r="A10" s="192" t="n">
        <v>601009</v>
      </c>
      <c r="B10" s="192" t="inlineStr">
        <is>
          <t>sociaal-cultureel fonds</t>
        </is>
      </c>
      <c r="C10" s="124" t="n"/>
      <c r="D10" s="8" t="inlineStr">
        <is>
          <t>bestuur en ondersteuning</t>
        </is>
      </c>
      <c r="E10" s="113" t="inlineStr">
        <is>
          <t>T01</t>
        </is>
      </c>
      <c r="F10" s="124" t="inlineStr">
        <is>
          <t>bestuur</t>
        </is>
      </c>
      <c r="G10" s="192" t="n"/>
      <c r="H10" s="193" t="n">
        <v>43200</v>
      </c>
      <c r="I10" s="87" t="inlineStr">
        <is>
          <t>uitbestede investeringen</t>
        </is>
      </c>
      <c r="J10" s="194" t="n">
        <v>8</v>
      </c>
      <c r="K10" s="195" t="inlineStr">
        <is>
          <t>volkshuisv., ro en stedelijke vernieuwing</t>
        </is>
      </c>
      <c r="L10" s="196" t="n"/>
      <c r="M10" s="124" t="n"/>
      <c r="N10" s="124" t="n"/>
    </row>
    <row r="11" ht="15" customHeight="1" s="402">
      <c r="A11" s="192" t="n">
        <v>601010</v>
      </c>
      <c r="B11" s="192" t="inlineStr">
        <is>
          <t>kosten representatie</t>
        </is>
      </c>
      <c r="C11" s="124" t="n"/>
      <c r="D11" s="8" t="inlineStr">
        <is>
          <t>bestuur en ondersteuning</t>
        </is>
      </c>
      <c r="E11" s="113" t="inlineStr">
        <is>
          <t>T01</t>
        </is>
      </c>
      <c r="F11" s="124" t="inlineStr">
        <is>
          <t>bestuur</t>
        </is>
      </c>
      <c r="G11" s="192" t="n"/>
      <c r="H11" s="193" t="n">
        <v>43201</v>
      </c>
      <c r="I11" s="87" t="inlineStr">
        <is>
          <t>duurzame roerende goederen</t>
        </is>
      </c>
      <c r="J11" s="194" t="n"/>
      <c r="K11" s="195" t="n"/>
      <c r="L11" s="196" t="n"/>
      <c r="M11" s="124" t="n"/>
      <c r="N11" s="124" t="n"/>
    </row>
    <row r="12" ht="15" customHeight="1" s="402">
      <c r="A12" s="192" t="n">
        <v>601011</v>
      </c>
      <c r="B12" s="192" t="inlineStr">
        <is>
          <t>broodjes, bloemen ed</t>
        </is>
      </c>
      <c r="C12" s="124" t="n"/>
      <c r="D12" s="8" t="inlineStr">
        <is>
          <t>bestuur en ondersteuning</t>
        </is>
      </c>
      <c r="E12" s="113" t="inlineStr">
        <is>
          <t>T01</t>
        </is>
      </c>
      <c r="F12" s="124" t="inlineStr">
        <is>
          <t>bestuur</t>
        </is>
      </c>
      <c r="G12" s="192" t="n"/>
      <c r="H12" s="193" t="n">
        <v>43299</v>
      </c>
      <c r="I12" s="87" t="inlineStr">
        <is>
          <t>overboeking uitbestede investeringen</t>
        </is>
      </c>
      <c r="J12" s="194" t="n"/>
      <c r="K12" s="195" t="n"/>
      <c r="L12" s="196" t="n"/>
      <c r="M12" s="124" t="n"/>
      <c r="N12" s="124" t="n"/>
    </row>
    <row r="13" ht="15" customHeight="1" s="402">
      <c r="A13" s="192" t="n">
        <v>601012</v>
      </c>
      <c r="B13" s="192" t="inlineStr">
        <is>
          <t>metropoolregio eindhoven</t>
        </is>
      </c>
      <c r="C13" s="124" t="n"/>
      <c r="D13" s="8" t="inlineStr">
        <is>
          <t>bestuur en ondersteuning</t>
        </is>
      </c>
      <c r="E13" s="113" t="inlineStr">
        <is>
          <t>T01</t>
        </is>
      </c>
      <c r="F13" s="124" t="inlineStr">
        <is>
          <t>bestuur</t>
        </is>
      </c>
      <c r="G13" s="192" t="n"/>
      <c r="H13" s="193" t="n">
        <v>43301</v>
      </c>
      <c r="I13" s="87" t="inlineStr">
        <is>
          <t>pachten erfpacht ed</t>
        </is>
      </c>
      <c r="J13" s="194" t="n"/>
      <c r="K13" s="195" t="n"/>
      <c r="L13" s="196" t="n"/>
      <c r="M13" s="124" t="n"/>
      <c r="N13" s="124" t="n"/>
    </row>
    <row r="14" ht="15" customHeight="1" s="402">
      <c r="A14" s="192" t="n">
        <v>601013</v>
      </c>
      <c r="B14" s="192" t="inlineStr">
        <is>
          <t>stimuleringsfonds</t>
        </is>
      </c>
      <c r="C14" s="124" t="n"/>
      <c r="D14" s="8" t="inlineStr">
        <is>
          <t>bestuur en ondersteuning</t>
        </is>
      </c>
      <c r="E14" s="113" t="inlineStr">
        <is>
          <t>T01</t>
        </is>
      </c>
      <c r="F14" s="124" t="inlineStr">
        <is>
          <t>bestuur</t>
        </is>
      </c>
      <c r="G14" s="192" t="n"/>
      <c r="H14" s="193" t="n">
        <v>43410</v>
      </c>
      <c r="I14" s="197" t="inlineStr">
        <is>
          <t>sociale verstrekkingen in natura</t>
        </is>
      </c>
      <c r="J14" s="194" t="n"/>
      <c r="K14" s="195" t="n"/>
      <c r="L14" s="196" t="n"/>
      <c r="M14" s="124" t="n"/>
      <c r="N14" s="124" t="n"/>
    </row>
    <row r="15">
      <c r="A15" s="192" t="n">
        <v>601014</v>
      </c>
      <c r="B15" s="192" t="inlineStr">
        <is>
          <t>regionale projecten</t>
        </is>
      </c>
      <c r="C15" s="124" t="n"/>
      <c r="D15" s="8" t="inlineStr">
        <is>
          <t>bestuur en ondersteuning</t>
        </is>
      </c>
      <c r="E15" s="113" t="inlineStr">
        <is>
          <t>T01</t>
        </is>
      </c>
      <c r="F15" s="124" t="inlineStr">
        <is>
          <t>bestuur</t>
        </is>
      </c>
      <c r="G15" s="192" t="n"/>
      <c r="H15" s="193" t="n">
        <v>43411</v>
      </c>
      <c r="I15" s="198" t="inlineStr">
        <is>
          <t>corona soc verstrekking</t>
        </is>
      </c>
      <c r="J15" s="194" t="n"/>
      <c r="K15" s="195" t="n"/>
      <c r="L15" s="196" t="n"/>
      <c r="M15" s="124" t="n"/>
      <c r="N15" s="124" t="n"/>
    </row>
    <row r="16" ht="15" customHeight="1" s="402">
      <c r="A16" s="192" t="n">
        <v>601015</v>
      </c>
      <c r="B16" s="192" t="inlineStr">
        <is>
          <t>campus samenwerking</t>
        </is>
      </c>
      <c r="C16" s="124" t="n"/>
      <c r="D16" s="8" t="inlineStr">
        <is>
          <t>bestuur en ondersteuning</t>
        </is>
      </c>
      <c r="E16" s="113" t="inlineStr">
        <is>
          <t>T01</t>
        </is>
      </c>
      <c r="F16" s="124" t="inlineStr">
        <is>
          <t>bestuur</t>
        </is>
      </c>
      <c r="G16" s="192" t="n"/>
      <c r="H16" s="193" t="n">
        <v>43511</v>
      </c>
      <c r="I16" s="197" t="inlineStr">
        <is>
          <t>inhuur personeel</t>
        </is>
      </c>
      <c r="J16" s="194" t="n"/>
      <c r="K16" s="195" t="n"/>
      <c r="L16" s="196" t="n"/>
      <c r="M16" s="124" t="n"/>
      <c r="N16" s="124" t="n"/>
    </row>
    <row r="17" ht="15" customHeight="1" s="402">
      <c r="A17" s="192" t="n">
        <v>601016</v>
      </c>
      <c r="B17" s="192" t="inlineStr">
        <is>
          <t>bestuurlijk platf sted gebied eindh</t>
        </is>
      </c>
      <c r="C17" s="124" t="n"/>
      <c r="D17" s="8" t="inlineStr">
        <is>
          <t>bestuur en ondersteuning</t>
        </is>
      </c>
      <c r="E17" s="113" t="inlineStr">
        <is>
          <t>T01</t>
        </is>
      </c>
      <c r="F17" s="124" t="inlineStr">
        <is>
          <t>bestuur</t>
        </is>
      </c>
      <c r="G17" s="192" t="n"/>
      <c r="H17" s="193" t="n">
        <v>43512</v>
      </c>
      <c r="I17" s="197" t="inlineStr">
        <is>
          <t>corona inhuur personeel</t>
        </is>
      </c>
      <c r="J17" s="194" t="n"/>
      <c r="K17" s="195" t="n"/>
      <c r="L17" s="196" t="n"/>
    </row>
    <row r="18" ht="15" customHeight="1" s="402">
      <c r="A18" s="192" t="n">
        <v>601017</v>
      </c>
      <c r="B18" s="192" t="inlineStr">
        <is>
          <t>project voorzieningen sge</t>
        </is>
      </c>
      <c r="C18" s="124" t="n"/>
      <c r="D18" s="8" t="inlineStr">
        <is>
          <t>bestuur en ondersteuning</t>
        </is>
      </c>
      <c r="E18" s="113" t="inlineStr">
        <is>
          <t>T01</t>
        </is>
      </c>
      <c r="F18" s="124" t="inlineStr">
        <is>
          <t>bestuur</t>
        </is>
      </c>
      <c r="G18" s="192" t="n"/>
      <c r="H18" s="193" t="n">
        <v>43801</v>
      </c>
      <c r="I18" s="87" t="inlineStr">
        <is>
          <t>gasverbruik</t>
        </is>
      </c>
      <c r="J18" s="194" t="n"/>
      <c r="K18" s="195" t="n"/>
      <c r="L18" s="196" t="n"/>
    </row>
    <row r="19" ht="15" customHeight="1" s="402">
      <c r="A19" s="192" t="n">
        <v>601018</v>
      </c>
      <c r="B19" s="192" t="inlineStr">
        <is>
          <t>challenge ontsluiting</t>
        </is>
      </c>
      <c r="C19" s="124" t="n"/>
      <c r="D19" s="8" t="inlineStr">
        <is>
          <t>bestuur en ondersteuning</t>
        </is>
      </c>
      <c r="E19" s="113" t="inlineStr">
        <is>
          <t>T01</t>
        </is>
      </c>
      <c r="F19" s="124" t="inlineStr">
        <is>
          <t>bestuur</t>
        </is>
      </c>
      <c r="G19" s="192" t="n"/>
      <c r="H19" s="193" t="n">
        <v>43802</v>
      </c>
      <c r="I19" s="87" t="inlineStr">
        <is>
          <t>electriciteitsverbruik</t>
        </is>
      </c>
      <c r="J19" s="154" t="n"/>
      <c r="K19" s="196" t="n"/>
      <c r="L19" s="196" t="n"/>
    </row>
    <row r="20" ht="15" customHeight="1" s="402">
      <c r="A20" s="192" t="n">
        <v>601019</v>
      </c>
      <c r="B20" s="192" t="inlineStr">
        <is>
          <t>contributies/lidmaatschappen</t>
        </is>
      </c>
      <c r="C20" s="124" t="n"/>
      <c r="D20" s="8" t="inlineStr">
        <is>
          <t>bestuur en ondersteuning</t>
        </is>
      </c>
      <c r="E20" s="113" t="inlineStr">
        <is>
          <t>T01</t>
        </is>
      </c>
      <c r="F20" s="124" t="inlineStr">
        <is>
          <t>bestuur</t>
        </is>
      </c>
      <c r="G20" s="192" t="n"/>
      <c r="H20" s="193" t="n">
        <v>43803</v>
      </c>
      <c r="I20" s="87" t="inlineStr">
        <is>
          <t>brandstoffen</t>
        </is>
      </c>
      <c r="J20" s="154" t="n"/>
      <c r="K20" s="196" t="n"/>
      <c r="L20" s="196" t="n"/>
    </row>
    <row r="21" ht="15" customHeight="1" s="402">
      <c r="A21" s="192" t="n">
        <v>601020</v>
      </c>
      <c r="B21" s="192" t="inlineStr">
        <is>
          <t>samenwerking best oirschot</t>
        </is>
      </c>
      <c r="C21" s="124" t="n"/>
      <c r="D21" s="8" t="inlineStr">
        <is>
          <t>bestuur en ondersteuning</t>
        </is>
      </c>
      <c r="E21" s="113" t="inlineStr">
        <is>
          <t>T01</t>
        </is>
      </c>
      <c r="F21" s="124" t="inlineStr">
        <is>
          <t>bestuur</t>
        </is>
      </c>
      <c r="G21" s="192" t="n"/>
      <c r="H21" s="193" t="n">
        <v>43804</v>
      </c>
      <c r="I21" s="87" t="inlineStr">
        <is>
          <t>kosten algemene plannen</t>
        </is>
      </c>
      <c r="J21" s="154" t="n"/>
      <c r="K21" s="196" t="n"/>
      <c r="L21" s="196" t="n"/>
    </row>
    <row r="22" ht="15" customHeight="1" s="402">
      <c r="A22" s="192" t="n">
        <v>601901</v>
      </c>
      <c r="B22" s="192" t="inlineStr">
        <is>
          <t>directe toerek bestuur</t>
        </is>
      </c>
      <c r="C22" s="124" t="n"/>
      <c r="D22" s="8" t="inlineStr">
        <is>
          <t>bestuur en ondersteuning</t>
        </is>
      </c>
      <c r="E22" s="113" t="inlineStr">
        <is>
          <t>T01</t>
        </is>
      </c>
      <c r="F22" s="124" t="inlineStr">
        <is>
          <t>bestuur</t>
        </is>
      </c>
      <c r="G22" s="192" t="n"/>
      <c r="H22" s="193" t="n">
        <v>43805</v>
      </c>
      <c r="I22" s="87" t="inlineStr">
        <is>
          <t>huurlasten</t>
        </is>
      </c>
      <c r="J22" s="154" t="n"/>
      <c r="K22" s="196" t="n"/>
      <c r="L22" s="196" t="n"/>
    </row>
    <row r="23" ht="15" customHeight="1" s="402">
      <c r="A23" s="192" t="n">
        <v>601902</v>
      </c>
      <c r="B23" s="192" t="inlineStr">
        <is>
          <t>directe toerek regionale samenwerk</t>
        </is>
      </c>
      <c r="C23" s="124" t="n"/>
      <c r="D23" s="8" t="inlineStr">
        <is>
          <t>bestuur en ondersteuning</t>
        </is>
      </c>
      <c r="E23" s="113" t="inlineStr">
        <is>
          <t>T01</t>
        </is>
      </c>
      <c r="F23" s="124" t="inlineStr">
        <is>
          <t>bestuur</t>
        </is>
      </c>
      <c r="G23" s="192" t="n"/>
      <c r="H23" s="193" t="n">
        <v>43806</v>
      </c>
      <c r="I23" s="87" t="inlineStr">
        <is>
          <t>verzekeringen</t>
        </is>
      </c>
      <c r="J23" s="154" t="n"/>
      <c r="K23" s="124" t="n"/>
      <c r="L23" s="124" t="n"/>
    </row>
    <row r="24" ht="15" customHeight="1" s="402">
      <c r="A24" s="192" t="n">
        <v>602001</v>
      </c>
      <c r="B24" s="192" t="inlineStr">
        <is>
          <t>burgelijke stand (1)</t>
        </is>
      </c>
      <c r="C24" s="124" t="n"/>
      <c r="D24" s="8" t="inlineStr">
        <is>
          <t>bestuur en ondersteuning</t>
        </is>
      </c>
      <c r="E24" s="113" t="inlineStr">
        <is>
          <t>T02</t>
        </is>
      </c>
      <c r="F24" s="124" t="inlineStr">
        <is>
          <t>burgerzaken</t>
        </is>
      </c>
      <c r="G24" s="192" t="n"/>
      <c r="H24" s="193" t="n">
        <v>43807</v>
      </c>
      <c r="I24" s="87" t="inlineStr">
        <is>
          <t>geneeskundig onderzoek personeel</t>
        </is>
      </c>
      <c r="J24" s="154" t="n"/>
      <c r="K24" s="124" t="n"/>
      <c r="L24" s="124" t="n"/>
    </row>
    <row r="25" ht="15" customHeight="1" s="402">
      <c r="A25" s="192" t="n">
        <v>602002</v>
      </c>
      <c r="B25" s="192" t="inlineStr">
        <is>
          <t>reisdocumenten (2)</t>
        </is>
      </c>
      <c r="C25" s="124" t="n"/>
      <c r="D25" s="8" t="inlineStr">
        <is>
          <t>bestuur en ondersteuning</t>
        </is>
      </c>
      <c r="E25" s="113" t="inlineStr">
        <is>
          <t>T02</t>
        </is>
      </c>
      <c r="F25" s="124" t="inlineStr">
        <is>
          <t>burgerzaken</t>
        </is>
      </c>
      <c r="G25" s="192" t="n"/>
      <c r="H25" s="193" t="n">
        <v>43808</v>
      </c>
      <c r="I25" s="87" t="inlineStr">
        <is>
          <t>werving nieuw personeel</t>
        </is>
      </c>
      <c r="J25" s="154" t="n"/>
      <c r="K25" s="124" t="n"/>
      <c r="L25" s="124" t="n"/>
    </row>
    <row r="26" ht="15" customHeight="1" s="402">
      <c r="A26" s="192" t="n">
        <v>602003</v>
      </c>
      <c r="B26" s="192" t="inlineStr">
        <is>
          <t>rijbewijzen (3)</t>
        </is>
      </c>
      <c r="C26" s="124" t="n"/>
      <c r="D26" s="8" t="inlineStr">
        <is>
          <t>bestuur en ondersteuning</t>
        </is>
      </c>
      <c r="E26" s="113" t="inlineStr">
        <is>
          <t>T02</t>
        </is>
      </c>
      <c r="F26" s="124" t="inlineStr">
        <is>
          <t>burgerzaken</t>
        </is>
      </c>
      <c r="G26" s="192" t="n"/>
      <c r="H26" s="193" t="n">
        <v>43809</v>
      </c>
      <c r="I26" s="87" t="inlineStr">
        <is>
          <t>advies en ondersteuning</t>
        </is>
      </c>
      <c r="J26" s="154" t="n"/>
      <c r="K26" s="124" t="n"/>
      <c r="L26" s="124" t="n"/>
    </row>
    <row r="27" ht="15" customHeight="1" s="402">
      <c r="A27" s="192" t="n">
        <v>602004</v>
      </c>
      <c r="B27" s="192" t="inlineStr">
        <is>
          <t>basisregistratie personen (4)</t>
        </is>
      </c>
      <c r="C27" s="124" t="n"/>
      <c r="D27" s="8" t="inlineStr">
        <is>
          <t>bestuur en ondersteuning</t>
        </is>
      </c>
      <c r="E27" s="113" t="inlineStr">
        <is>
          <t>T02</t>
        </is>
      </c>
      <c r="F27" s="124" t="inlineStr">
        <is>
          <t>burgerzaken</t>
        </is>
      </c>
      <c r="G27" s="192" t="n"/>
      <c r="H27" s="193" t="n">
        <v>43810</v>
      </c>
      <c r="I27" s="87" t="inlineStr">
        <is>
          <t>lokaal personeelsbeleid</t>
        </is>
      </c>
      <c r="J27" s="154" t="n"/>
      <c r="K27" s="124" t="n"/>
      <c r="L27" s="124" t="n"/>
    </row>
    <row r="28" ht="15" customHeight="1" s="402">
      <c r="A28" s="192" t="n">
        <v>602005</v>
      </c>
      <c r="B28" s="192" t="inlineStr">
        <is>
          <t>leges overig publiekszaken (5)</t>
        </is>
      </c>
      <c r="C28" s="124" t="n"/>
      <c r="D28" s="8" t="inlineStr">
        <is>
          <t>bestuur en ondersteuning</t>
        </is>
      </c>
      <c r="E28" s="113" t="inlineStr">
        <is>
          <t>T02</t>
        </is>
      </c>
      <c r="F28" s="124" t="inlineStr">
        <is>
          <t>burgerzaken</t>
        </is>
      </c>
      <c r="G28" s="192" t="n"/>
      <c r="H28" s="193" t="n">
        <v>43811</v>
      </c>
      <c r="I28" s="87" t="inlineStr">
        <is>
          <t>presentiegelden</t>
        </is>
      </c>
      <c r="J28" s="154" t="n"/>
      <c r="K28" s="124" t="n"/>
      <c r="L28" s="124" t="n"/>
    </row>
    <row r="29" ht="15" customHeight="1" s="402">
      <c r="A29" s="192" t="n">
        <v>602006</v>
      </c>
      <c r="B29" s="192" t="inlineStr">
        <is>
          <t>verkiezingen (6)</t>
        </is>
      </c>
      <c r="C29" s="124" t="n"/>
      <c r="D29" s="8" t="inlineStr">
        <is>
          <t>bestuur en ondersteuning</t>
        </is>
      </c>
      <c r="E29" s="113" t="inlineStr">
        <is>
          <t>T02</t>
        </is>
      </c>
      <c r="F29" s="124" t="inlineStr">
        <is>
          <t>burgerzaken</t>
        </is>
      </c>
      <c r="G29" s="192" t="n"/>
      <c r="H29" s="193" t="n">
        <v>43812</v>
      </c>
      <c r="I29" s="87" t="inlineStr">
        <is>
          <t>overige goederen en diensten</t>
        </is>
      </c>
      <c r="J29" s="154" t="n"/>
      <c r="K29" s="124" t="n"/>
      <c r="L29" s="124" t="n"/>
    </row>
    <row r="30" ht="15" customHeight="1" s="402">
      <c r="A30" s="192" t="n">
        <v>602007</v>
      </c>
      <c r="B30" s="192" t="inlineStr">
        <is>
          <t>publiekszaken</t>
        </is>
      </c>
      <c r="C30" s="124" t="n"/>
      <c r="D30" s="8" t="inlineStr">
        <is>
          <t>bestuur en ondersteuning</t>
        </is>
      </c>
      <c r="E30" s="113" t="inlineStr">
        <is>
          <t>T02</t>
        </is>
      </c>
      <c r="F30" s="124" t="inlineStr">
        <is>
          <t>burgerzaken</t>
        </is>
      </c>
      <c r="G30" s="192" t="n"/>
      <c r="H30" s="193" t="n">
        <v>43813</v>
      </c>
      <c r="I30" s="87" t="inlineStr">
        <is>
          <t>juridische kosten</t>
        </is>
      </c>
      <c r="J30" s="154" t="n"/>
      <c r="K30" s="124" t="n"/>
      <c r="L30" s="124" t="n"/>
    </row>
    <row r="31" ht="15" customHeight="1" s="402">
      <c r="A31" s="192" t="n">
        <v>602901</v>
      </c>
      <c r="B31" s="192" t="inlineStr">
        <is>
          <t>directe toerek 1 burgerlijke stand</t>
        </is>
      </c>
      <c r="C31" s="124" t="n"/>
      <c r="D31" s="8" t="inlineStr">
        <is>
          <t>bestuur en ondersteuning</t>
        </is>
      </c>
      <c r="E31" s="113" t="inlineStr">
        <is>
          <t>T02</t>
        </is>
      </c>
      <c r="F31" s="124" t="inlineStr">
        <is>
          <t>burgerzaken</t>
        </is>
      </c>
      <c r="G31" s="192" t="n"/>
      <c r="H31" s="193" t="n">
        <v>43814</v>
      </c>
      <c r="I31" s="87" t="inlineStr">
        <is>
          <t>overig vaste uitgaven</t>
        </is>
      </c>
      <c r="J31" s="154" t="n"/>
      <c r="K31" s="124" t="n"/>
      <c r="L31" s="124" t="n"/>
    </row>
    <row r="32" ht="15" customHeight="1" s="402">
      <c r="A32" s="192" t="n">
        <v>602902</v>
      </c>
      <c r="B32" s="192" t="inlineStr">
        <is>
          <t>directe toerek 2 reisdocumenten</t>
        </is>
      </c>
      <c r="C32" s="124" t="n"/>
      <c r="D32" s="8" t="inlineStr">
        <is>
          <t>bestuur en ondersteuning</t>
        </is>
      </c>
      <c r="E32" s="113" t="inlineStr">
        <is>
          <t>T02</t>
        </is>
      </c>
      <c r="F32" s="124" t="inlineStr">
        <is>
          <t>burgerzaken</t>
        </is>
      </c>
      <c r="G32" s="192" t="n"/>
      <c r="H32" s="193" t="n">
        <v>43815</v>
      </c>
      <c r="I32" s="87" t="inlineStr">
        <is>
          <t>huisvuilinzameling</t>
        </is>
      </c>
      <c r="J32" s="154" t="n"/>
      <c r="K32" s="124" t="n"/>
      <c r="L32" s="124" t="n"/>
    </row>
    <row r="33" ht="15" customHeight="1" s="402">
      <c r="A33" s="192" t="n">
        <v>602903</v>
      </c>
      <c r="B33" s="192" t="inlineStr">
        <is>
          <t>directe toerek 3 rijbewijzen</t>
        </is>
      </c>
      <c r="C33" s="124" t="n"/>
      <c r="D33" s="8" t="inlineStr">
        <is>
          <t>bestuur en ondersteuning</t>
        </is>
      </c>
      <c r="E33" s="113" t="inlineStr">
        <is>
          <t>T02</t>
        </is>
      </c>
      <c r="F33" s="124" t="inlineStr">
        <is>
          <t>burgerzaken</t>
        </is>
      </c>
      <c r="G33" s="192" t="n"/>
      <c r="H33" s="193" t="n">
        <v>43816</v>
      </c>
      <c r="I33" s="87" t="inlineStr">
        <is>
          <t>afvalverwerking</t>
        </is>
      </c>
    </row>
    <row r="34" ht="15" customHeight="1" s="402">
      <c r="A34" s="192" t="n">
        <v>602904</v>
      </c>
      <c r="B34" s="192" t="inlineStr">
        <is>
          <t>directe toerek 4 verstrekkingen brp</t>
        </is>
      </c>
      <c r="C34" s="124" t="n"/>
      <c r="D34" s="8" t="inlineStr">
        <is>
          <t>bestuur en ondersteuning</t>
        </is>
      </c>
      <c r="E34" s="113" t="inlineStr">
        <is>
          <t>T02</t>
        </is>
      </c>
      <c r="F34" s="124" t="inlineStr">
        <is>
          <t>burgerzaken</t>
        </is>
      </c>
      <c r="G34" s="192" t="n"/>
      <c r="H34" s="193" t="n">
        <v>43817</v>
      </c>
      <c r="I34" s="197" t="inlineStr">
        <is>
          <t>exploitatie vastgoed</t>
        </is>
      </c>
    </row>
    <row r="35" ht="15" customHeight="1" s="402">
      <c r="A35" s="192" t="n">
        <v>602905</v>
      </c>
      <c r="B35" s="192" t="inlineStr">
        <is>
          <t xml:space="preserve">directe toerek 5 overige leges </t>
        </is>
      </c>
      <c r="C35" s="124" t="n"/>
      <c r="D35" s="8" t="inlineStr">
        <is>
          <t>bestuur en ondersteuning</t>
        </is>
      </c>
      <c r="E35" s="113" t="inlineStr">
        <is>
          <t>T02</t>
        </is>
      </c>
      <c r="F35" s="124" t="inlineStr">
        <is>
          <t>burgerzaken</t>
        </is>
      </c>
      <c r="G35" s="192" t="n"/>
      <c r="H35" s="193" t="n">
        <v>43818</v>
      </c>
      <c r="I35" s="197" t="inlineStr">
        <is>
          <t>werkkostenregeling</t>
        </is>
      </c>
    </row>
    <row r="36" ht="15" customHeight="1" s="402">
      <c r="A36" s="192" t="n">
        <v>602906</v>
      </c>
      <c r="B36" s="192" t="inlineStr">
        <is>
          <t>directe toerek publiekszaken</t>
        </is>
      </c>
      <c r="C36" s="124" t="n"/>
      <c r="D36" s="8" t="inlineStr">
        <is>
          <t>bestuur en ondersteuning</t>
        </is>
      </c>
      <c r="E36" s="113" t="inlineStr">
        <is>
          <t>T02</t>
        </is>
      </c>
      <c r="F36" s="124" t="inlineStr">
        <is>
          <t>burgerzaken</t>
        </is>
      </c>
      <c r="G36" s="192" t="n"/>
      <c r="H36" s="193" t="n">
        <v>43819</v>
      </c>
      <c r="I36" s="197" t="inlineStr">
        <is>
          <t>studie en opleiding</t>
        </is>
      </c>
    </row>
    <row r="37" ht="15" customHeight="1" s="402">
      <c r="A37" s="192" t="n">
        <v>602907</v>
      </c>
      <c r="B37" s="192" t="inlineStr">
        <is>
          <t>directe toerek verkiezingen</t>
        </is>
      </c>
      <c r="C37" s="124" t="n"/>
      <c r="D37" s="8" t="inlineStr">
        <is>
          <t>bestuur en ondersteuning</t>
        </is>
      </c>
      <c r="E37" s="113" t="inlineStr">
        <is>
          <t>T02</t>
        </is>
      </c>
      <c r="F37" s="124" t="inlineStr">
        <is>
          <t>burgerzaken</t>
        </is>
      </c>
      <c r="G37" s="192" t="n"/>
      <c r="H37" s="193" t="n">
        <v>43820</v>
      </c>
      <c r="I37" s="197" t="inlineStr">
        <is>
          <t>coronakosten algemeen</t>
        </is>
      </c>
    </row>
    <row r="38" ht="15" customHeight="1" s="402">
      <c r="A38" s="192" t="n">
        <v>603001</v>
      </c>
      <c r="B38" s="192" t="inlineStr">
        <is>
          <t>strategische gronden</t>
        </is>
      </c>
      <c r="C38" s="124" t="n"/>
      <c r="D38" s="8" t="inlineStr">
        <is>
          <t>bestuur en ondersteuning</t>
        </is>
      </c>
      <c r="E38" s="113" t="inlineStr">
        <is>
          <t>T03</t>
        </is>
      </c>
      <c r="F38" s="124" t="inlineStr">
        <is>
          <t>beheer overige gebouwen en gronden</t>
        </is>
      </c>
      <c r="G38" s="192" t="n"/>
      <c r="H38" s="193" t="n">
        <v>44110</v>
      </c>
      <c r="I38" s="197" t="inlineStr">
        <is>
          <t>sociale verstrekkingen in geld</t>
        </is>
      </c>
    </row>
    <row r="39" ht="15" customHeight="1" s="402">
      <c r="A39" s="192" t="n">
        <v>603002</v>
      </c>
      <c r="B39" s="192" t="inlineStr">
        <is>
          <t>garageboxen</t>
        </is>
      </c>
      <c r="C39" s="124" t="n"/>
      <c r="D39" s="8" t="inlineStr">
        <is>
          <t>bestuur en ondersteuning</t>
        </is>
      </c>
      <c r="E39" s="113" t="inlineStr">
        <is>
          <t>T03</t>
        </is>
      </c>
      <c r="F39" s="124" t="inlineStr">
        <is>
          <t>beheer overige gebouwen en gronden</t>
        </is>
      </c>
      <c r="G39" s="192" t="n"/>
      <c r="H39" s="193" t="n">
        <v>44111</v>
      </c>
      <c r="I39" s="87" t="inlineStr">
        <is>
          <t>overige kosten participatie</t>
        </is>
      </c>
    </row>
    <row r="40">
      <c r="A40" s="192" t="n">
        <v>603003</v>
      </c>
      <c r="B40" s="192" t="inlineStr">
        <is>
          <t>hartenvier 2</t>
        </is>
      </c>
      <c r="C40" s="124" t="n"/>
      <c r="D40" s="8" t="inlineStr">
        <is>
          <t>bestuur en ondersteuning</t>
        </is>
      </c>
      <c r="E40" s="113" t="inlineStr">
        <is>
          <t>T03</t>
        </is>
      </c>
      <c r="F40" s="124" t="inlineStr">
        <is>
          <t>beheer overige gebouwen en gronden</t>
        </is>
      </c>
      <c r="G40" s="192" t="n"/>
      <c r="H40" s="193" t="n">
        <v>44112</v>
      </c>
      <c r="I40" s="198" t="inlineStr">
        <is>
          <t>corona soc uitkeringen</t>
        </is>
      </c>
    </row>
    <row r="41" ht="15" customHeight="1" s="402">
      <c r="A41" s="192" t="n">
        <v>603004</v>
      </c>
      <c r="B41" s="192" t="inlineStr">
        <is>
          <t>i van de boschstraat 2a</t>
        </is>
      </c>
      <c r="C41" s="124" t="n"/>
      <c r="D41" s="8" t="inlineStr">
        <is>
          <t>bestuur en ondersteuning</t>
        </is>
      </c>
      <c r="E41" s="113" t="inlineStr">
        <is>
          <t>T03</t>
        </is>
      </c>
      <c r="F41" s="124" t="inlineStr">
        <is>
          <t>beheer overige gebouwen en gronden</t>
        </is>
      </c>
      <c r="G41" s="192" t="n"/>
      <c r="H41" s="193" t="n">
        <v>44310</v>
      </c>
      <c r="I41" s="87" t="inlineStr">
        <is>
          <t>inkomensoverdr aan het rijk</t>
        </is>
      </c>
    </row>
    <row r="42" ht="15" customHeight="1" s="402">
      <c r="A42" s="192" t="n">
        <v>603005</v>
      </c>
      <c r="B42" s="192" t="inlineStr">
        <is>
          <t>algemene lasten gebouwenbeheer</t>
        </is>
      </c>
      <c r="C42" s="124" t="n"/>
      <c r="D42" s="8" t="inlineStr">
        <is>
          <t>bestuur en ondersteuning</t>
        </is>
      </c>
      <c r="E42" s="113" t="inlineStr">
        <is>
          <t>T03</t>
        </is>
      </c>
      <c r="F42" s="124" t="inlineStr">
        <is>
          <t>beheer overige gebouwen en gronden</t>
        </is>
      </c>
      <c r="G42" s="192" t="n"/>
      <c r="H42" s="193" t="n">
        <v>44311</v>
      </c>
      <c r="I42" s="87" t="inlineStr">
        <is>
          <t>corona ink ovdr ah rijk</t>
        </is>
      </c>
    </row>
    <row r="43" ht="15" customHeight="1" s="402">
      <c r="A43" s="192" t="n">
        <v>603006</v>
      </c>
      <c r="B43" s="192" t="inlineStr">
        <is>
          <t>erfpachtovereenkomst best zoo</t>
        </is>
      </c>
      <c r="C43" s="124" t="n"/>
      <c r="D43" s="8" t="inlineStr">
        <is>
          <t>bestuur en ondersteuning</t>
        </is>
      </c>
      <c r="E43" s="113" t="inlineStr">
        <is>
          <t>T03</t>
        </is>
      </c>
      <c r="F43" s="124" t="inlineStr">
        <is>
          <t>beheer overige gebouwen en gronden</t>
        </is>
      </c>
      <c r="G43" s="192" t="n"/>
      <c r="H43" s="193" t="n">
        <v>44320</v>
      </c>
      <c r="I43" s="87" t="inlineStr">
        <is>
          <t>inkomensoverdr aan gemeenten</t>
        </is>
      </c>
    </row>
    <row r="44" ht="15" customHeight="1" s="402">
      <c r="A44" s="192" t="n">
        <v>603007</v>
      </c>
      <c r="B44" s="192" t="inlineStr">
        <is>
          <t>kon emmalaan 25</t>
        </is>
      </c>
      <c r="C44" s="124" t="n"/>
      <c r="D44" s="8" t="inlineStr">
        <is>
          <t>bestuur en ondersteuning</t>
        </is>
      </c>
      <c r="E44" s="113" t="inlineStr">
        <is>
          <t>T03</t>
        </is>
      </c>
      <c r="F44" s="124" t="inlineStr">
        <is>
          <t>beheer overige gebouwen en gronden</t>
        </is>
      </c>
      <c r="G44" s="192" t="n"/>
      <c r="H44" s="193" t="n">
        <v>44330</v>
      </c>
      <c r="I44" s="87" t="inlineStr">
        <is>
          <t>inkomensoverdr aan gem regelingen</t>
        </is>
      </c>
    </row>
    <row r="45">
      <c r="A45" s="192" t="n">
        <v>603008</v>
      </c>
      <c r="B45" s="192" t="inlineStr">
        <is>
          <t>molenstraat 1b</t>
        </is>
      </c>
      <c r="C45" s="124" t="n"/>
      <c r="D45" s="8" t="inlineStr">
        <is>
          <t>bestuur en ondersteuning</t>
        </is>
      </c>
      <c r="E45" s="113" t="inlineStr">
        <is>
          <t>T03</t>
        </is>
      </c>
      <c r="F45" s="124" t="inlineStr">
        <is>
          <t>beheer overige gebouwen en gronden</t>
        </is>
      </c>
      <c r="G45" s="192" t="n"/>
      <c r="H45" s="193" t="n">
        <v>44331</v>
      </c>
      <c r="I45" s="198" t="inlineStr">
        <is>
          <t>corona ink ovdr gem regelingen</t>
        </is>
      </c>
    </row>
    <row r="46" ht="15" customHeight="1" s="402">
      <c r="A46" s="192" t="n">
        <v>603009</v>
      </c>
      <c r="B46" s="192" t="inlineStr">
        <is>
          <t>h hartstraat 1 (en 1a)</t>
        </is>
      </c>
      <c r="C46" s="124" t="n"/>
      <c r="D46" s="8" t="inlineStr">
        <is>
          <t>bestuur en ondersteuning</t>
        </is>
      </c>
      <c r="E46" s="113" t="inlineStr">
        <is>
          <t>T03</t>
        </is>
      </c>
      <c r="F46" s="124" t="inlineStr">
        <is>
          <t>beheer overige gebouwen en gronden</t>
        </is>
      </c>
      <c r="G46" s="192" t="n"/>
      <c r="H46" s="193" t="n">
        <v>44340</v>
      </c>
      <c r="I46" s="87" t="inlineStr">
        <is>
          <t>inkomensoverdr aan provincie</t>
        </is>
      </c>
    </row>
    <row r="47" ht="15" customHeight="1" s="402">
      <c r="A47" s="192" t="n">
        <v>603010</v>
      </c>
      <c r="B47" s="192" t="inlineStr">
        <is>
          <t>verhuur spoorstraat 1</t>
        </is>
      </c>
      <c r="C47" s="124" t="n"/>
      <c r="D47" s="8" t="inlineStr">
        <is>
          <t>bestuur en ondersteuning</t>
        </is>
      </c>
      <c r="E47" s="113" t="inlineStr">
        <is>
          <t>T03</t>
        </is>
      </c>
      <c r="F47" s="124" t="inlineStr">
        <is>
          <t>beheer overige gebouwen en gronden</t>
        </is>
      </c>
      <c r="G47" s="192" t="n"/>
      <c r="H47" s="193" t="n">
        <v>44350</v>
      </c>
      <c r="I47" s="87" t="inlineStr">
        <is>
          <t>inkomensoverdr aan het waterschap</t>
        </is>
      </c>
    </row>
    <row r="48" ht="15" customHeight="1" s="402">
      <c r="A48" s="192" t="n">
        <v>603011</v>
      </c>
      <c r="B48" s="192" t="inlineStr">
        <is>
          <t>willem alexanderpark 11</t>
        </is>
      </c>
      <c r="C48" s="124" t="n"/>
      <c r="D48" s="8" t="inlineStr">
        <is>
          <t>bestuur en ondersteuning</t>
        </is>
      </c>
      <c r="E48" s="113" t="inlineStr">
        <is>
          <t>T03</t>
        </is>
      </c>
      <c r="F48" s="124" t="inlineStr">
        <is>
          <t>beheer overige gebouwen en gronden</t>
        </is>
      </c>
      <c r="G48" s="192" t="n"/>
      <c r="H48" s="193" t="n">
        <v>44360</v>
      </c>
      <c r="I48" s="87" t="inlineStr">
        <is>
          <t>inkomensoverdr aan overige overheden</t>
        </is>
      </c>
    </row>
    <row r="49" ht="15" customHeight="1" s="402">
      <c r="A49" s="192" t="n">
        <v>603012</v>
      </c>
      <c r="B49" s="192" t="inlineStr">
        <is>
          <t>aarleseweg 3</t>
        </is>
      </c>
      <c r="C49" s="124" t="n"/>
      <c r="D49" s="8" t="inlineStr">
        <is>
          <t>bestuur en ondersteuning</t>
        </is>
      </c>
      <c r="E49" s="113" t="inlineStr">
        <is>
          <t>T03</t>
        </is>
      </c>
      <c r="F49" s="124" t="inlineStr">
        <is>
          <t>beheer overige gebouwen en gronden</t>
        </is>
      </c>
      <c r="G49" s="192" t="n"/>
      <c r="H49" s="193" t="n">
        <v>44370</v>
      </c>
      <c r="I49" s="87" t="inlineStr">
        <is>
          <t>inkomensoverd aan de eu</t>
        </is>
      </c>
      <c r="J49" s="154" t="n"/>
      <c r="K49" s="124" t="n"/>
      <c r="L49" s="124" t="n"/>
      <c r="M49" s="124" t="n"/>
      <c r="N49" s="124" t="n"/>
      <c r="O49" s="124" t="n"/>
    </row>
    <row r="50" ht="15" customHeight="1" s="402">
      <c r="A50" s="192" t="n">
        <v>603013</v>
      </c>
      <c r="B50" s="192" t="inlineStr">
        <is>
          <t>stationsstraat 19</t>
        </is>
      </c>
      <c r="C50" s="124" t="n"/>
      <c r="D50" s="8" t="inlineStr">
        <is>
          <t>bestuur en ondersteuning</t>
        </is>
      </c>
      <c r="E50" s="113" t="inlineStr">
        <is>
          <t>T03</t>
        </is>
      </c>
      <c r="F50" s="124" t="inlineStr">
        <is>
          <t>beheer overige gebouwen en gronden</t>
        </is>
      </c>
      <c r="G50" s="192" t="n"/>
      <c r="H50" s="193" t="n">
        <v>44380</v>
      </c>
      <c r="I50" s="87" t="inlineStr">
        <is>
          <t>inkomensoverdr aan instell/personen</t>
        </is>
      </c>
      <c r="J50" s="154" t="n"/>
      <c r="K50" s="124" t="n"/>
      <c r="L50" s="124" t="n"/>
      <c r="M50" s="124" t="n"/>
      <c r="N50" s="124" t="n"/>
      <c r="O50" s="124" t="n"/>
    </row>
    <row r="51">
      <c r="A51" s="192" t="n">
        <v>603014</v>
      </c>
      <c r="B51" s="192" t="inlineStr">
        <is>
          <t>veldweg 14 en 16</t>
        </is>
      </c>
      <c r="C51" s="124" t="n"/>
      <c r="D51" s="8" t="inlineStr">
        <is>
          <t>bestuur en ondersteuning</t>
        </is>
      </c>
      <c r="E51" s="113" t="inlineStr">
        <is>
          <t>T03</t>
        </is>
      </c>
      <c r="F51" s="124" t="inlineStr">
        <is>
          <t>beheer overige gebouwen en gronden</t>
        </is>
      </c>
      <c r="G51" s="192" t="n"/>
      <c r="H51" s="193" t="n">
        <v>44381</v>
      </c>
      <c r="I51" s="198" t="inlineStr">
        <is>
          <t>corona inkovdr ov instell/personen</t>
        </is>
      </c>
      <c r="J51" s="154" t="n"/>
      <c r="K51" s="124" t="n"/>
      <c r="L51" s="124" t="n"/>
      <c r="M51" s="124" t="n"/>
      <c r="N51" s="124" t="n"/>
      <c r="O51" s="124" t="n"/>
    </row>
    <row r="52" ht="15" customHeight="1" s="402">
      <c r="A52" s="192" t="n">
        <v>603015</v>
      </c>
      <c r="B52" s="192" t="inlineStr">
        <is>
          <t>afgewikkelde complexen</t>
        </is>
      </c>
      <c r="C52" s="124" t="n"/>
      <c r="D52" s="8" t="inlineStr">
        <is>
          <t>bestuur en ondersteuning</t>
        </is>
      </c>
      <c r="E52" s="113" t="inlineStr">
        <is>
          <t>T03</t>
        </is>
      </c>
      <c r="F52" s="124" t="inlineStr">
        <is>
          <t>beheer overige gebouwen en gronden</t>
        </is>
      </c>
      <c r="G52" s="192" t="n"/>
      <c r="H52" s="193" t="n">
        <v>44390</v>
      </c>
      <c r="I52" s="87" t="inlineStr">
        <is>
          <t>inkomensoverdr onverdeeld</t>
        </is>
      </c>
      <c r="J52" s="154" t="n"/>
      <c r="K52" s="124" t="n"/>
      <c r="L52" s="124" t="n"/>
      <c r="M52" s="124" t="n"/>
      <c r="N52" s="124" t="n"/>
      <c r="O52" s="124" t="n"/>
    </row>
    <row r="53" ht="14.25" customHeight="1" s="402">
      <c r="A53" s="192" t="n">
        <v>603016</v>
      </c>
      <c r="B53" s="192" t="inlineStr">
        <is>
          <t>covid19 steunmaatregel huurders</t>
        </is>
      </c>
      <c r="C53" s="124" t="n"/>
      <c r="D53" s="8" t="inlineStr">
        <is>
          <t>bestuur en ondersteuning</t>
        </is>
      </c>
      <c r="E53" s="113" t="inlineStr">
        <is>
          <t>T03</t>
        </is>
      </c>
      <c r="F53" s="124" t="inlineStr">
        <is>
          <t>beheer overige gebouwen en gronden</t>
        </is>
      </c>
      <c r="G53" s="192" t="n"/>
      <c r="H53" s="193" t="n">
        <v>44391</v>
      </c>
      <c r="I53" s="198" t="inlineStr">
        <is>
          <t>corona ink overdr onverdeeld</t>
        </is>
      </c>
      <c r="J53" s="154" t="n"/>
      <c r="K53" s="124" t="n"/>
      <c r="L53" s="124" t="n"/>
      <c r="M53" s="124" t="n"/>
      <c r="N53" s="124" t="n"/>
      <c r="O53" s="124" t="n"/>
    </row>
    <row r="54" ht="14.25" customHeight="1" s="402">
      <c r="A54" s="192" t="n">
        <v>603017</v>
      </c>
      <c r="B54" s="192" t="inlineStr">
        <is>
          <t>vermeerstraat 21</t>
        </is>
      </c>
      <c r="C54" s="124" t="n"/>
      <c r="D54" s="8" t="inlineStr">
        <is>
          <t>bestuur en ondersteuning</t>
        </is>
      </c>
      <c r="E54" s="113" t="inlineStr">
        <is>
          <t>T03</t>
        </is>
      </c>
      <c r="F54" s="124" t="inlineStr">
        <is>
          <t>beheer overige gebouwen en gronden</t>
        </is>
      </c>
      <c r="G54" s="192" t="n"/>
      <c r="H54" s="193" t="n">
        <v>44410</v>
      </c>
      <c r="I54" s="199" t="inlineStr">
        <is>
          <t>kapitaaloverdr aan het rijk</t>
        </is>
      </c>
      <c r="J54" s="154" t="n"/>
      <c r="K54" s="124" t="n"/>
      <c r="L54" s="124" t="n"/>
      <c r="M54" s="124" t="n"/>
      <c r="N54" s="124" t="n"/>
      <c r="O54" s="124" t="n"/>
    </row>
    <row r="55" ht="15" customHeight="1" s="402">
      <c r="A55" s="192" t="n">
        <v>603018</v>
      </c>
      <c r="B55" s="192" t="inlineStr">
        <is>
          <t>wildheuvel 21/23(leegstand)</t>
        </is>
      </c>
      <c r="C55" s="124" t="n"/>
      <c r="D55" s="8" t="inlineStr">
        <is>
          <t>bestuur en ondersteuning</t>
        </is>
      </c>
      <c r="E55" s="113" t="inlineStr">
        <is>
          <t>T03</t>
        </is>
      </c>
      <c r="F55" s="124" t="inlineStr">
        <is>
          <t>beheer overige gebouwen en gronden</t>
        </is>
      </c>
      <c r="G55" s="192" t="n"/>
      <c r="H55" s="193" t="n">
        <v>44420</v>
      </c>
      <c r="I55" s="199" t="inlineStr">
        <is>
          <t>kapitaaloverdr aan gemeenten</t>
        </is>
      </c>
      <c r="J55" s="154" t="n"/>
      <c r="K55" s="124" t="n"/>
      <c r="L55" s="124" t="n"/>
      <c r="M55" s="124" t="n"/>
      <c r="N55" s="124" t="n"/>
      <c r="O55" s="124" t="n"/>
    </row>
    <row r="56" ht="15" customHeight="1" s="402">
      <c r="A56" s="192" t="n">
        <v>603019</v>
      </c>
      <c r="B56" s="192" t="inlineStr">
        <is>
          <t>afboeking iva onderz/ontwikk kosten</t>
        </is>
      </c>
      <c r="C56" s="124" t="n"/>
      <c r="D56" s="8" t="inlineStr">
        <is>
          <t>bestuur en ondersteuning</t>
        </is>
      </c>
      <c r="E56" s="113" t="inlineStr">
        <is>
          <t>T03</t>
        </is>
      </c>
      <c r="F56" s="124" t="inlineStr">
        <is>
          <t>beheer overige gebouwen en gronden</t>
        </is>
      </c>
      <c r="G56" s="192" t="n"/>
      <c r="H56" s="193" t="n">
        <v>44430</v>
      </c>
      <c r="I56" s="199" t="inlineStr">
        <is>
          <t>kapitaaloverd aan gem regelingen</t>
        </is>
      </c>
      <c r="J56" s="154" t="n"/>
      <c r="K56" s="124" t="n"/>
      <c r="L56" s="124" t="n"/>
      <c r="M56" s="124" t="n"/>
      <c r="N56" s="124" t="n"/>
      <c r="O56" s="124" t="n"/>
    </row>
    <row r="57" ht="12.75" customHeight="1" s="402">
      <c r="A57" s="192" t="n">
        <v>603901</v>
      </c>
      <c r="B57" s="192" t="inlineStr">
        <is>
          <t>directe toerek ov gebouwen grond</t>
        </is>
      </c>
      <c r="C57" s="124" t="n"/>
      <c r="D57" s="8" t="inlineStr">
        <is>
          <t>bestuur en ondersteuning</t>
        </is>
      </c>
      <c r="E57" s="113" t="inlineStr">
        <is>
          <t>T03</t>
        </is>
      </c>
      <c r="F57" s="124" t="inlineStr">
        <is>
          <t>beheer overige gebouwen en gronden</t>
        </is>
      </c>
      <c r="G57" s="192" t="n"/>
      <c r="H57" s="193" t="n">
        <v>44440</v>
      </c>
      <c r="I57" s="199" t="inlineStr">
        <is>
          <t>kapitaaloverdr aan provincie</t>
        </is>
      </c>
      <c r="J57" s="154" t="n"/>
      <c r="K57" s="124" t="n"/>
      <c r="L57" s="124" t="n"/>
      <c r="M57" s="124" t="n"/>
      <c r="N57" s="124" t="n"/>
      <c r="O57" s="124" t="n"/>
    </row>
    <row r="58" ht="15" customHeight="1" s="402">
      <c r="A58" s="192" t="n">
        <v>604001</v>
      </c>
      <c r="B58" s="192" t="inlineStr">
        <is>
          <t>uitkeringen voormalig personeel</t>
        </is>
      </c>
      <c r="C58" s="124" t="n"/>
      <c r="D58" s="8" t="inlineStr">
        <is>
          <t>bestuur en ondersteuning</t>
        </is>
      </c>
      <c r="E58" s="113" t="inlineStr">
        <is>
          <t>T04</t>
        </is>
      </c>
      <c r="F58" s="124" t="inlineStr">
        <is>
          <t>overhead</t>
        </is>
      </c>
      <c r="G58" s="192" t="n"/>
      <c r="H58" s="193" t="n">
        <v>44450</v>
      </c>
      <c r="I58" s="199" t="inlineStr">
        <is>
          <t>kapitaaloverdr aan het waterschap</t>
        </is>
      </c>
      <c r="J58" s="154" t="n"/>
      <c r="K58" s="124" t="n"/>
      <c r="L58" s="124" t="n"/>
      <c r="M58" s="124" t="n"/>
      <c r="N58" s="124" t="n"/>
      <c r="O58" s="124" t="n"/>
    </row>
    <row r="59" ht="15" customHeight="1" s="402">
      <c r="A59" s="192" t="n">
        <v>604002</v>
      </c>
      <c r="B59" s="192" t="inlineStr">
        <is>
          <t>ov pers lasten niet direct toewijsb</t>
        </is>
      </c>
      <c r="C59" s="124" t="n"/>
      <c r="D59" s="8" t="inlineStr">
        <is>
          <t>bestuur en ondersteuning</t>
        </is>
      </c>
      <c r="E59" s="113" t="inlineStr">
        <is>
          <t>T04</t>
        </is>
      </c>
      <c r="F59" s="124" t="inlineStr">
        <is>
          <t>overhead</t>
        </is>
      </c>
      <c r="G59" s="192" t="n"/>
      <c r="H59" s="193" t="n">
        <v>44460</v>
      </c>
      <c r="I59" s="199" t="inlineStr">
        <is>
          <t>kapitaaloverdr aan overige overheden</t>
        </is>
      </c>
      <c r="J59" s="154" t="n"/>
      <c r="K59" s="124" t="n"/>
      <c r="L59" s="124" t="n"/>
      <c r="M59" s="124" t="n"/>
      <c r="N59" s="124" t="n"/>
      <c r="O59" s="124" t="n"/>
    </row>
    <row r="60" ht="15" customHeight="1" s="402">
      <c r="A60" s="192" t="n">
        <v>604003</v>
      </c>
      <c r="B60" s="192" t="inlineStr">
        <is>
          <t>terugontv salarissen en uitkeringen</t>
        </is>
      </c>
      <c r="C60" s="124" t="n"/>
      <c r="D60" s="8" t="inlineStr">
        <is>
          <t>bestuur en ondersteuning</t>
        </is>
      </c>
      <c r="E60" s="113" t="inlineStr">
        <is>
          <t>T04</t>
        </is>
      </c>
      <c r="F60" s="124" t="inlineStr">
        <is>
          <t>overhead</t>
        </is>
      </c>
      <c r="G60" s="192" t="n"/>
      <c r="H60" s="193" t="n">
        <v>44470</v>
      </c>
      <c r="I60" s="199" t="inlineStr">
        <is>
          <t>kapitaaloverdr aan de eu</t>
        </is>
      </c>
      <c r="J60" s="154" t="n"/>
      <c r="K60" s="124" t="n"/>
      <c r="L60" s="124" t="n"/>
      <c r="M60" s="124" t="n"/>
      <c r="N60" s="124" t="n"/>
      <c r="O60" s="124" t="n"/>
    </row>
    <row r="61" ht="15" customHeight="1" s="402">
      <c r="A61" s="192" t="n">
        <v>604004</v>
      </c>
      <c r="B61" s="192" t="inlineStr">
        <is>
          <t>lokaal arbeidsvoorwaardenbeleid</t>
        </is>
      </c>
      <c r="C61" s="124" t="n"/>
      <c r="D61" s="8" t="inlineStr">
        <is>
          <t>bestuur en ondersteuning</t>
        </is>
      </c>
      <c r="E61" s="113" t="inlineStr">
        <is>
          <t>T04</t>
        </is>
      </c>
      <c r="F61" s="124" t="inlineStr">
        <is>
          <t>overhead</t>
        </is>
      </c>
      <c r="G61" s="192" t="n"/>
      <c r="H61" s="193" t="n">
        <v>44480</v>
      </c>
      <c r="I61" s="199" t="inlineStr">
        <is>
          <t>kapitaaloverdr aan instell/personen</t>
        </is>
      </c>
      <c r="J61" s="154" t="n"/>
      <c r="K61" s="124" t="n"/>
      <c r="L61" s="124" t="n"/>
      <c r="M61" s="124" t="n"/>
      <c r="N61" s="124" t="n"/>
      <c r="O61" s="124" t="n"/>
    </row>
    <row r="62">
      <c r="A62" s="192" t="n">
        <v>604005</v>
      </c>
      <c r="B62" s="192" t="inlineStr">
        <is>
          <t>samen op reis</t>
        </is>
      </c>
      <c r="C62" s="124" t="n"/>
      <c r="D62" s="8" t="inlineStr">
        <is>
          <t>bestuur en ondersteuning</t>
        </is>
      </c>
      <c r="E62" s="113" t="inlineStr">
        <is>
          <t>T04</t>
        </is>
      </c>
      <c r="F62" s="124" t="inlineStr">
        <is>
          <t>overhead</t>
        </is>
      </c>
      <c r="G62" s="192" t="n"/>
      <c r="H62" s="193" t="n">
        <v>44481</v>
      </c>
      <c r="I62" s="198" t="inlineStr">
        <is>
          <t>corona kap ovdr ov instell/personen</t>
        </is>
      </c>
      <c r="J62" s="154" t="n"/>
      <c r="K62" s="124" t="n"/>
      <c r="L62" s="124" t="n"/>
      <c r="M62" s="124" t="n"/>
      <c r="N62" s="124" t="n"/>
      <c r="O62" s="124" t="n"/>
    </row>
    <row r="63" ht="15" customHeight="1" s="402">
      <c r="A63" s="192" t="n">
        <v>604006</v>
      </c>
      <c r="B63" s="192" t="inlineStr">
        <is>
          <t>exploitatielasten gemeentehuis</t>
        </is>
      </c>
      <c r="C63" s="124" t="n"/>
      <c r="D63" s="8" t="inlineStr">
        <is>
          <t>bestuur en ondersteuning</t>
        </is>
      </c>
      <c r="E63" s="113" t="inlineStr">
        <is>
          <t>T04</t>
        </is>
      </c>
      <c r="F63" s="124" t="inlineStr">
        <is>
          <t>overhead</t>
        </is>
      </c>
      <c r="G63" s="192" t="n"/>
      <c r="H63" s="193" t="n">
        <v>44490</v>
      </c>
      <c r="I63" s="199" t="inlineStr">
        <is>
          <t>kapitaaloverdr onverdeeld</t>
        </is>
      </c>
      <c r="J63" s="154" t="n"/>
      <c r="K63" s="124" t="n"/>
      <c r="L63" s="124" t="n"/>
      <c r="M63" s="124" t="n"/>
      <c r="N63" s="124" t="n"/>
      <c r="O63" s="124" t="n"/>
    </row>
    <row r="64" ht="15" customHeight="1" s="402">
      <c r="A64" s="192" t="n">
        <v>604007</v>
      </c>
      <c r="B64" s="192" t="inlineStr">
        <is>
          <t>dienstverleningsvisie</t>
        </is>
      </c>
      <c r="C64" s="124" t="n"/>
      <c r="D64" s="8" t="inlineStr">
        <is>
          <t>bestuur en ondersteuning</t>
        </is>
      </c>
      <c r="E64" s="113" t="inlineStr">
        <is>
          <t>T04</t>
        </is>
      </c>
      <c r="F64" s="124" t="inlineStr">
        <is>
          <t>overhead</t>
        </is>
      </c>
      <c r="G64" s="192" t="n"/>
      <c r="H64" s="193" t="n">
        <v>44510</v>
      </c>
      <c r="I64" s="199" t="inlineStr">
        <is>
          <t>investeringsbijdr rijk</t>
        </is>
      </c>
      <c r="J64" s="154" t="n"/>
      <c r="K64" s="124" t="n"/>
      <c r="L64" s="124" t="n"/>
      <c r="M64" s="196" t="n"/>
      <c r="N64" s="196" t="n"/>
      <c r="O64" s="196" t="n"/>
    </row>
    <row r="65" ht="15" customHeight="1" s="402">
      <c r="A65" s="192" t="n">
        <v>604008</v>
      </c>
      <c r="B65" s="192" t="inlineStr">
        <is>
          <t>bodediensten</t>
        </is>
      </c>
      <c r="C65" s="124" t="n"/>
      <c r="D65" s="8" t="inlineStr">
        <is>
          <t>bestuur en ondersteuning</t>
        </is>
      </c>
      <c r="E65" s="113" t="inlineStr">
        <is>
          <t>T04</t>
        </is>
      </c>
      <c r="F65" s="124" t="inlineStr">
        <is>
          <t>overhead</t>
        </is>
      </c>
      <c r="G65" s="192" t="n"/>
      <c r="H65" s="193" t="n">
        <v>44520</v>
      </c>
      <c r="I65" s="199" t="inlineStr">
        <is>
          <t>investeringsbijdr gemeenten</t>
        </is>
      </c>
      <c r="J65" s="154" t="n"/>
      <c r="K65" s="124" t="n"/>
      <c r="L65" s="124" t="n"/>
      <c r="M65" s="196" t="n"/>
      <c r="N65" s="196" t="n"/>
      <c r="O65" s="196" t="n"/>
    </row>
    <row r="66" ht="15" customHeight="1" s="402">
      <c r="A66" s="192" t="n">
        <v>604009</v>
      </c>
      <c r="B66" s="192" t="inlineStr">
        <is>
          <t>keuken en keukenbenodigdheden</t>
        </is>
      </c>
      <c r="C66" s="124" t="n"/>
      <c r="D66" s="8" t="inlineStr">
        <is>
          <t>bestuur en ondersteuning</t>
        </is>
      </c>
      <c r="E66" s="113" t="inlineStr">
        <is>
          <t>T04</t>
        </is>
      </c>
      <c r="F66" s="124" t="inlineStr">
        <is>
          <t>overhead</t>
        </is>
      </c>
      <c r="G66" s="192" t="n"/>
      <c r="H66" s="193" t="n">
        <v>44530</v>
      </c>
      <c r="I66" s="199" t="inlineStr">
        <is>
          <t>investeringsbijdr gem regelingen</t>
        </is>
      </c>
      <c r="J66" s="154" t="n"/>
      <c r="K66" s="124" t="n"/>
      <c r="L66" s="124" t="n"/>
      <c r="M66" s="196" t="n"/>
      <c r="N66" s="196" t="n"/>
      <c r="O66" s="196" t="n"/>
    </row>
    <row r="67" ht="15" customHeight="1" s="402">
      <c r="A67" s="192" t="n">
        <v>604010</v>
      </c>
      <c r="B67" s="192" t="inlineStr">
        <is>
          <t>telefonie</t>
        </is>
      </c>
      <c r="C67" s="124" t="n"/>
      <c r="D67" s="8" t="inlineStr">
        <is>
          <t>bestuur en ondersteuning</t>
        </is>
      </c>
      <c r="E67" s="113" t="inlineStr">
        <is>
          <t>T04</t>
        </is>
      </c>
      <c r="F67" s="124" t="inlineStr">
        <is>
          <t>overhead</t>
        </is>
      </c>
      <c r="G67" s="192" t="n"/>
      <c r="H67" s="193" t="n">
        <v>44540</v>
      </c>
      <c r="I67" s="199" t="inlineStr">
        <is>
          <t>investeringsbijdr provincie</t>
        </is>
      </c>
      <c r="J67" s="154" t="n"/>
      <c r="K67" s="124" t="n"/>
      <c r="L67" s="124" t="n"/>
      <c r="M67" s="196" t="n"/>
      <c r="N67" s="196" t="n"/>
      <c r="O67" s="196" t="n"/>
    </row>
    <row r="68" ht="12.75" customHeight="1" s="402">
      <c r="A68" s="192" t="n">
        <v>604011</v>
      </c>
      <c r="B68" s="192" t="inlineStr">
        <is>
          <t>huisdrukkerij</t>
        </is>
      </c>
      <c r="C68" s="124" t="n"/>
      <c r="D68" s="8" t="inlineStr">
        <is>
          <t>bestuur en ondersteuning</t>
        </is>
      </c>
      <c r="E68" s="113" t="inlineStr">
        <is>
          <t>T04</t>
        </is>
      </c>
      <c r="F68" s="124" t="inlineStr">
        <is>
          <t>overhead</t>
        </is>
      </c>
      <c r="G68" s="192" t="n"/>
      <c r="H68" s="193" t="n">
        <v>44550</v>
      </c>
      <c r="I68" s="199" t="inlineStr">
        <is>
          <t>investeringsbijdr waterschappen</t>
        </is>
      </c>
      <c r="J68" s="154" t="n"/>
      <c r="K68" s="124" t="n"/>
      <c r="L68" s="124" t="n"/>
      <c r="M68" s="196" t="n"/>
      <c r="N68" s="196" t="n"/>
      <c r="O68" s="196" t="n"/>
    </row>
    <row r="69" ht="15" customHeight="1" s="402">
      <c r="A69" s="192" t="n">
        <v>604012</v>
      </c>
      <c r="B69" s="192" t="inlineStr">
        <is>
          <t>vakliteratuur</t>
        </is>
      </c>
      <c r="C69" s="124" t="n"/>
      <c r="D69" s="8" t="inlineStr">
        <is>
          <t>bestuur en ondersteuning</t>
        </is>
      </c>
      <c r="E69" s="113" t="inlineStr">
        <is>
          <t>T04</t>
        </is>
      </c>
      <c r="F69" s="124" t="inlineStr">
        <is>
          <t>overhead</t>
        </is>
      </c>
      <c r="G69" s="192" t="n"/>
      <c r="H69" s="193" t="n">
        <v>44560</v>
      </c>
      <c r="I69" s="199" t="inlineStr">
        <is>
          <t>investeringsbijdr ov overheden</t>
        </is>
      </c>
      <c r="J69" s="154" t="n"/>
      <c r="K69" s="124" t="n"/>
      <c r="L69" s="124" t="n"/>
      <c r="M69" s="196" t="n"/>
      <c r="N69" s="196" t="n"/>
      <c r="O69" s="196" t="n"/>
    </row>
    <row r="70" ht="12.75" customHeight="1" s="402">
      <c r="A70" s="192" t="n">
        <v>604013</v>
      </c>
      <c r="B70" s="192" t="inlineStr">
        <is>
          <t>archief</t>
        </is>
      </c>
      <c r="C70" s="124" t="n"/>
      <c r="D70" s="8" t="inlineStr">
        <is>
          <t>bestuur en ondersteuning</t>
        </is>
      </c>
      <c r="E70" s="113" t="inlineStr">
        <is>
          <t>T04</t>
        </is>
      </c>
      <c r="F70" s="124" t="inlineStr">
        <is>
          <t>overhead</t>
        </is>
      </c>
      <c r="G70" s="192" t="n"/>
      <c r="H70" s="193" t="n">
        <v>44570</v>
      </c>
      <c r="I70" s="199" t="inlineStr">
        <is>
          <t>investeringsbijdr europese unie</t>
        </is>
      </c>
      <c r="J70" s="154" t="n"/>
      <c r="K70" s="124" t="n"/>
      <c r="L70" s="124" t="n"/>
      <c r="M70" s="196" t="n"/>
      <c r="N70" s="196" t="n"/>
      <c r="O70" s="196" t="n"/>
    </row>
    <row r="71" ht="15" customHeight="1" s="402">
      <c r="A71" s="192" t="n">
        <v>604014</v>
      </c>
      <c r="B71" s="192" t="inlineStr">
        <is>
          <t>bedrijfshulpverlening(bhv)</t>
        </is>
      </c>
      <c r="C71" s="124" t="n"/>
      <c r="D71" s="8" t="inlineStr">
        <is>
          <t>bestuur en ondersteuning</t>
        </is>
      </c>
      <c r="E71" s="113" t="inlineStr">
        <is>
          <t>T04</t>
        </is>
      </c>
      <c r="F71" s="124" t="inlineStr">
        <is>
          <t>overhead</t>
        </is>
      </c>
      <c r="G71" s="192" t="n"/>
      <c r="H71" s="193" t="n">
        <v>44580</v>
      </c>
      <c r="I71" s="199" t="inlineStr">
        <is>
          <t>investeringsbijdr ov instell/person</t>
        </is>
      </c>
      <c r="J71" s="154" t="n"/>
      <c r="K71" s="124" t="n"/>
      <c r="L71" s="124" t="n"/>
      <c r="M71" s="196" t="n"/>
      <c r="N71" s="196" t="n"/>
      <c r="O71" s="196" t="n"/>
    </row>
    <row r="72" ht="15" customHeight="1" s="402">
      <c r="A72" s="192" t="n">
        <v>604015</v>
      </c>
      <c r="B72" s="192" t="inlineStr">
        <is>
          <t>inventaris</t>
        </is>
      </c>
      <c r="C72" s="124" t="n"/>
      <c r="D72" s="8" t="inlineStr">
        <is>
          <t>bestuur en ondersteuning</t>
        </is>
      </c>
      <c r="E72" s="113" t="inlineStr">
        <is>
          <t>T04</t>
        </is>
      </c>
      <c r="F72" s="124" t="inlineStr">
        <is>
          <t>overhead</t>
        </is>
      </c>
      <c r="G72" s="192" t="n"/>
      <c r="H72" s="193" t="n">
        <v>44660</v>
      </c>
      <c r="I72" s="199" t="inlineStr">
        <is>
          <t>overige kapitaaloverdr overheid</t>
        </is>
      </c>
      <c r="J72" s="154" t="n"/>
      <c r="K72" s="124" t="n"/>
      <c r="L72" s="124" t="n"/>
      <c r="M72" s="196" t="n"/>
      <c r="N72" s="196" t="n"/>
      <c r="O72" s="196" t="n"/>
    </row>
    <row r="73" ht="15" customHeight="1" s="402">
      <c r="A73" s="192" t="n">
        <v>604016</v>
      </c>
      <c r="B73" s="192" t="inlineStr">
        <is>
          <t>facilitaire zaken</t>
        </is>
      </c>
      <c r="C73" s="124" t="n"/>
      <c r="D73" s="8" t="inlineStr">
        <is>
          <t>bestuur en ondersteuning</t>
        </is>
      </c>
      <c r="E73" s="113" t="inlineStr">
        <is>
          <t>T04</t>
        </is>
      </c>
      <c r="F73" s="124" t="inlineStr">
        <is>
          <t>overhead</t>
        </is>
      </c>
      <c r="G73" s="192" t="n"/>
      <c r="H73" s="193" t="n">
        <v>44680</v>
      </c>
      <c r="I73" s="199" t="inlineStr">
        <is>
          <t>overige kapitaaloverdr instel/person</t>
        </is>
      </c>
      <c r="J73" s="154" t="n"/>
      <c r="K73" s="124" t="n"/>
      <c r="L73" s="124" t="n"/>
      <c r="M73" s="196" t="n"/>
      <c r="N73" s="196" t="n"/>
      <c r="O73" s="196" t="n"/>
    </row>
    <row r="74" ht="15" customHeight="1" s="402">
      <c r="A74" s="192" t="n">
        <v>604017</v>
      </c>
      <c r="B74" s="192" t="inlineStr">
        <is>
          <t>automatisering</t>
        </is>
      </c>
      <c r="C74" s="124" t="n"/>
      <c r="D74" s="8" t="inlineStr">
        <is>
          <t>bestuur en ondersteuning</t>
        </is>
      </c>
      <c r="E74" s="113" t="inlineStr">
        <is>
          <t>T04</t>
        </is>
      </c>
      <c r="F74" s="124" t="inlineStr">
        <is>
          <t>overhead</t>
        </is>
      </c>
      <c r="G74" s="192" t="n"/>
      <c r="H74" s="193" t="n">
        <v>45100</v>
      </c>
      <c r="I74" s="87" t="inlineStr">
        <is>
          <t>betaalde rente</t>
        </is>
      </c>
      <c r="J74" s="154" t="n"/>
      <c r="K74" s="124" t="n"/>
      <c r="L74" s="124" t="n"/>
      <c r="M74" s="196" t="n"/>
      <c r="N74" s="196" t="n"/>
      <c r="O74" s="196" t="n"/>
    </row>
    <row r="75" ht="15" customHeight="1" s="402">
      <c r="A75" s="192" t="n">
        <v>604018</v>
      </c>
      <c r="B75" s="192" t="inlineStr">
        <is>
          <t>informatiemanagement</t>
        </is>
      </c>
      <c r="C75" s="124" t="n"/>
      <c r="D75" s="8" t="inlineStr">
        <is>
          <t>bestuur en ondersteuning</t>
        </is>
      </c>
      <c r="E75" s="113" t="inlineStr">
        <is>
          <t>T04</t>
        </is>
      </c>
      <c r="F75" s="124" t="inlineStr">
        <is>
          <t>overhead</t>
        </is>
      </c>
      <c r="G75" s="192" t="n"/>
      <c r="H75" s="193" t="n">
        <v>46100</v>
      </c>
      <c r="I75" s="87" t="inlineStr">
        <is>
          <t>financiele transactie</t>
        </is>
      </c>
      <c r="J75" s="154" t="n"/>
      <c r="K75" s="124" t="n"/>
      <c r="L75" s="124" t="n"/>
      <c r="M75" s="196" t="n"/>
      <c r="N75" s="196" t="n"/>
      <c r="O75" s="196" t="n"/>
    </row>
    <row r="76" ht="15" customHeight="1" s="402">
      <c r="A76" s="192" t="n">
        <v>604019</v>
      </c>
      <c r="B76" s="192" t="inlineStr">
        <is>
          <t>informatievoorziening</t>
        </is>
      </c>
      <c r="C76" s="124" t="n"/>
      <c r="D76" s="8" t="inlineStr">
        <is>
          <t>bestuur en ondersteuning</t>
        </is>
      </c>
      <c r="E76" s="113" t="inlineStr">
        <is>
          <t>T04</t>
        </is>
      </c>
      <c r="F76" s="124" t="inlineStr">
        <is>
          <t>overhead</t>
        </is>
      </c>
      <c r="G76" s="192" t="n"/>
      <c r="H76" s="193" t="n">
        <v>46101</v>
      </c>
      <c r="I76" s="87" t="inlineStr">
        <is>
          <t>chartaal geld depos</t>
        </is>
      </c>
      <c r="J76" s="154" t="n"/>
      <c r="K76" s="124" t="n"/>
      <c r="L76" s="124" t="n"/>
      <c r="M76" s="196" t="n"/>
      <c r="N76" s="196" t="n"/>
      <c r="O76" s="196" t="n"/>
    </row>
    <row r="77" ht="15" customHeight="1" s="402">
      <c r="A77" s="192" t="n">
        <v>604020</v>
      </c>
      <c r="B77" s="192" t="inlineStr">
        <is>
          <t>management i&amp;o</t>
        </is>
      </c>
      <c r="C77" s="124" t="n"/>
      <c r="D77" s="8" t="inlineStr">
        <is>
          <t>bestuur en ondersteuning</t>
        </is>
      </c>
      <c r="E77" s="113" t="inlineStr">
        <is>
          <t>T04</t>
        </is>
      </c>
      <c r="F77" s="124" t="inlineStr">
        <is>
          <t>overhead</t>
        </is>
      </c>
      <c r="G77" s="192" t="n"/>
      <c r="H77" s="193" t="n">
        <v>46102</v>
      </c>
      <c r="I77" s="87" t="inlineStr">
        <is>
          <t>langlop eff muv aand</t>
        </is>
      </c>
      <c r="J77" s="154" t="n"/>
      <c r="K77" s="124" t="n"/>
      <c r="L77" s="124" t="n"/>
      <c r="M77" s="196" t="n"/>
      <c r="N77" s="196" t="n"/>
      <c r="O77" s="196" t="n"/>
    </row>
    <row r="78" ht="15" customHeight="1" s="402">
      <c r="A78" s="192" t="n">
        <v>604021</v>
      </c>
      <c r="B78" s="192" t="inlineStr">
        <is>
          <t>gba</t>
        </is>
      </c>
      <c r="C78" s="124" t="n"/>
      <c r="D78" s="8" t="inlineStr">
        <is>
          <t>bestuur en ondersteuning</t>
        </is>
      </c>
      <c r="E78" s="113" t="inlineStr">
        <is>
          <t>T04</t>
        </is>
      </c>
      <c r="F78" s="124" t="inlineStr">
        <is>
          <t>overhead</t>
        </is>
      </c>
      <c r="G78" s="192" t="n"/>
      <c r="H78" s="193" t="n">
        <v>46103</v>
      </c>
      <c r="I78" s="87" t="inlineStr">
        <is>
          <t>kortlopende leningen</t>
        </is>
      </c>
      <c r="J78" s="154" t="n"/>
      <c r="K78" s="124" t="n"/>
      <c r="L78" s="124" t="n"/>
      <c r="M78" s="196" t="n"/>
      <c r="N78" s="196" t="n"/>
      <c r="O78" s="196" t="n"/>
    </row>
    <row r="79" ht="15" customHeight="1" s="402">
      <c r="A79" s="192" t="n">
        <v>604022</v>
      </c>
      <c r="B79" s="192" t="inlineStr">
        <is>
          <t>Implementatie big (P248)</t>
        </is>
      </c>
      <c r="C79" s="124" t="n"/>
      <c r="D79" s="8" t="inlineStr">
        <is>
          <t>bestuur en ondersteuning</t>
        </is>
      </c>
      <c r="E79" s="113" t="inlineStr">
        <is>
          <t>T04</t>
        </is>
      </c>
      <c r="F79" s="124" t="inlineStr">
        <is>
          <t>overhead</t>
        </is>
      </c>
      <c r="G79" s="192" t="n"/>
      <c r="H79" s="193" t="n">
        <v>46104</v>
      </c>
      <c r="I79" s="87" t="inlineStr">
        <is>
          <t>verstrekte langlopende leningen</t>
        </is>
      </c>
      <c r="J79" s="154" t="n"/>
      <c r="K79" s="124" t="n"/>
      <c r="L79" s="124" t="n"/>
      <c r="M79" s="196" t="n"/>
      <c r="N79" s="196" t="n"/>
      <c r="O79" s="196" t="n"/>
    </row>
    <row r="80" ht="15" customHeight="1" s="402">
      <c r="A80" s="192" t="n">
        <v>604023</v>
      </c>
      <c r="B80" s="192" t="inlineStr">
        <is>
          <t>contributies/lidmaatschapp algemeen</t>
        </is>
      </c>
      <c r="C80" s="124" t="n"/>
      <c r="D80" s="8" t="inlineStr">
        <is>
          <t>bestuur en ondersteuning</t>
        </is>
      </c>
      <c r="E80" s="113" t="inlineStr">
        <is>
          <t>T04</t>
        </is>
      </c>
      <c r="F80" s="124" t="inlineStr">
        <is>
          <t>overhead</t>
        </is>
      </c>
      <c r="G80" s="192" t="n"/>
      <c r="H80" s="193" t="n">
        <v>46105</v>
      </c>
      <c r="I80" s="87" t="inlineStr">
        <is>
          <t>afloss opgenom langlopende leningen</t>
        </is>
      </c>
      <c r="J80" s="154" t="n"/>
      <c r="K80" s="124" t="n"/>
      <c r="L80" s="124" t="n"/>
      <c r="M80" s="196" t="n"/>
      <c r="N80" s="196" t="n"/>
      <c r="O80" s="196" t="n"/>
    </row>
    <row r="81" ht="15" customHeight="1" s="402">
      <c r="A81" s="192" t="n">
        <v>604024</v>
      </c>
      <c r="B81" s="192" t="inlineStr">
        <is>
          <t>personeel en organisatie</t>
        </is>
      </c>
      <c r="C81" s="124" t="n"/>
      <c r="D81" s="8" t="inlineStr">
        <is>
          <t>bestuur en ondersteuning</t>
        </is>
      </c>
      <c r="E81" s="113" t="inlineStr">
        <is>
          <t>T04</t>
        </is>
      </c>
      <c r="F81" s="124" t="inlineStr">
        <is>
          <t>overhead</t>
        </is>
      </c>
      <c r="G81" s="192" t="n"/>
      <c r="H81" s="193" t="n">
        <v>46106</v>
      </c>
      <c r="I81" s="87" t="inlineStr">
        <is>
          <t>aandelen ov deelnem</t>
        </is>
      </c>
      <c r="J81" s="154" t="n"/>
      <c r="K81" s="124" t="n"/>
      <c r="L81" s="124" t="n"/>
      <c r="M81" s="196" t="n"/>
      <c r="N81" s="196" t="n"/>
      <c r="O81" s="196" t="n"/>
    </row>
    <row r="82" ht="15" customHeight="1" s="402">
      <c r="A82" s="192" t="n">
        <v>604025</v>
      </c>
      <c r="B82" s="192" t="inlineStr">
        <is>
          <t>management fi</t>
        </is>
      </c>
      <c r="C82" s="124" t="n"/>
      <c r="D82" s="8" t="inlineStr">
        <is>
          <t>bestuur en ondersteuning</t>
        </is>
      </c>
      <c r="E82" s="113" t="inlineStr">
        <is>
          <t>T04</t>
        </is>
      </c>
      <c r="F82" s="124" t="inlineStr">
        <is>
          <t>overhead</t>
        </is>
      </c>
      <c r="G82" s="192" t="n"/>
      <c r="H82" s="193" t="n">
        <v>46107</v>
      </c>
      <c r="I82" s="87" t="inlineStr">
        <is>
          <t>corona verstrekte langl geldlen</t>
        </is>
      </c>
      <c r="J82" s="154" t="n"/>
      <c r="K82" s="124" t="n"/>
      <c r="L82" s="124" t="n"/>
      <c r="M82" s="196" t="n"/>
      <c r="N82" s="196" t="n"/>
      <c r="O82" s="196" t="n"/>
    </row>
    <row r="83" ht="15" customHeight="1" s="402">
      <c r="A83" s="192" t="n">
        <v>604026</v>
      </c>
      <c r="B83" s="192" t="inlineStr">
        <is>
          <t>management advies en financien</t>
        </is>
      </c>
      <c r="C83" s="124" t="n"/>
      <c r="D83" s="8" t="inlineStr">
        <is>
          <t>bestuur en ondersteuning</t>
        </is>
      </c>
      <c r="E83" s="113" t="inlineStr">
        <is>
          <t>T04</t>
        </is>
      </c>
      <c r="F83" s="124" t="inlineStr">
        <is>
          <t>overhead</t>
        </is>
      </c>
      <c r="G83" s="192" t="n"/>
      <c r="H83" s="193" t="n">
        <v>47100</v>
      </c>
      <c r="I83" s="87" t="inlineStr">
        <is>
          <t>reserveringen</t>
        </is>
      </c>
      <c r="J83" s="154" t="n"/>
      <c r="K83" s="124" t="n"/>
      <c r="L83" s="124" t="n"/>
      <c r="M83" s="196" t="n"/>
      <c r="N83" s="196" t="n"/>
      <c r="O83" s="196" t="n"/>
    </row>
    <row r="84" ht="15" customHeight="1" s="402">
      <c r="A84" s="192" t="n">
        <v>604027</v>
      </c>
      <c r="B84" s="192" t="inlineStr">
        <is>
          <t>financiele administratie</t>
        </is>
      </c>
      <c r="C84" s="124" t="n"/>
      <c r="D84" s="8" t="inlineStr">
        <is>
          <t>bestuur en ondersteuning</t>
        </is>
      </c>
      <c r="E84" s="113" t="inlineStr">
        <is>
          <t>T04</t>
        </is>
      </c>
      <c r="F84" s="124" t="inlineStr">
        <is>
          <t>overhead</t>
        </is>
      </c>
      <c r="G84" s="192" t="n"/>
      <c r="H84" s="193" t="n">
        <v>47101</v>
      </c>
      <c r="I84" s="87" t="inlineStr">
        <is>
          <t>reservering resultaat</t>
        </is>
      </c>
      <c r="J84" s="154" t="n"/>
      <c r="K84" s="124" t="n"/>
      <c r="L84" s="124" t="n"/>
      <c r="M84" s="196" t="n"/>
      <c r="N84" s="196" t="n"/>
      <c r="O84" s="196" t="n"/>
    </row>
    <row r="85" ht="15" customHeight="1" s="402">
      <c r="A85" s="192" t="n">
        <v>604028</v>
      </c>
      <c r="B85" s="192" t="inlineStr">
        <is>
          <t>financieel beleid</t>
        </is>
      </c>
      <c r="C85" s="124" t="n"/>
      <c r="D85" s="8" t="inlineStr">
        <is>
          <t>bestuur en ondersteuning</t>
        </is>
      </c>
      <c r="E85" s="113" t="inlineStr">
        <is>
          <t>T04</t>
        </is>
      </c>
      <c r="F85" s="124" t="inlineStr">
        <is>
          <t>overhead</t>
        </is>
      </c>
      <c r="G85" s="192" t="n"/>
      <c r="H85" s="193" t="n">
        <v>47200</v>
      </c>
      <c r="I85" s="87" t="inlineStr">
        <is>
          <t>voorziening contante waarde</t>
        </is>
      </c>
      <c r="J85" s="154" t="n"/>
      <c r="K85" s="124" t="n"/>
      <c r="L85" s="124" t="n"/>
      <c r="M85" s="196" t="n"/>
      <c r="N85" s="196" t="n"/>
      <c r="O85" s="196" t="n"/>
    </row>
    <row r="86" ht="15" customHeight="1" s="402">
      <c r="A86" s="192" t="n">
        <v>604029</v>
      </c>
      <c r="B86" s="192" t="inlineStr">
        <is>
          <t>communicatie</t>
        </is>
      </c>
      <c r="C86" s="124" t="n"/>
      <c r="D86" s="8" t="inlineStr">
        <is>
          <t>bestuur en ondersteuning</t>
        </is>
      </c>
      <c r="E86" s="113" t="inlineStr">
        <is>
          <t>T04</t>
        </is>
      </c>
      <c r="F86" s="124" t="inlineStr">
        <is>
          <t>overhead</t>
        </is>
      </c>
      <c r="G86" s="192" t="n"/>
      <c r="H86" s="193" t="n">
        <v>47201</v>
      </c>
      <c r="I86" s="87" t="inlineStr">
        <is>
          <t>onderhoudsvoorzieningen</t>
        </is>
      </c>
      <c r="J86" s="154" t="n"/>
      <c r="K86" s="124" t="n"/>
      <c r="L86" s="124" t="n"/>
      <c r="M86" s="196" t="n"/>
      <c r="N86" s="196" t="n"/>
      <c r="O86" s="196" t="n"/>
    </row>
    <row r="87" ht="15" customHeight="1" s="402">
      <c r="A87" s="192" t="n">
        <v>604030</v>
      </c>
      <c r="B87" s="192" t="inlineStr">
        <is>
          <t>advertentiekosten</t>
        </is>
      </c>
      <c r="C87" s="124" t="n"/>
      <c r="D87" s="8" t="inlineStr">
        <is>
          <t>bestuur en ondersteuning</t>
        </is>
      </c>
      <c r="E87" s="113" t="inlineStr">
        <is>
          <t>T04</t>
        </is>
      </c>
      <c r="F87" s="124" t="inlineStr">
        <is>
          <t>overhead</t>
        </is>
      </c>
      <c r="G87" s="192" t="n"/>
      <c r="H87" s="193" t="n">
        <v>47300</v>
      </c>
      <c r="I87" s="87" t="inlineStr">
        <is>
          <t>afschrijvingen</t>
        </is>
      </c>
      <c r="J87" s="154" t="n"/>
      <c r="K87" s="124" t="n"/>
      <c r="L87" s="124" t="n"/>
      <c r="M87" s="196" t="n"/>
      <c r="N87" s="196" t="n"/>
      <c r="O87" s="196" t="n"/>
    </row>
    <row r="88" ht="15" customHeight="1" s="402">
      <c r="A88" s="192" t="n">
        <v>604031</v>
      </c>
      <c r="B88" s="192" t="inlineStr">
        <is>
          <t>digitale dienstverlening</t>
        </is>
      </c>
      <c r="C88" s="124" t="n"/>
      <c r="D88" s="8" t="inlineStr">
        <is>
          <t>bestuur en ondersteuning</t>
        </is>
      </c>
      <c r="E88" s="113" t="inlineStr">
        <is>
          <t>T04</t>
        </is>
      </c>
      <c r="F88" s="124" t="inlineStr">
        <is>
          <t>overhead</t>
        </is>
      </c>
      <c r="G88" s="192" t="n"/>
      <c r="H88" s="193" t="n">
        <v>47400</v>
      </c>
      <c r="I88" s="87" t="inlineStr">
        <is>
          <t>toegerekende rente</t>
        </is>
      </c>
      <c r="J88" s="154" t="n"/>
      <c r="K88" s="124" t="n"/>
      <c r="L88" s="124" t="n"/>
      <c r="M88" s="196" t="n"/>
      <c r="N88" s="196" t="n"/>
      <c r="O88" s="196" t="n"/>
    </row>
    <row r="89" ht="15" customHeight="1" s="402">
      <c r="A89" s="192" t="n">
        <v>604032</v>
      </c>
      <c r="B89" s="192" t="inlineStr">
        <is>
          <t xml:space="preserve">juridische zaken </t>
        </is>
      </c>
      <c r="C89" s="124" t="n"/>
      <c r="D89" s="8" t="inlineStr">
        <is>
          <t>bestuur en ondersteuning</t>
        </is>
      </c>
      <c r="E89" s="113" t="inlineStr">
        <is>
          <t>T04</t>
        </is>
      </c>
      <c r="F89" s="124" t="inlineStr">
        <is>
          <t>overhead</t>
        </is>
      </c>
      <c r="G89" s="192" t="n"/>
      <c r="H89" s="193" t="n">
        <v>47500</v>
      </c>
      <c r="I89" s="199" t="inlineStr">
        <is>
          <t>mutatie boekwaarde bouwgrond</t>
        </is>
      </c>
      <c r="J89" s="154" t="n"/>
      <c r="K89" s="124" t="n"/>
      <c r="L89" s="124" t="n"/>
      <c r="M89" s="196" t="n"/>
      <c r="N89" s="196" t="n"/>
      <c r="O89" s="196" t="n"/>
    </row>
    <row r="90" ht="15" customHeight="1" s="402">
      <c r="A90" s="192" t="n">
        <v>604033</v>
      </c>
      <c r="B90" s="192" t="inlineStr">
        <is>
          <t>kwaliteit &amp; control</t>
        </is>
      </c>
      <c r="C90" s="124" t="n"/>
      <c r="D90" s="8" t="inlineStr">
        <is>
          <t>bestuur en ondersteuning</t>
        </is>
      </c>
      <c r="E90" s="113" t="inlineStr">
        <is>
          <t>T04</t>
        </is>
      </c>
      <c r="F90" s="124" t="inlineStr">
        <is>
          <t>overhead</t>
        </is>
      </c>
      <c r="G90" s="192" t="n"/>
      <c r="H90" s="193" t="n">
        <v>47501</v>
      </c>
      <c r="I90" s="87" t="inlineStr">
        <is>
          <t>verrekeningen</t>
        </is>
      </c>
      <c r="J90" s="154" t="n"/>
      <c r="K90" s="124" t="n"/>
      <c r="L90" s="124" t="n"/>
      <c r="M90" s="196" t="n"/>
      <c r="N90" s="196" t="n"/>
      <c r="O90" s="196" t="n"/>
    </row>
    <row r="91" ht="15" customHeight="1" s="402">
      <c r="A91" s="192" t="n">
        <v>604034</v>
      </c>
      <c r="B91" s="192" t="inlineStr">
        <is>
          <t>directie</t>
        </is>
      </c>
      <c r="C91" s="124" t="n"/>
      <c r="D91" s="8" t="inlineStr">
        <is>
          <t>bestuur en ondersteuning</t>
        </is>
      </c>
      <c r="E91" s="113" t="inlineStr">
        <is>
          <t>T04</t>
        </is>
      </c>
      <c r="F91" s="124" t="inlineStr">
        <is>
          <t>overhead</t>
        </is>
      </c>
      <c r="G91" s="192" t="n"/>
      <c r="H91" s="200" t="n">
        <v>82210</v>
      </c>
      <c r="I91" s="199" t="inlineStr">
        <is>
          <t>belasting producenten</t>
        </is>
      </c>
      <c r="J91" s="154" t="n"/>
      <c r="K91" s="124" t="n"/>
      <c r="L91" s="124" t="n"/>
      <c r="M91" s="196" t="n"/>
      <c r="N91" s="196" t="n"/>
      <c r="O91" s="196" t="n"/>
    </row>
    <row r="92">
      <c r="A92" s="192" t="n">
        <v>604035</v>
      </c>
      <c r="B92" s="192" t="inlineStr">
        <is>
          <t>ondernemingsraad</t>
        </is>
      </c>
      <c r="C92" s="124" t="n"/>
      <c r="D92" s="8" t="inlineStr">
        <is>
          <t>bestuur en ondersteuning</t>
        </is>
      </c>
      <c r="E92" s="113" t="inlineStr">
        <is>
          <t>T04</t>
        </is>
      </c>
      <c r="F92" s="124" t="inlineStr">
        <is>
          <t>overhead</t>
        </is>
      </c>
      <c r="G92" s="192" t="n"/>
      <c r="H92" s="193" t="n">
        <v>82211</v>
      </c>
      <c r="I92" s="198" t="inlineStr">
        <is>
          <t>corona belasting op producenten</t>
        </is>
      </c>
      <c r="J92" s="154" t="n"/>
      <c r="K92" s="124" t="n"/>
      <c r="L92" s="124" t="n"/>
      <c r="M92" s="196" t="n"/>
      <c r="N92" s="196" t="n"/>
      <c r="O92" s="196" t="n"/>
    </row>
    <row r="93" ht="15" customHeight="1" s="402">
      <c r="A93" s="192" t="n">
        <v>604036</v>
      </c>
      <c r="B93" s="192" t="inlineStr">
        <is>
          <t>terugontvangsten salarissen</t>
        </is>
      </c>
      <c r="C93" s="124" t="n"/>
      <c r="D93" s="8" t="inlineStr">
        <is>
          <t>bestuur en ondersteuning</t>
        </is>
      </c>
      <c r="E93" s="113" t="inlineStr">
        <is>
          <t>T04</t>
        </is>
      </c>
      <c r="F93" s="124" t="inlineStr">
        <is>
          <t>overhead</t>
        </is>
      </c>
      <c r="G93" s="192" t="n"/>
      <c r="H93" s="200" t="n">
        <v>82220</v>
      </c>
      <c r="I93" s="199" t="inlineStr">
        <is>
          <t>belasting inkomen gezinnen</t>
        </is>
      </c>
      <c r="J93" s="154" t="n"/>
      <c r="K93" s="124" t="n"/>
      <c r="L93" s="124" t="n"/>
      <c r="M93" s="196" t="n"/>
      <c r="N93" s="196" t="n"/>
      <c r="O93" s="196" t="n"/>
    </row>
    <row r="94" ht="15" customHeight="1" s="402">
      <c r="A94" s="192" t="n">
        <v>604037</v>
      </c>
      <c r="B94" s="192" t="inlineStr">
        <is>
          <t>management r&amp;o</t>
        </is>
      </c>
      <c r="C94" s="124" t="n"/>
      <c r="D94" s="8" t="inlineStr">
        <is>
          <t>bestuur en ondersteuning</t>
        </is>
      </c>
      <c r="E94" s="113" t="inlineStr">
        <is>
          <t>T04</t>
        </is>
      </c>
      <c r="F94" s="124" t="inlineStr">
        <is>
          <t>overhead</t>
        </is>
      </c>
      <c r="G94" s="192" t="n"/>
      <c r="H94" s="200" t="n">
        <v>83100</v>
      </c>
      <c r="I94" s="199" t="inlineStr">
        <is>
          <t>grondverkopen</t>
        </is>
      </c>
      <c r="J94" s="154" t="n"/>
      <c r="K94" s="124" t="n"/>
      <c r="L94" s="124" t="n"/>
      <c r="M94" s="196" t="n"/>
      <c r="N94" s="196" t="n"/>
      <c r="O94" s="196" t="n"/>
    </row>
    <row r="95" ht="15" customHeight="1" s="402">
      <c r="A95" s="192" t="n">
        <v>604038</v>
      </c>
      <c r="B95" s="192" t="inlineStr">
        <is>
          <t>vastgoedbeheer</t>
        </is>
      </c>
      <c r="C95" s="124" t="n"/>
      <c r="D95" s="8" t="inlineStr">
        <is>
          <t>bestuur en ondersteuning</t>
        </is>
      </c>
      <c r="E95" s="113" t="inlineStr">
        <is>
          <t>T04</t>
        </is>
      </c>
      <c r="F95" s="124" t="inlineStr">
        <is>
          <t>overhead</t>
        </is>
      </c>
      <c r="G95" s="192" t="n"/>
      <c r="H95" s="200" t="n">
        <v>83200</v>
      </c>
      <c r="I95" s="199" t="inlineStr">
        <is>
          <t>duurzame investeringen</t>
        </is>
      </c>
      <c r="J95" s="154" t="n"/>
      <c r="K95" s="124" t="n"/>
      <c r="L95" s="124" t="n"/>
      <c r="M95" s="196" t="n"/>
      <c r="N95" s="196" t="n"/>
      <c r="O95" s="196" t="n"/>
    </row>
    <row r="96" ht="15" customHeight="1" s="402">
      <c r="A96" s="192" t="n">
        <v>604039</v>
      </c>
      <c r="B96" s="192" t="inlineStr">
        <is>
          <t>management oz</t>
        </is>
      </c>
      <c r="C96" s="124" t="n"/>
      <c r="D96" s="8" t="inlineStr">
        <is>
          <t>bestuur en ondersteuning</t>
        </is>
      </c>
      <c r="E96" s="113" t="inlineStr">
        <is>
          <t>T04</t>
        </is>
      </c>
      <c r="F96" s="124" t="inlineStr">
        <is>
          <t>overhead</t>
        </is>
      </c>
      <c r="G96" s="192" t="n"/>
      <c r="H96" s="200" t="n">
        <v>83300</v>
      </c>
      <c r="I96" s="199" t="inlineStr">
        <is>
          <t>pachten</t>
        </is>
      </c>
      <c r="J96" s="154" t="n"/>
      <c r="K96" s="124" t="n"/>
      <c r="L96" s="124" t="n"/>
      <c r="M96" s="196" t="n"/>
      <c r="N96" s="196" t="n"/>
      <c r="O96" s="196" t="n"/>
    </row>
    <row r="97" ht="15" customHeight="1" s="402">
      <c r="A97" s="192" t="n">
        <v>604040</v>
      </c>
      <c r="B97" s="192" t="inlineStr">
        <is>
          <t>management pz</t>
        </is>
      </c>
      <c r="C97" s="124" t="n"/>
      <c r="D97" s="8" t="inlineStr">
        <is>
          <t>bestuur en ondersteuning</t>
        </is>
      </c>
      <c r="E97" s="113" t="inlineStr">
        <is>
          <t>T04</t>
        </is>
      </c>
      <c r="F97" s="124" t="inlineStr">
        <is>
          <t>overhead</t>
        </is>
      </c>
      <c r="G97" s="192" t="n"/>
      <c r="H97" s="193" t="n">
        <v>83301</v>
      </c>
      <c r="I97" s="198" t="inlineStr">
        <is>
          <t>corona pachten</t>
        </is>
      </c>
      <c r="J97" s="154" t="n"/>
      <c r="K97" s="124" t="n"/>
      <c r="L97" s="124" t="n"/>
      <c r="M97" s="196" t="n"/>
      <c r="N97" s="196" t="n"/>
      <c r="O97" s="196" t="n"/>
    </row>
    <row r="98" ht="12.75" customHeight="1" s="402">
      <c r="A98" s="192" t="n">
        <v>604041</v>
      </c>
      <c r="B98" s="192" t="inlineStr">
        <is>
          <t>tic/tkcc</t>
        </is>
      </c>
      <c r="C98" s="124" t="n"/>
      <c r="D98" s="8" t="inlineStr">
        <is>
          <t>bestuur en ondersteuning</t>
        </is>
      </c>
      <c r="E98" s="113" t="inlineStr">
        <is>
          <t>T04</t>
        </is>
      </c>
      <c r="F98" s="124" t="inlineStr">
        <is>
          <t>overhead</t>
        </is>
      </c>
      <c r="G98" s="192" t="n"/>
      <c r="H98" s="200" t="n">
        <v>83420</v>
      </c>
      <c r="I98" s="199" t="inlineStr">
        <is>
          <t>verhaal sociale uitkeringen natura</t>
        </is>
      </c>
      <c r="J98" s="154" t="n"/>
      <c r="K98" s="124" t="n"/>
      <c r="L98" s="124" t="n"/>
      <c r="M98" s="196" t="n"/>
      <c r="N98" s="196" t="n"/>
      <c r="O98" s="196" t="n"/>
    </row>
    <row r="99" ht="15" customHeight="1" s="402">
      <c r="A99" s="192" t="n">
        <v>604042</v>
      </c>
      <c r="B99" s="192" t="inlineStr">
        <is>
          <t xml:space="preserve">flexibele schil 1e lijn </t>
        </is>
      </c>
      <c r="C99" s="124" t="n"/>
      <c r="D99" s="8" t="inlineStr">
        <is>
          <t>bestuur en ondersteuning</t>
        </is>
      </c>
      <c r="E99" s="113" t="inlineStr">
        <is>
          <t>T04</t>
        </is>
      </c>
      <c r="F99" s="124" t="inlineStr">
        <is>
          <t>overhead</t>
        </is>
      </c>
      <c r="G99" s="192" t="n"/>
      <c r="H99" s="193" t="n">
        <v>83421</v>
      </c>
      <c r="I99" s="198" t="inlineStr">
        <is>
          <t>corona eigen bijdr/verhaal</t>
        </is>
      </c>
      <c r="J99" s="154" t="n"/>
      <c r="K99" s="124" t="n"/>
      <c r="L99" s="124" t="n"/>
      <c r="M99" s="196" t="n"/>
      <c r="N99" s="196" t="n"/>
      <c r="O99" s="196" t="n"/>
    </row>
    <row r="100" ht="15" customHeight="1" s="402">
      <c r="A100" s="192" t="n">
        <v>604043</v>
      </c>
      <c r="B100" s="192" t="inlineStr">
        <is>
          <t>flexibele schil 2e lijn</t>
        </is>
      </c>
      <c r="C100" s="124" t="n"/>
      <c r="D100" s="8" t="inlineStr">
        <is>
          <t>bestuur en ondersteuning</t>
        </is>
      </c>
      <c r="E100" s="113" t="inlineStr">
        <is>
          <t>T04</t>
        </is>
      </c>
      <c r="F100" s="124" t="inlineStr">
        <is>
          <t>overhead</t>
        </is>
      </c>
      <c r="G100" s="192" t="n"/>
      <c r="H100" s="200" t="n">
        <v>83520</v>
      </c>
      <c r="I100" s="199" t="inlineStr">
        <is>
          <t>vergoedingen voor personeel</t>
        </is>
      </c>
      <c r="J100" s="154" t="n"/>
      <c r="K100" s="124" t="n"/>
      <c r="L100" s="124" t="n"/>
      <c r="M100" s="196" t="n"/>
      <c r="N100" s="196" t="n"/>
      <c r="O100" s="196" t="n"/>
    </row>
    <row r="101" ht="15" customHeight="1" s="402">
      <c r="A101" s="192" t="n">
        <v>604044</v>
      </c>
      <c r="B101" s="192" t="inlineStr">
        <is>
          <t>management b&amp;r</t>
        </is>
      </c>
      <c r="C101" s="124" t="n"/>
      <c r="D101" s="8" t="inlineStr">
        <is>
          <t>bestuur en ondersteuning</t>
        </is>
      </c>
      <c r="E101" s="113" t="inlineStr">
        <is>
          <t>T04</t>
        </is>
      </c>
      <c r="F101" s="124" t="inlineStr">
        <is>
          <t>overhead</t>
        </is>
      </c>
      <c r="G101" s="192" t="n"/>
      <c r="H101" s="200" t="n">
        <v>83600</v>
      </c>
      <c r="I101" s="199" t="inlineStr">
        <is>
          <t>huren</t>
        </is>
      </c>
      <c r="J101" s="154" t="n"/>
      <c r="K101" s="124" t="n"/>
      <c r="L101" s="124" t="n"/>
      <c r="M101" s="196" t="n"/>
      <c r="N101" s="196" t="n"/>
      <c r="O101" s="196" t="n"/>
    </row>
    <row r="102" ht="15" customHeight="1" s="402">
      <c r="A102" s="192" t="n">
        <v>604045</v>
      </c>
      <c r="B102" s="192" t="inlineStr">
        <is>
          <t>gemeentewerf</t>
        </is>
      </c>
      <c r="C102" s="124" t="n"/>
      <c r="D102" s="8" t="inlineStr">
        <is>
          <t>bestuur en ondersteuning</t>
        </is>
      </c>
      <c r="E102" s="113" t="inlineStr">
        <is>
          <t>T04</t>
        </is>
      </c>
      <c r="F102" s="124" t="inlineStr">
        <is>
          <t>overhead</t>
        </is>
      </c>
      <c r="G102" s="192" t="n"/>
      <c r="H102" s="200" t="n">
        <v>83601</v>
      </c>
      <c r="I102" s="198" t="inlineStr">
        <is>
          <t>corona huren</t>
        </is>
      </c>
      <c r="J102" s="154" t="n"/>
      <c r="K102" s="124" t="n"/>
      <c r="L102" s="124" t="n"/>
      <c r="M102" s="196" t="n"/>
      <c r="N102" s="196" t="n"/>
      <c r="O102" s="196" t="n"/>
    </row>
    <row r="103" ht="15" customHeight="1" s="402">
      <c r="A103" s="192" t="n">
        <v>604046</v>
      </c>
      <c r="B103" s="192" t="inlineStr">
        <is>
          <t>gereedschappen</t>
        </is>
      </c>
      <c r="C103" s="124" t="n"/>
      <c r="D103" s="8" t="inlineStr">
        <is>
          <t>bestuur en ondersteuning</t>
        </is>
      </c>
      <c r="E103" s="113" t="inlineStr">
        <is>
          <t>T04</t>
        </is>
      </c>
      <c r="F103" s="124" t="inlineStr">
        <is>
          <t>overhead</t>
        </is>
      </c>
      <c r="G103" s="192" t="n"/>
      <c r="H103" s="200" t="n">
        <v>83700</v>
      </c>
      <c r="I103" s="199" t="inlineStr">
        <is>
          <t>leges en rechten</t>
        </is>
      </c>
      <c r="J103" s="154" t="n"/>
      <c r="K103" s="124" t="n"/>
      <c r="L103" s="124" t="n"/>
      <c r="M103" s="196" t="n"/>
      <c r="N103" s="196" t="n"/>
      <c r="O103" s="196" t="n"/>
    </row>
    <row r="104" ht="15" customHeight="1" s="402">
      <c r="A104" s="192" t="n">
        <v>604047</v>
      </c>
      <c r="B104" s="192" t="inlineStr">
        <is>
          <t>vrachtwagen met laadkraan</t>
        </is>
      </c>
      <c r="C104" s="124" t="n"/>
      <c r="D104" s="8" t="inlineStr">
        <is>
          <t>bestuur en ondersteuning</t>
        </is>
      </c>
      <c r="E104" s="113" t="inlineStr">
        <is>
          <t>T04</t>
        </is>
      </c>
      <c r="F104" s="124" t="inlineStr">
        <is>
          <t>overhead</t>
        </is>
      </c>
      <c r="G104" s="192" t="n"/>
      <c r="H104" s="193" t="n">
        <v>83701</v>
      </c>
      <c r="I104" s="198" t="inlineStr">
        <is>
          <t>corona leges en andere rechten</t>
        </is>
      </c>
      <c r="J104" s="154" t="n"/>
      <c r="K104" s="124" t="n"/>
      <c r="L104" s="124" t="n"/>
      <c r="M104" s="196" t="n"/>
      <c r="N104" s="196" t="n"/>
      <c r="O104" s="196" t="n"/>
    </row>
    <row r="105" ht="15" customHeight="1" s="402">
      <c r="A105" s="192" t="n">
        <v>604048</v>
      </c>
      <c r="B105" s="192" t="inlineStr">
        <is>
          <t>voertuigen/gereedschappen algemeen</t>
        </is>
      </c>
      <c r="C105" s="124" t="n"/>
      <c r="D105" s="8" t="inlineStr">
        <is>
          <t>bestuur en ondersteuning</t>
        </is>
      </c>
      <c r="E105" s="113" t="inlineStr">
        <is>
          <t>T04</t>
        </is>
      </c>
      <c r="F105" s="124" t="inlineStr">
        <is>
          <t>overhead</t>
        </is>
      </c>
      <c r="G105" s="192" t="n"/>
      <c r="H105" s="200" t="n">
        <v>83800</v>
      </c>
      <c r="I105" s="199" t="inlineStr">
        <is>
          <t>overige goederen en diensten</t>
        </is>
      </c>
      <c r="J105" s="154" t="n"/>
      <c r="K105" s="124" t="n"/>
      <c r="L105" s="124" t="n"/>
      <c r="M105" s="124" t="n"/>
      <c r="N105" s="124" t="n"/>
      <c r="O105" s="124" t="n"/>
    </row>
    <row r="106" ht="15" customHeight="1" s="402">
      <c r="A106" s="192" t="n">
        <v>604049</v>
      </c>
      <c r="B106" s="192" t="inlineStr">
        <is>
          <t>bestelwagen timmerman</t>
        </is>
      </c>
      <c r="C106" s="124" t="n"/>
      <c r="D106" s="8" t="inlineStr">
        <is>
          <t>bestuur en ondersteuning</t>
        </is>
      </c>
      <c r="E106" s="113" t="inlineStr">
        <is>
          <t>T04</t>
        </is>
      </c>
      <c r="F106" s="124" t="inlineStr">
        <is>
          <t>overhead</t>
        </is>
      </c>
      <c r="G106" s="192" t="n"/>
      <c r="H106" s="200" t="n">
        <v>83801</v>
      </c>
      <c r="I106" s="199" t="inlineStr">
        <is>
          <t>corona ov goed/dnst</t>
        </is>
      </c>
      <c r="J106" s="154" t="n"/>
      <c r="K106" s="124" t="n"/>
      <c r="L106" s="124" t="n"/>
      <c r="M106" s="124" t="n"/>
      <c r="N106" s="124" t="n"/>
      <c r="O106" s="124" t="n"/>
    </row>
    <row r="107" ht="15" customHeight="1" s="402">
      <c r="A107" s="192" t="n">
        <v>604050</v>
      </c>
      <c r="B107" s="192" t="inlineStr">
        <is>
          <t>dienstauto's</t>
        </is>
      </c>
      <c r="C107" s="124" t="n"/>
      <c r="D107" s="8" t="inlineStr">
        <is>
          <t>bestuur en ondersteuning</t>
        </is>
      </c>
      <c r="E107" s="113" t="inlineStr">
        <is>
          <t>T04</t>
        </is>
      </c>
      <c r="F107" s="124" t="inlineStr">
        <is>
          <t>overhead</t>
        </is>
      </c>
      <c r="G107" s="192" t="n"/>
      <c r="H107" s="200" t="n">
        <v>84120</v>
      </c>
      <c r="I107" s="199" t="inlineStr">
        <is>
          <t>verhaal sociale uitkeringen geld</t>
        </is>
      </c>
      <c r="J107" s="154" t="n"/>
      <c r="K107" s="124" t="n"/>
      <c r="L107" s="124" t="n"/>
      <c r="M107" s="124" t="n"/>
      <c r="N107" s="124" t="n"/>
      <c r="O107" s="124" t="n"/>
    </row>
    <row r="108" ht="15" customHeight="1" s="402">
      <c r="A108" s="192" t="n">
        <v>604051</v>
      </c>
      <c r="B108" s="192" t="inlineStr">
        <is>
          <t>project samen gaan</t>
        </is>
      </c>
      <c r="C108" s="124" t="n"/>
      <c r="D108" s="8" t="inlineStr">
        <is>
          <t>bestuur en ondersteuning</t>
        </is>
      </c>
      <c r="E108" s="113" t="inlineStr">
        <is>
          <t>T04</t>
        </is>
      </c>
      <c r="F108" s="124" t="inlineStr">
        <is>
          <t>overhead</t>
        </is>
      </c>
      <c r="G108" s="192" t="n"/>
      <c r="H108" s="200" t="n">
        <v>84121</v>
      </c>
      <c r="I108" s="92" t="inlineStr">
        <is>
          <t>corona bijdr/verhaal uitk in geld</t>
        </is>
      </c>
      <c r="J108" s="154" t="n"/>
      <c r="K108" s="124" t="n"/>
      <c r="L108" s="124" t="n"/>
      <c r="M108" s="124" t="n"/>
      <c r="N108" s="124" t="n"/>
      <c r="O108" s="124" t="n"/>
    </row>
    <row r="109" ht="15" customHeight="1" s="402">
      <c r="A109" s="192" t="n">
        <v>604052</v>
      </c>
      <c r="B109" s="192" t="inlineStr">
        <is>
          <t>visie nieuwbouw</t>
        </is>
      </c>
      <c r="C109" s="124" t="n"/>
      <c r="D109" s="8" t="inlineStr">
        <is>
          <t>bestuur en ondersteuning</t>
        </is>
      </c>
      <c r="E109" s="113" t="inlineStr">
        <is>
          <t>T04</t>
        </is>
      </c>
      <c r="F109" s="124" t="inlineStr">
        <is>
          <t>overhead</t>
        </is>
      </c>
      <c r="G109" s="192" t="n"/>
      <c r="H109" s="200" t="n">
        <v>84310</v>
      </c>
      <c r="I109" s="87" t="inlineStr">
        <is>
          <t>inkomensoverdr van het rijk</t>
        </is>
      </c>
      <c r="J109" s="154" t="n"/>
      <c r="K109" s="124" t="n"/>
      <c r="L109" s="124" t="n"/>
      <c r="M109" s="124" t="n"/>
      <c r="N109" s="124" t="n"/>
      <c r="O109" s="124" t="n"/>
    </row>
    <row r="110">
      <c r="A110" s="192" t="n">
        <v>604053</v>
      </c>
      <c r="B110" s="192" t="inlineStr">
        <is>
          <t>werkbudget interne dienstverl</t>
        </is>
      </c>
      <c r="C110" s="124" t="n"/>
      <c r="D110" s="8" t="inlineStr">
        <is>
          <t>bestuur en ondersteuning</t>
        </is>
      </c>
      <c r="E110" s="113" t="inlineStr">
        <is>
          <t>T04</t>
        </is>
      </c>
      <c r="F110" s="124" t="inlineStr">
        <is>
          <t>overhead</t>
        </is>
      </c>
      <c r="G110" s="192" t="n"/>
      <c r="H110" s="193" t="n">
        <v>84311</v>
      </c>
      <c r="I110" s="198" t="inlineStr">
        <is>
          <t>corona ovdr van het rijk</t>
        </is>
      </c>
      <c r="J110" s="154" t="n"/>
      <c r="K110" s="124" t="n"/>
      <c r="L110" s="124" t="n"/>
      <c r="M110" s="124" t="n"/>
      <c r="N110" s="124" t="n"/>
      <c r="O110" s="124" t="n"/>
    </row>
    <row r="111" ht="15" customHeight="1" s="402">
      <c r="A111" s="192" t="n">
        <v>604054</v>
      </c>
      <c r="B111" s="192" t="inlineStr">
        <is>
          <t>verbetering bereikbaarheid</t>
        </is>
      </c>
      <c r="C111" s="124" t="n"/>
      <c r="D111" s="8" t="inlineStr">
        <is>
          <t>bestuur en ondersteuning</t>
        </is>
      </c>
      <c r="E111" s="113" t="inlineStr">
        <is>
          <t>T04</t>
        </is>
      </c>
      <c r="F111" s="124" t="inlineStr">
        <is>
          <t>overhead</t>
        </is>
      </c>
      <c r="G111" s="192" t="n"/>
      <c r="H111" s="200" t="n">
        <v>84320</v>
      </c>
      <c r="I111" s="87" t="inlineStr">
        <is>
          <t>inkomensoverdr van gemeenten</t>
        </is>
      </c>
      <c r="J111" s="154" t="n"/>
      <c r="K111" s="124" t="n"/>
      <c r="L111" s="124" t="n"/>
      <c r="M111" s="124" t="n"/>
      <c r="N111" s="124" t="n"/>
      <c r="O111" s="124" t="n"/>
    </row>
    <row r="112" ht="15" customHeight="1" s="402">
      <c r="A112" s="192" t="n">
        <v>604055</v>
      </c>
      <c r="B112" s="192" t="inlineStr">
        <is>
          <t>serviceformules en klantreizen</t>
        </is>
      </c>
      <c r="C112" s="124" t="n"/>
      <c r="D112" s="8" t="inlineStr">
        <is>
          <t>bestuur en ondersteuning</t>
        </is>
      </c>
      <c r="E112" s="113" t="inlineStr">
        <is>
          <t>T04</t>
        </is>
      </c>
      <c r="F112" s="124" t="inlineStr">
        <is>
          <t>overhead</t>
        </is>
      </c>
      <c r="G112" s="192" t="n"/>
      <c r="H112" s="200" t="n">
        <v>84330</v>
      </c>
      <c r="I112" s="87" t="inlineStr">
        <is>
          <t>inkomensoverdr van gem regelingen</t>
        </is>
      </c>
      <c r="J112" s="154" t="n"/>
      <c r="K112" s="124" t="n"/>
      <c r="L112" s="124" t="n"/>
      <c r="M112" s="124" t="n"/>
      <c r="N112" s="124" t="n"/>
      <c r="O112" s="124" t="n"/>
    </row>
    <row r="113" ht="15" customHeight="1" s="402">
      <c r="A113" s="192" t="n">
        <v>604056</v>
      </c>
      <c r="B113" s="192" t="inlineStr">
        <is>
          <t>management domein omgeving</t>
        </is>
      </c>
      <c r="C113" s="124" t="n"/>
      <c r="D113" s="8" t="inlineStr">
        <is>
          <t>bestuur en ondersteuning</t>
        </is>
      </c>
      <c r="E113" s="113" t="inlineStr">
        <is>
          <t>T04</t>
        </is>
      </c>
      <c r="F113" s="124" t="inlineStr">
        <is>
          <t>overhead</t>
        </is>
      </c>
      <c r="G113" s="192" t="n"/>
      <c r="H113" s="200" t="n">
        <v>84331</v>
      </c>
      <c r="I113" s="87" t="inlineStr">
        <is>
          <t>corona ovdr van gem regelingen</t>
        </is>
      </c>
    </row>
    <row r="114" ht="15" customHeight="1" s="402">
      <c r="A114" s="192" t="n">
        <v>604057</v>
      </c>
      <c r="B114" s="192" t="inlineStr">
        <is>
          <t>management domein samenleving</t>
        </is>
      </c>
      <c r="C114" s="124" t="n"/>
      <c r="D114" s="8" t="inlineStr">
        <is>
          <t>bestuur en ondersteuning</t>
        </is>
      </c>
      <c r="E114" s="113" t="inlineStr">
        <is>
          <t>T04</t>
        </is>
      </c>
      <c r="F114" s="124" t="inlineStr">
        <is>
          <t>overhead</t>
        </is>
      </c>
      <c r="G114" s="192" t="n"/>
      <c r="H114" s="200" t="n">
        <v>84340</v>
      </c>
      <c r="I114" s="87" t="inlineStr">
        <is>
          <t>inkomensoverdr van provincie</t>
        </is>
      </c>
    </row>
    <row r="115" ht="15" customHeight="1" s="402">
      <c r="A115" s="192" t="n">
        <v>604058</v>
      </c>
      <c r="B115" s="192" t="inlineStr">
        <is>
          <t>management domein bedrijfsvoering</t>
        </is>
      </c>
      <c r="C115" s="124" t="n"/>
      <c r="D115" s="8" t="inlineStr">
        <is>
          <t>bestuur en ondersteuning</t>
        </is>
      </c>
      <c r="E115" s="113" t="inlineStr">
        <is>
          <t>T04</t>
        </is>
      </c>
      <c r="F115" s="124" t="inlineStr">
        <is>
          <t>overhead</t>
        </is>
      </c>
      <c r="G115" s="192" t="n"/>
      <c r="H115" s="200" t="n">
        <v>84350</v>
      </c>
      <c r="I115" s="87" t="inlineStr">
        <is>
          <t>inkomensoverdr aan het waterschap</t>
        </is>
      </c>
    </row>
    <row r="116" ht="15" customHeight="1" s="402">
      <c r="A116" s="192" t="n">
        <v>604059</v>
      </c>
      <c r="B116" s="192" t="inlineStr">
        <is>
          <t>project cloud(tlv R219)</t>
        </is>
      </c>
      <c r="C116" s="124" t="n"/>
      <c r="D116" s="8" t="inlineStr">
        <is>
          <t>bestuur en ondersteuning</t>
        </is>
      </c>
      <c r="E116" s="113" t="inlineStr">
        <is>
          <t>T04</t>
        </is>
      </c>
      <c r="F116" s="124" t="inlineStr">
        <is>
          <t>overhead</t>
        </is>
      </c>
      <c r="G116" s="192" t="n"/>
      <c r="H116" s="200" t="n">
        <v>84360</v>
      </c>
      <c r="I116" s="87" t="inlineStr">
        <is>
          <t>inkomensoverdr van overige overheden</t>
        </is>
      </c>
    </row>
    <row r="117" ht="15" customHeight="1" s="402">
      <c r="A117" s="192" t="n">
        <v>604060</v>
      </c>
      <c r="B117" s="192" t="inlineStr">
        <is>
          <t>project tijdelijke huisvesting</t>
        </is>
      </c>
      <c r="C117" s="124" t="n"/>
      <c r="D117" s="8" t="inlineStr">
        <is>
          <t>bestuur en ondersteuning</t>
        </is>
      </c>
      <c r="E117" s="113" t="inlineStr">
        <is>
          <t>T04</t>
        </is>
      </c>
      <c r="F117" s="124" t="inlineStr">
        <is>
          <t>overhead</t>
        </is>
      </c>
      <c r="G117" s="192" t="n"/>
      <c r="H117" s="200" t="n">
        <v>84370</v>
      </c>
      <c r="I117" s="87" t="inlineStr">
        <is>
          <t>inkomensoverd van de eu</t>
        </is>
      </c>
    </row>
    <row r="118" ht="15" customHeight="1" s="402">
      <c r="A118" s="192" t="n">
        <v>604061</v>
      </c>
      <c r="B118" s="192" t="inlineStr">
        <is>
          <t>onderzoeken inwoners</t>
        </is>
      </c>
      <c r="C118" s="124" t="n"/>
      <c r="D118" s="8" t="inlineStr">
        <is>
          <t>bestuur en ondersteuning</t>
        </is>
      </c>
      <c r="E118" s="113" t="inlineStr">
        <is>
          <t>T04</t>
        </is>
      </c>
      <c r="F118" s="124" t="inlineStr">
        <is>
          <t>overhead</t>
        </is>
      </c>
      <c r="G118" s="192" t="n"/>
      <c r="H118" s="200" t="n">
        <v>84380</v>
      </c>
      <c r="I118" s="87" t="inlineStr">
        <is>
          <t>inkomensoverdr van instell/personen</t>
        </is>
      </c>
    </row>
    <row r="119" ht="15" customHeight="1" s="402">
      <c r="A119" s="192" t="n">
        <v>604062</v>
      </c>
      <c r="B119" s="192" t="inlineStr">
        <is>
          <t>informatievrz mbt wet woo</t>
        </is>
      </c>
      <c r="C119" s="124" t="n"/>
      <c r="D119" s="8" t="inlineStr">
        <is>
          <t>bestuur en ondersteuning</t>
        </is>
      </c>
      <c r="E119" s="113" t="inlineStr">
        <is>
          <t>T04</t>
        </is>
      </c>
      <c r="F119" s="124" t="inlineStr">
        <is>
          <t>overhead</t>
        </is>
      </c>
      <c r="G119" s="192" t="n"/>
      <c r="H119" s="200" t="n">
        <v>84390</v>
      </c>
      <c r="I119" s="87" t="inlineStr">
        <is>
          <t>inkomensoverdr onverdeeld</t>
        </is>
      </c>
    </row>
    <row r="120" ht="12.75" customHeight="1" s="402">
      <c r="A120" s="192" t="n">
        <v>604901</v>
      </c>
      <c r="B120" s="192" t="inlineStr">
        <is>
          <t>directe toerek overhead</t>
        </is>
      </c>
      <c r="C120" s="124" t="n"/>
      <c r="D120" s="8" t="inlineStr">
        <is>
          <t>bestuur en ondersteuning</t>
        </is>
      </c>
      <c r="E120" s="113" t="inlineStr">
        <is>
          <t>T04</t>
        </is>
      </c>
      <c r="F120" s="124" t="inlineStr">
        <is>
          <t>overhead</t>
        </is>
      </c>
      <c r="G120" s="192" t="n"/>
      <c r="H120" s="200" t="n">
        <v>84410</v>
      </c>
      <c r="I120" s="199" t="inlineStr">
        <is>
          <t>kapitaaloverdr van het rijk</t>
        </is>
      </c>
    </row>
    <row r="121" ht="15" customHeight="1" s="402">
      <c r="A121" s="192" t="n">
        <v>604902</v>
      </c>
      <c r="B121" s="192" t="inlineStr">
        <is>
          <t>doorbelasting kosten</t>
        </is>
      </c>
      <c r="C121" s="124" t="n"/>
      <c r="D121" s="8" t="inlineStr">
        <is>
          <t>bestuur en ondersteuning</t>
        </is>
      </c>
      <c r="E121" s="113" t="inlineStr">
        <is>
          <t>T04</t>
        </is>
      </c>
      <c r="F121" s="124" t="inlineStr">
        <is>
          <t>overhead</t>
        </is>
      </c>
      <c r="G121" s="192" t="n"/>
      <c r="H121" s="200" t="n">
        <v>84420</v>
      </c>
      <c r="I121" s="199" t="inlineStr">
        <is>
          <t>kapitaaloverdr van gemeenten</t>
        </is>
      </c>
    </row>
    <row r="122" ht="15" customHeight="1" s="402">
      <c r="A122" s="192" t="n">
        <v>605001</v>
      </c>
      <c r="B122" s="192" t="inlineStr">
        <is>
          <t>aandelen en dividend</t>
        </is>
      </c>
      <c r="C122" s="124" t="n"/>
      <c r="D122" s="8" t="inlineStr">
        <is>
          <t>bestuur en ondersteuning</t>
        </is>
      </c>
      <c r="E122" s="113" t="inlineStr">
        <is>
          <t>T05</t>
        </is>
      </c>
      <c r="F122" s="124" t="inlineStr">
        <is>
          <t>treasury</t>
        </is>
      </c>
      <c r="G122" s="192" t="n"/>
      <c r="H122" s="200" t="n">
        <v>84430</v>
      </c>
      <c r="I122" s="199" t="inlineStr">
        <is>
          <t>kapitaaloverd van gem regelingen</t>
        </is>
      </c>
    </row>
    <row r="123" ht="15" customHeight="1" s="402">
      <c r="A123" s="192" t="n">
        <v>605002</v>
      </c>
      <c r="B123" s="192" t="inlineStr">
        <is>
          <t>leningen publieke taak</t>
        </is>
      </c>
      <c r="C123" s="124" t="n"/>
      <c r="D123" s="8" t="inlineStr">
        <is>
          <t>bestuur en ondersteuning</t>
        </is>
      </c>
      <c r="E123" s="113" t="inlineStr">
        <is>
          <t>T05</t>
        </is>
      </c>
      <c r="F123" s="124" t="inlineStr">
        <is>
          <t>treasury</t>
        </is>
      </c>
      <c r="G123" s="192" t="n"/>
      <c r="H123" s="200" t="n">
        <v>84440</v>
      </c>
      <c r="I123" s="199" t="inlineStr">
        <is>
          <t>kapitaaloverdr van provincie</t>
        </is>
      </c>
    </row>
    <row r="124" ht="15" customHeight="1" s="402">
      <c r="A124" s="192" t="n">
        <v>605003</v>
      </c>
      <c r="B124" s="201" t="inlineStr">
        <is>
          <t>rente</t>
        </is>
      </c>
      <c r="C124" s="124" t="n"/>
      <c r="D124" s="8" t="inlineStr">
        <is>
          <t>bestuur en ondersteuning</t>
        </is>
      </c>
      <c r="E124" s="113" t="inlineStr">
        <is>
          <t>T05</t>
        </is>
      </c>
      <c r="F124" s="124" t="inlineStr">
        <is>
          <t>treasury</t>
        </is>
      </c>
      <c r="G124" s="192" t="n"/>
      <c r="H124" s="200" t="n">
        <v>84450</v>
      </c>
      <c r="I124" s="199" t="inlineStr">
        <is>
          <t>kapitaaloverdr van het waterschap</t>
        </is>
      </c>
    </row>
    <row r="125" ht="15" customHeight="1" s="402">
      <c r="A125" s="192" t="n">
        <v>605901</v>
      </c>
      <c r="B125" s="192" t="inlineStr">
        <is>
          <t>directe toerek treasury</t>
        </is>
      </c>
      <c r="C125" s="124" t="n"/>
      <c r="D125" s="8" t="inlineStr">
        <is>
          <t>bestuur en ondersteuning</t>
        </is>
      </c>
      <c r="E125" s="113" t="inlineStr">
        <is>
          <t>T05</t>
        </is>
      </c>
      <c r="F125" s="124" t="inlineStr">
        <is>
          <t>treasury</t>
        </is>
      </c>
      <c r="G125" s="192" t="n"/>
      <c r="H125" s="200" t="n">
        <v>84460</v>
      </c>
      <c r="I125" s="199" t="inlineStr">
        <is>
          <t>kapitaaloverdr van overige overheden</t>
        </is>
      </c>
    </row>
    <row r="126" ht="15" customHeight="1" s="402">
      <c r="A126" s="192" t="n">
        <v>606001</v>
      </c>
      <c r="B126" s="201" t="inlineStr">
        <is>
          <t>ozb eigendom woningen</t>
        </is>
      </c>
      <c r="C126" s="124" t="n"/>
      <c r="D126" s="8" t="inlineStr">
        <is>
          <t>bestuur en ondersteuning</t>
        </is>
      </c>
      <c r="E126" s="113" t="inlineStr">
        <is>
          <t>T061</t>
        </is>
      </c>
      <c r="F126" s="124" t="inlineStr">
        <is>
          <t>ozb woningen</t>
        </is>
      </c>
      <c r="G126" s="192" t="n"/>
      <c r="H126" s="200" t="n">
        <v>84470</v>
      </c>
      <c r="I126" s="199" t="inlineStr">
        <is>
          <t>kapitaaloverdr van de eu</t>
        </is>
      </c>
    </row>
    <row r="127" ht="15" customHeight="1" s="402">
      <c r="A127" s="192" t="n">
        <v>606002</v>
      </c>
      <c r="B127" s="192" t="inlineStr">
        <is>
          <t>uitvoering van de wet woz.</t>
        </is>
      </c>
      <c r="C127" s="124" t="n"/>
      <c r="D127" s="8" t="inlineStr">
        <is>
          <t>bestuur en ondersteuning</t>
        </is>
      </c>
      <c r="E127" s="113" t="inlineStr">
        <is>
          <t>T061</t>
        </is>
      </c>
      <c r="F127" s="124" t="inlineStr">
        <is>
          <t>ozb woningen</t>
        </is>
      </c>
      <c r="G127" s="192" t="n"/>
      <c r="H127" s="200" t="n">
        <v>84480</v>
      </c>
      <c r="I127" s="199" t="inlineStr">
        <is>
          <t>kapitaaloverdr van instell/personen</t>
        </is>
      </c>
    </row>
    <row r="128" ht="15" customHeight="1" s="402">
      <c r="A128" s="192" t="n">
        <v>606003</v>
      </c>
      <c r="B128" s="192" t="inlineStr">
        <is>
          <t>heffen invorderen bel en heff</t>
        </is>
      </c>
      <c r="C128" s="124" t="n"/>
      <c r="D128" s="8" t="inlineStr">
        <is>
          <t>bestuur en ondersteuning</t>
        </is>
      </c>
      <c r="E128" s="113" t="inlineStr">
        <is>
          <t>T061</t>
        </is>
      </c>
      <c r="F128" s="124" t="inlineStr">
        <is>
          <t>ozb woningen</t>
        </is>
      </c>
      <c r="G128" s="192" t="n"/>
      <c r="H128" s="200" t="n">
        <v>84480</v>
      </c>
      <c r="I128" s="199" t="inlineStr">
        <is>
          <t>kapitaaloverdr van instell/personen</t>
        </is>
      </c>
    </row>
    <row r="129" ht="15" customHeight="1" s="402">
      <c r="A129" s="192" t="n">
        <v>606901</v>
      </c>
      <c r="B129" s="201" t="inlineStr">
        <is>
          <t>directe toerekening ozb woningen</t>
        </is>
      </c>
      <c r="C129" s="124" t="n"/>
      <c r="D129" s="8" t="inlineStr">
        <is>
          <t>bestuur en ondersteuning</t>
        </is>
      </c>
      <c r="E129" s="113" t="inlineStr">
        <is>
          <t>T061</t>
        </is>
      </c>
      <c r="F129" s="124" t="inlineStr">
        <is>
          <t>ozb woningen</t>
        </is>
      </c>
      <c r="G129" s="192" t="n"/>
      <c r="H129" s="200" t="n">
        <v>84490</v>
      </c>
      <c r="I129" s="199" t="inlineStr">
        <is>
          <t>kapitaaloverdr onverdeeld</t>
        </is>
      </c>
    </row>
    <row r="130" ht="15" customHeight="1" s="402">
      <c r="A130" s="192" t="n">
        <v>607001</v>
      </c>
      <c r="B130" s="201" t="inlineStr">
        <is>
          <t>ozb gebruik niet woningen</t>
        </is>
      </c>
      <c r="C130" s="124" t="n"/>
      <c r="D130" s="8" t="inlineStr">
        <is>
          <t>bestuur en ondersteuning</t>
        </is>
      </c>
      <c r="E130" s="113" t="inlineStr">
        <is>
          <t>T062</t>
        </is>
      </c>
      <c r="F130" s="124" t="inlineStr">
        <is>
          <t>ozb niet-woningen</t>
        </is>
      </c>
      <c r="G130" s="192" t="n"/>
      <c r="H130" s="200" t="n">
        <v>84490</v>
      </c>
      <c r="I130" s="199" t="inlineStr">
        <is>
          <t>kapitaaloverdr onverdeeld</t>
        </is>
      </c>
    </row>
    <row r="131" ht="15" customHeight="1" s="402">
      <c r="A131" s="192" t="n">
        <v>607002</v>
      </c>
      <c r="B131" s="201" t="inlineStr">
        <is>
          <t>ozb eigendom niet woningen</t>
        </is>
      </c>
      <c r="C131" s="124" t="n"/>
      <c r="D131" s="8" t="inlineStr">
        <is>
          <t>bestuur en ondersteuning</t>
        </is>
      </c>
      <c r="E131" s="113" t="inlineStr">
        <is>
          <t>T062</t>
        </is>
      </c>
      <c r="F131" s="124" t="inlineStr">
        <is>
          <t>ozb niet-woningen</t>
        </is>
      </c>
      <c r="G131" s="192" t="n"/>
      <c r="H131" s="200" t="n">
        <v>84510</v>
      </c>
      <c r="I131" s="199" t="inlineStr">
        <is>
          <t>investeringsbijdr rijk</t>
        </is>
      </c>
    </row>
    <row r="132" ht="15" customHeight="1" s="402">
      <c r="A132" s="192" t="n">
        <v>607901</v>
      </c>
      <c r="B132" s="201" t="inlineStr">
        <is>
          <t>directe toerek ozb niet woningen</t>
        </is>
      </c>
      <c r="C132" s="124" t="n"/>
      <c r="D132" s="8" t="inlineStr">
        <is>
          <t>bestuur en ondersteuning</t>
        </is>
      </c>
      <c r="E132" s="113" t="inlineStr">
        <is>
          <t>T062</t>
        </is>
      </c>
      <c r="F132" s="124" t="inlineStr">
        <is>
          <t>ozb niet-woningen</t>
        </is>
      </c>
      <c r="G132" s="192" t="n"/>
      <c r="H132" s="200" t="n">
        <v>84520</v>
      </c>
      <c r="I132" s="199" t="inlineStr">
        <is>
          <t>investeringsbijdr gemeenten</t>
        </is>
      </c>
    </row>
    <row r="133" ht="15" customHeight="1" s="402">
      <c r="A133" s="192" t="n">
        <v>609001</v>
      </c>
      <c r="B133" s="192" t="inlineStr">
        <is>
          <t>bouwgrondbelasting koekoekbos</t>
        </is>
      </c>
      <c r="C133" s="124" t="n"/>
      <c r="D133" s="8" t="inlineStr">
        <is>
          <t>bestuur en ondersteuning</t>
        </is>
      </c>
      <c r="E133" s="113" t="inlineStr">
        <is>
          <t>T064</t>
        </is>
      </c>
      <c r="F133" s="124" t="inlineStr">
        <is>
          <t>belastingen overig</t>
        </is>
      </c>
      <c r="G133" s="192" t="n"/>
      <c r="H133" s="200" t="n">
        <v>84530</v>
      </c>
      <c r="I133" s="199" t="inlineStr">
        <is>
          <t>investeringsbijdr gem regelingen</t>
        </is>
      </c>
    </row>
    <row r="134" ht="15" customHeight="1" s="402">
      <c r="A134" s="192" t="n">
        <v>609002</v>
      </c>
      <c r="B134" s="192" t="inlineStr">
        <is>
          <t>reclamebelasting</t>
        </is>
      </c>
      <c r="C134" s="124" t="n"/>
      <c r="D134" s="8" t="inlineStr">
        <is>
          <t>bestuur en ondersteuning</t>
        </is>
      </c>
      <c r="E134" s="113" t="inlineStr">
        <is>
          <t>T064</t>
        </is>
      </c>
      <c r="F134" s="124" t="inlineStr">
        <is>
          <t>belastingen overig</t>
        </is>
      </c>
      <c r="G134" s="192" t="n"/>
      <c r="H134" s="200" t="n">
        <v>84540</v>
      </c>
      <c r="I134" s="199" t="inlineStr">
        <is>
          <t>investeringsbijdr provincie</t>
        </is>
      </c>
    </row>
    <row r="135" ht="15" customHeight="1" s="402">
      <c r="A135" s="192" t="n">
        <v>609003</v>
      </c>
      <c r="B135" s="192" t="inlineStr">
        <is>
          <t>precariobelasting</t>
        </is>
      </c>
      <c r="C135" s="124" t="n"/>
      <c r="D135" s="8" t="inlineStr">
        <is>
          <t>bestuur en ondersteuning</t>
        </is>
      </c>
      <c r="E135" s="113" t="inlineStr">
        <is>
          <t>T064</t>
        </is>
      </c>
      <c r="F135" s="124" t="inlineStr">
        <is>
          <t>belastingen overig</t>
        </is>
      </c>
      <c r="G135" s="192" t="n"/>
      <c r="H135" s="200" t="n">
        <v>84550</v>
      </c>
      <c r="I135" s="199" t="inlineStr">
        <is>
          <t>investeringsbijdr waterschappen</t>
        </is>
      </c>
    </row>
    <row r="136" ht="15" customHeight="1" s="402">
      <c r="A136" s="192" t="n">
        <v>609901</v>
      </c>
      <c r="B136" s="201" t="inlineStr">
        <is>
          <t>directe toerek belastingen ov</t>
        </is>
      </c>
      <c r="C136" s="124" t="n"/>
      <c r="D136" s="8" t="inlineStr">
        <is>
          <t>bestuur en ondersteuning</t>
        </is>
      </c>
      <c r="E136" s="113" t="inlineStr">
        <is>
          <t>T064</t>
        </is>
      </c>
      <c r="F136" s="124" t="inlineStr">
        <is>
          <t>belastingen overig</t>
        </is>
      </c>
      <c r="G136" s="192" t="n"/>
      <c r="H136" s="200" t="n">
        <v>84560</v>
      </c>
      <c r="I136" s="199" t="inlineStr">
        <is>
          <t>investeringsbijdr ov overheden</t>
        </is>
      </c>
    </row>
    <row r="137" ht="15" customHeight="1" s="402">
      <c r="A137" s="192" t="n">
        <v>610001</v>
      </c>
      <c r="B137" s="192" t="inlineStr">
        <is>
          <t>algemene uitkering</t>
        </is>
      </c>
      <c r="C137" s="124" t="n"/>
      <c r="D137" s="8" t="inlineStr">
        <is>
          <t>bestuur en ondersteuning</t>
        </is>
      </c>
      <c r="E137" s="113" t="inlineStr">
        <is>
          <t>T07</t>
        </is>
      </c>
      <c r="F137" s="124" t="inlineStr">
        <is>
          <t>algemene uitkering en overige uitkeringen gemeentefonds</t>
        </is>
      </c>
      <c r="G137" s="192" t="n"/>
      <c r="H137" s="200" t="n">
        <v>84570</v>
      </c>
      <c r="I137" s="199" t="inlineStr">
        <is>
          <t>investeringsbijdr europese unie</t>
        </is>
      </c>
    </row>
    <row r="138" ht="15" customHeight="1" s="402">
      <c r="A138" s="192" t="n">
        <v>610901</v>
      </c>
      <c r="B138" s="192" t="inlineStr">
        <is>
          <t>directie toerek alg uitkering</t>
        </is>
      </c>
      <c r="C138" s="124" t="n"/>
      <c r="D138" s="8" t="inlineStr">
        <is>
          <t>bestuur en ondersteuning</t>
        </is>
      </c>
      <c r="E138" s="113" t="inlineStr">
        <is>
          <t>T07</t>
        </is>
      </c>
      <c r="F138" s="124" t="inlineStr">
        <is>
          <t>algemene uitkering en overige uitkeringen gemeentefonds</t>
        </is>
      </c>
      <c r="G138" s="192" t="n"/>
      <c r="H138" s="200" t="n">
        <v>84580</v>
      </c>
      <c r="I138" s="199" t="inlineStr">
        <is>
          <t>investeringsbijdr ov instell/person</t>
        </is>
      </c>
    </row>
    <row r="139" ht="15" customHeight="1" s="402">
      <c r="A139" s="192" t="n">
        <v>611001</v>
      </c>
      <c r="B139" s="192" t="inlineStr">
        <is>
          <t>incident last/baat grond</t>
        </is>
      </c>
      <c r="C139" s="124" t="n"/>
      <c r="D139" s="8" t="inlineStr">
        <is>
          <t>bestuur en ondersteuning</t>
        </is>
      </c>
      <c r="E139" s="113" t="inlineStr">
        <is>
          <t>T08</t>
        </is>
      </c>
      <c r="F139" s="124" t="inlineStr">
        <is>
          <t>overige baten en lasten</t>
        </is>
      </c>
      <c r="G139" s="192" t="n"/>
      <c r="H139" s="200" t="n">
        <v>84660</v>
      </c>
      <c r="I139" s="199" t="inlineStr">
        <is>
          <t>overige kapitaaloverdr overheid</t>
        </is>
      </c>
    </row>
    <row r="140" ht="15" customHeight="1" s="402">
      <c r="A140" s="192" t="n">
        <v>611002</v>
      </c>
      <c r="B140" s="192" t="inlineStr">
        <is>
          <t>onvoorziene uitgaven</t>
        </is>
      </c>
      <c r="C140" s="124" t="n"/>
      <c r="D140" s="8" t="inlineStr">
        <is>
          <t>bestuur en ondersteuning</t>
        </is>
      </c>
      <c r="E140" s="113" t="inlineStr">
        <is>
          <t>T08</t>
        </is>
      </c>
      <c r="F140" s="124" t="inlineStr">
        <is>
          <t>overige baten en lasten</t>
        </is>
      </c>
      <c r="G140" s="192" t="n"/>
      <c r="H140" s="200" t="n">
        <v>84680</v>
      </c>
      <c r="I140" s="199" t="inlineStr">
        <is>
          <t>overige kapitaaloverdr instel/person</t>
        </is>
      </c>
    </row>
    <row r="141" ht="15" customHeight="1" s="402">
      <c r="A141" s="192" t="n">
        <v>611003</v>
      </c>
      <c r="B141" s="192" t="inlineStr">
        <is>
          <t>stelpost bezuinigingsmaatregelen</t>
        </is>
      </c>
      <c r="C141" s="124" t="n"/>
      <c r="D141" s="8" t="inlineStr">
        <is>
          <t>bestuur en ondersteuning</t>
        </is>
      </c>
      <c r="E141" s="113" t="inlineStr">
        <is>
          <t>T08</t>
        </is>
      </c>
      <c r="F141" s="124" t="inlineStr">
        <is>
          <t>overige baten en lasten</t>
        </is>
      </c>
      <c r="G141" s="192" t="n"/>
      <c r="H141" s="200" t="n">
        <v>85100</v>
      </c>
      <c r="I141" s="199" t="inlineStr">
        <is>
          <t>renteontvangsten</t>
        </is>
      </c>
    </row>
    <row r="142" ht="12.75" customHeight="1" s="402">
      <c r="A142" s="192" t="n">
        <v>611004</v>
      </c>
      <c r="B142" s="192" t="inlineStr">
        <is>
          <t>stelpost lasten nieuwe invest/beleid</t>
        </is>
      </c>
      <c r="C142" s="124" t="n"/>
      <c r="D142" s="8" t="inlineStr">
        <is>
          <t>bestuur en ondersteuning</t>
        </is>
      </c>
      <c r="E142" s="113" t="inlineStr">
        <is>
          <t>T08</t>
        </is>
      </c>
      <c r="F142" s="124" t="inlineStr">
        <is>
          <t>overige baten en lasten</t>
        </is>
      </c>
      <c r="G142" s="192" t="n"/>
      <c r="H142" s="200" t="n">
        <v>85100</v>
      </c>
      <c r="I142" s="199" t="inlineStr">
        <is>
          <t>renteontvangsten</t>
        </is>
      </c>
    </row>
    <row r="143" ht="15" customHeight="1" s="402">
      <c r="A143" s="192" t="n">
        <v>611005</v>
      </c>
      <c r="B143" s="192" t="inlineStr">
        <is>
          <t>stelpost loon- en prijsstijging</t>
        </is>
      </c>
      <c r="C143" s="124" t="n"/>
      <c r="D143" s="8" t="inlineStr">
        <is>
          <t>bestuur en ondersteuning</t>
        </is>
      </c>
      <c r="E143" s="113" t="inlineStr">
        <is>
          <t>T08</t>
        </is>
      </c>
      <c r="F143" s="124" t="inlineStr">
        <is>
          <t>overige baten en lasten</t>
        </is>
      </c>
      <c r="G143" s="192" t="n"/>
      <c r="H143" s="200" t="n">
        <v>85200</v>
      </c>
      <c r="I143" s="199" t="inlineStr">
        <is>
          <t>winstuitkeringen</t>
        </is>
      </c>
    </row>
    <row r="144" ht="15" customHeight="1" s="402">
      <c r="A144" s="192" t="n">
        <v>611006</v>
      </c>
      <c r="B144" s="192" t="inlineStr">
        <is>
          <t>niet compensabele btw</t>
        </is>
      </c>
      <c r="C144" s="124" t="n"/>
      <c r="D144" s="8" t="inlineStr">
        <is>
          <t>bestuur en ondersteuning</t>
        </is>
      </c>
      <c r="E144" s="113" t="inlineStr">
        <is>
          <t>T08</t>
        </is>
      </c>
      <c r="F144" s="124" t="inlineStr">
        <is>
          <t>overige baten en lasten</t>
        </is>
      </c>
      <c r="G144" s="192" t="n"/>
      <c r="H144" s="200" t="n">
        <v>85200</v>
      </c>
      <c r="I144" s="199" t="inlineStr">
        <is>
          <t>winstuitkeringen</t>
        </is>
      </c>
    </row>
    <row r="145" ht="15" customHeight="1" s="402">
      <c r="A145" s="192" t="n">
        <v>611007</v>
      </c>
      <c r="B145" s="192" t="inlineStr">
        <is>
          <t>compensabele btw mbt afval en riol</t>
        </is>
      </c>
      <c r="C145" s="124" t="n"/>
      <c r="D145" s="8" t="inlineStr">
        <is>
          <t>bestuur en ondersteuning</t>
        </is>
      </c>
      <c r="E145" s="113" t="inlineStr">
        <is>
          <t>T08</t>
        </is>
      </c>
      <c r="F145" s="124" t="inlineStr">
        <is>
          <t>overige baten en lasten</t>
        </is>
      </c>
      <c r="G145" s="192" t="n"/>
      <c r="H145" s="193" t="n">
        <v>85201</v>
      </c>
      <c r="I145" s="198" t="inlineStr">
        <is>
          <t>corona winstuitkeringen</t>
        </is>
      </c>
    </row>
    <row r="146">
      <c r="A146" s="192" t="n">
        <v>611008</v>
      </c>
      <c r="B146" s="192" t="inlineStr">
        <is>
          <t>incidentele baten en lasten</t>
        </is>
      </c>
      <c r="C146" s="124" t="n"/>
      <c r="D146" s="8" t="inlineStr">
        <is>
          <t>bestuur en ondersteuning</t>
        </is>
      </c>
      <c r="E146" s="113" t="inlineStr">
        <is>
          <t>T08</t>
        </is>
      </c>
      <c r="F146" s="124" t="inlineStr">
        <is>
          <t>overige baten en lasten</t>
        </is>
      </c>
      <c r="G146" s="192" t="n"/>
      <c r="H146" s="193" t="n">
        <v>85201</v>
      </c>
      <c r="I146" s="198" t="inlineStr">
        <is>
          <t>corona winstuitkeringen</t>
        </is>
      </c>
    </row>
    <row r="147" ht="15" customHeight="1" s="402">
      <c r="A147" s="192" t="n">
        <v>611009</v>
      </c>
      <c r="B147" s="192" t="inlineStr">
        <is>
          <t>voorziening dubieuze debiteuren</t>
        </is>
      </c>
      <c r="C147" s="124" t="n"/>
      <c r="D147" s="8" t="inlineStr">
        <is>
          <t>bestuur en ondersteuning</t>
        </is>
      </c>
      <c r="E147" s="113" t="inlineStr">
        <is>
          <t>T08</t>
        </is>
      </c>
      <c r="F147" s="124" t="inlineStr">
        <is>
          <t>overige baten en lasten</t>
        </is>
      </c>
      <c r="G147" s="192" t="n"/>
      <c r="H147" s="200" t="n">
        <v>86100</v>
      </c>
      <c r="I147" s="87" t="inlineStr">
        <is>
          <t>financiele transactie</t>
        </is>
      </c>
    </row>
    <row r="148" ht="15" customHeight="1" s="402">
      <c r="A148" s="192" t="n">
        <v>611010</v>
      </c>
      <c r="B148" s="192" t="inlineStr">
        <is>
          <t>administratief te verdelen budgetten</t>
        </is>
      </c>
      <c r="C148" s="124" t="n"/>
      <c r="D148" s="8" t="inlineStr">
        <is>
          <t>bestuur en ondersteuning</t>
        </is>
      </c>
      <c r="E148" s="113" t="inlineStr">
        <is>
          <t>T08</t>
        </is>
      </c>
      <c r="F148" s="124" t="inlineStr">
        <is>
          <t>overige baten en lasten</t>
        </is>
      </c>
      <c r="G148" s="192" t="n"/>
      <c r="H148" s="200" t="n">
        <v>86100</v>
      </c>
      <c r="I148" s="87" t="inlineStr">
        <is>
          <t>financiele transactie</t>
        </is>
      </c>
    </row>
    <row r="149" ht="15" customHeight="1" s="402">
      <c r="A149" s="192" t="n">
        <v>611011</v>
      </c>
      <c r="B149" s="192" t="inlineStr">
        <is>
          <t>verleende garanties</t>
        </is>
      </c>
      <c r="C149" s="124" t="n"/>
      <c r="D149" s="8" t="inlineStr">
        <is>
          <t>bestuur en ondersteuning</t>
        </is>
      </c>
      <c r="E149" s="113" t="inlineStr">
        <is>
          <t>T08</t>
        </is>
      </c>
      <c r="F149" s="124" t="inlineStr">
        <is>
          <t>overige baten en lasten</t>
        </is>
      </c>
      <c r="G149" s="192" t="n"/>
      <c r="H149" s="200" t="n">
        <v>86101</v>
      </c>
      <c r="I149" s="87" t="inlineStr">
        <is>
          <t>chartaal geld depos</t>
        </is>
      </c>
    </row>
    <row r="150" ht="15" customHeight="1" s="402">
      <c r="A150" s="192" t="n">
        <v>611901</v>
      </c>
      <c r="B150" s="201" t="inlineStr">
        <is>
          <t>directe toerek ov baten en lasten</t>
        </is>
      </c>
      <c r="C150" s="124" t="n"/>
      <c r="D150" s="8" t="inlineStr">
        <is>
          <t>bestuur en ondersteuning</t>
        </is>
      </c>
      <c r="E150" s="113" t="inlineStr">
        <is>
          <t>T08</t>
        </is>
      </c>
      <c r="F150" s="124" t="inlineStr">
        <is>
          <t>overige baten en lasten</t>
        </is>
      </c>
      <c r="G150" s="192" t="n"/>
      <c r="H150" s="200" t="n">
        <v>86101</v>
      </c>
      <c r="I150" s="87" t="inlineStr">
        <is>
          <t>chartaal geld depos</t>
        </is>
      </c>
    </row>
    <row r="151" ht="15" customHeight="1" s="402">
      <c r="A151" s="192" t="n">
        <v>612001</v>
      </c>
      <c r="B151" s="192" t="inlineStr">
        <is>
          <t>vennootschapsbelasting (vpb)</t>
        </is>
      </c>
      <c r="C151" s="124" t="n"/>
      <c r="D151" s="8" t="inlineStr">
        <is>
          <t>bestuur en ondersteuning</t>
        </is>
      </c>
      <c r="E151" s="113" t="inlineStr">
        <is>
          <t>T09</t>
        </is>
      </c>
      <c r="F151" s="124" t="inlineStr">
        <is>
          <t>vennootschapsbelasting (VpB)</t>
        </is>
      </c>
      <c r="G151" s="192" t="n"/>
      <c r="H151" s="200" t="n">
        <v>86102</v>
      </c>
      <c r="I151" s="87" t="inlineStr">
        <is>
          <t>langlop eff muv aand</t>
        </is>
      </c>
    </row>
    <row r="152" ht="15" customHeight="1" s="402">
      <c r="A152" s="192" t="n">
        <v>612901</v>
      </c>
      <c r="B152" s="201" t="inlineStr">
        <is>
          <t>directe toerek vpb</t>
        </is>
      </c>
      <c r="C152" s="124" t="n"/>
      <c r="D152" s="8" t="inlineStr">
        <is>
          <t>bestuur en ondersteuning</t>
        </is>
      </c>
      <c r="E152" s="113" t="inlineStr">
        <is>
          <t>T09</t>
        </is>
      </c>
      <c r="F152" s="124" t="inlineStr">
        <is>
          <t>vennootschapsbelasting (VpB)</t>
        </is>
      </c>
      <c r="G152" s="192" t="n"/>
      <c r="H152" s="200" t="n">
        <v>86102</v>
      </c>
      <c r="I152" s="87" t="inlineStr">
        <is>
          <t>langlop eff muv aand</t>
        </is>
      </c>
    </row>
    <row r="153" ht="15" customHeight="1" s="402">
      <c r="A153" s="192" t="n">
        <v>613001</v>
      </c>
      <c r="B153" s="192" t="inlineStr">
        <is>
          <t>mutatie reserve t01</t>
        </is>
      </c>
      <c r="C153" s="124" t="n"/>
      <c r="D153" s="8" t="inlineStr">
        <is>
          <t>bestuur en ondersteuning</t>
        </is>
      </c>
      <c r="E153" s="113" t="inlineStr">
        <is>
          <t>T010</t>
        </is>
      </c>
      <c r="F153" s="124" t="inlineStr">
        <is>
          <t>mutaties reserves</t>
        </is>
      </c>
      <c r="G153" s="192" t="n"/>
      <c r="H153" s="200" t="n">
        <v>86103</v>
      </c>
      <c r="I153" s="87" t="inlineStr">
        <is>
          <t>kortlopende leningen</t>
        </is>
      </c>
    </row>
    <row r="154" ht="15" customHeight="1" s="402">
      <c r="A154" s="192" t="n">
        <v>613002</v>
      </c>
      <c r="B154" s="192" t="inlineStr">
        <is>
          <t>mutatie reserve t02</t>
        </is>
      </c>
      <c r="C154" s="124" t="n"/>
      <c r="D154" s="8" t="inlineStr">
        <is>
          <t>bestuur en ondersteuning</t>
        </is>
      </c>
      <c r="E154" s="113" t="inlineStr">
        <is>
          <t>T010</t>
        </is>
      </c>
      <c r="F154" s="124" t="inlineStr">
        <is>
          <t>mutaties reserves</t>
        </is>
      </c>
      <c r="G154" s="192" t="n"/>
      <c r="H154" s="200" t="n">
        <v>86103</v>
      </c>
      <c r="I154" s="87" t="inlineStr">
        <is>
          <t>kortlopende leningen</t>
        </is>
      </c>
    </row>
    <row r="155" ht="15" customHeight="1" s="402">
      <c r="A155" s="192" t="n">
        <v>613003</v>
      </c>
      <c r="B155" s="192" t="inlineStr">
        <is>
          <t>mutatie reserve t03</t>
        </is>
      </c>
      <c r="C155" s="124" t="n"/>
      <c r="D155" s="8" t="inlineStr">
        <is>
          <t>bestuur en ondersteuning</t>
        </is>
      </c>
      <c r="E155" s="113" t="inlineStr">
        <is>
          <t>T010</t>
        </is>
      </c>
      <c r="F155" s="124" t="inlineStr">
        <is>
          <t>mutaties reserves</t>
        </is>
      </c>
      <c r="G155" s="192" t="n"/>
      <c r="H155" s="200" t="n">
        <v>86104</v>
      </c>
      <c r="I155" s="87" t="inlineStr">
        <is>
          <t>aflos verstrekt langlopende leningen</t>
        </is>
      </c>
    </row>
    <row r="156" ht="15" customHeight="1" s="402">
      <c r="A156" s="192" t="n">
        <v>613004</v>
      </c>
      <c r="B156" s="192" t="inlineStr">
        <is>
          <t>mutatie reserve t04</t>
        </is>
      </c>
      <c r="C156" s="124" t="n"/>
      <c r="D156" s="8" t="inlineStr">
        <is>
          <t>bestuur en ondersteuning</t>
        </is>
      </c>
      <c r="E156" s="113" t="inlineStr">
        <is>
          <t>T010</t>
        </is>
      </c>
      <c r="F156" s="124" t="inlineStr">
        <is>
          <t>mutaties reserves</t>
        </is>
      </c>
      <c r="G156" s="192" t="n"/>
      <c r="H156" s="200" t="n">
        <v>86104</v>
      </c>
      <c r="I156" s="87" t="inlineStr">
        <is>
          <t>aflos verstrekt langlopende leningen</t>
        </is>
      </c>
    </row>
    <row r="157" ht="15" customHeight="1" s="402">
      <c r="A157" s="192" t="n">
        <v>613005</v>
      </c>
      <c r="B157" s="192" t="inlineStr">
        <is>
          <t>mutatie reserve t05</t>
        </is>
      </c>
      <c r="C157" s="124" t="n"/>
      <c r="D157" s="8" t="inlineStr">
        <is>
          <t>bestuur en ondersteuning</t>
        </is>
      </c>
      <c r="E157" s="113" t="inlineStr">
        <is>
          <t>T010</t>
        </is>
      </c>
      <c r="F157" s="124" t="inlineStr">
        <is>
          <t>mutaties reserves</t>
        </is>
      </c>
      <c r="G157" s="192" t="n"/>
      <c r="H157" s="200" t="n">
        <v>86105</v>
      </c>
      <c r="I157" s="83" t="inlineStr">
        <is>
          <t>opgen langl geldlen</t>
        </is>
      </c>
    </row>
    <row r="158" ht="15" customHeight="1" s="402">
      <c r="A158" s="192" t="n">
        <v>613006</v>
      </c>
      <c r="B158" s="192" t="inlineStr">
        <is>
          <t>mutatie reserve t061</t>
        </is>
      </c>
      <c r="C158" s="124" t="n"/>
      <c r="D158" s="8" t="inlineStr">
        <is>
          <t>bestuur en ondersteuning</t>
        </is>
      </c>
      <c r="E158" s="113" t="inlineStr">
        <is>
          <t>T010</t>
        </is>
      </c>
      <c r="F158" s="124" t="inlineStr">
        <is>
          <t>mutaties reserves</t>
        </is>
      </c>
      <c r="G158" s="192" t="n"/>
      <c r="H158" s="200" t="n">
        <v>86105</v>
      </c>
      <c r="I158" s="83" t="inlineStr">
        <is>
          <t>opgen langl geldlen</t>
        </is>
      </c>
    </row>
    <row r="159" ht="15" customHeight="1" s="402">
      <c r="A159" s="192" t="n">
        <v>613007</v>
      </c>
      <c r="B159" s="192" t="inlineStr">
        <is>
          <t>mutatie reserve t062</t>
        </is>
      </c>
      <c r="C159" s="124" t="n"/>
      <c r="D159" s="8" t="inlineStr">
        <is>
          <t>bestuur en ondersteuning</t>
        </is>
      </c>
      <c r="E159" s="113" t="inlineStr">
        <is>
          <t>T010</t>
        </is>
      </c>
      <c r="F159" s="124" t="inlineStr">
        <is>
          <t>mutaties reserves</t>
        </is>
      </c>
      <c r="G159" s="192" t="n"/>
      <c r="H159" s="200" t="n">
        <v>86106</v>
      </c>
      <c r="I159" s="83" t="inlineStr">
        <is>
          <t>aandel ov deelneming</t>
        </is>
      </c>
    </row>
    <row r="160" ht="15" customHeight="1" s="402">
      <c r="A160" s="192" t="n">
        <v>613008</v>
      </c>
      <c r="B160" s="192" t="inlineStr">
        <is>
          <t>mutatie reserve t063</t>
        </is>
      </c>
      <c r="C160" s="124" t="n"/>
      <c r="D160" s="8" t="inlineStr">
        <is>
          <t>bestuur en ondersteuning</t>
        </is>
      </c>
      <c r="E160" s="113" t="inlineStr">
        <is>
          <t>T010</t>
        </is>
      </c>
      <c r="F160" s="124" t="inlineStr">
        <is>
          <t>mutaties reserves</t>
        </is>
      </c>
      <c r="G160" s="192" t="n"/>
      <c r="H160" s="200" t="n">
        <v>86106</v>
      </c>
      <c r="I160" s="83" t="inlineStr">
        <is>
          <t>aandel ov deelneming</t>
        </is>
      </c>
    </row>
    <row r="161" ht="12.75" customHeight="1" s="402">
      <c r="A161" s="192" t="n">
        <v>613009</v>
      </c>
      <c r="B161" s="192" t="inlineStr">
        <is>
          <t>mutatie reserve t064</t>
        </is>
      </c>
      <c r="C161" s="124" t="n"/>
      <c r="D161" s="8" t="inlineStr">
        <is>
          <t>bestuur en ondersteuning</t>
        </is>
      </c>
      <c r="E161" s="113" t="inlineStr">
        <is>
          <t>T010</t>
        </is>
      </c>
      <c r="F161" s="124" t="inlineStr">
        <is>
          <t>mutaties reserves</t>
        </is>
      </c>
      <c r="G161" s="192" t="n"/>
      <c r="H161" s="200" t="n">
        <v>87100</v>
      </c>
      <c r="I161" s="199" t="inlineStr">
        <is>
          <t>reserveringen</t>
        </is>
      </c>
    </row>
    <row r="162" ht="15" customHeight="1" s="402">
      <c r="A162" s="192" t="n">
        <v>613010</v>
      </c>
      <c r="B162" s="192" t="inlineStr">
        <is>
          <t>mutatie reserve t07</t>
        </is>
      </c>
      <c r="C162" s="124" t="n"/>
      <c r="D162" s="8" t="inlineStr">
        <is>
          <t>bestuur en ondersteuning</t>
        </is>
      </c>
      <c r="E162" s="113" t="inlineStr">
        <is>
          <t>T010</t>
        </is>
      </c>
      <c r="F162" s="124" t="inlineStr">
        <is>
          <t>mutaties reserves</t>
        </is>
      </c>
      <c r="G162" s="192" t="n"/>
      <c r="H162" s="200" t="n">
        <v>87100</v>
      </c>
      <c r="I162" s="199" t="inlineStr">
        <is>
          <t>reserveringen</t>
        </is>
      </c>
    </row>
    <row r="163" ht="15" customHeight="1" s="402">
      <c r="A163" s="192" t="n">
        <v>613011</v>
      </c>
      <c r="B163" s="192" t="inlineStr">
        <is>
          <t>mutatie reserve t08</t>
        </is>
      </c>
      <c r="C163" s="124" t="n"/>
      <c r="D163" s="8" t="inlineStr">
        <is>
          <t>bestuur en ondersteuning</t>
        </is>
      </c>
      <c r="E163" s="113" t="inlineStr">
        <is>
          <t>T010</t>
        </is>
      </c>
      <c r="F163" s="124" t="inlineStr">
        <is>
          <t>mutaties reserves</t>
        </is>
      </c>
      <c r="G163" s="192" t="n"/>
      <c r="H163" s="200" t="n">
        <v>87101</v>
      </c>
      <c r="I163" s="199" t="inlineStr">
        <is>
          <t>reservering resultaat</t>
        </is>
      </c>
    </row>
    <row r="164" ht="15" customHeight="1" s="402">
      <c r="A164" s="192" t="n">
        <v>613012</v>
      </c>
      <c r="B164" s="192" t="inlineStr">
        <is>
          <t>mutatie reserve t09</t>
        </is>
      </c>
      <c r="C164" s="124" t="n"/>
      <c r="D164" s="8" t="inlineStr">
        <is>
          <t>bestuur en ondersteuning</t>
        </is>
      </c>
      <c r="E164" s="113" t="inlineStr">
        <is>
          <t>T010</t>
        </is>
      </c>
      <c r="F164" s="124" t="inlineStr">
        <is>
          <t>mutaties reserves</t>
        </is>
      </c>
      <c r="G164" s="192" t="n"/>
      <c r="H164" s="200" t="n">
        <v>87101</v>
      </c>
      <c r="I164" s="199" t="inlineStr">
        <is>
          <t>reservering resultaat</t>
        </is>
      </c>
    </row>
    <row r="165" ht="15" customHeight="1" s="402">
      <c r="A165" s="192" t="n">
        <v>613013</v>
      </c>
      <c r="B165" s="192" t="inlineStr">
        <is>
          <t>mutatie reserve t010</t>
        </is>
      </c>
      <c r="C165" s="124" t="n"/>
      <c r="D165" s="8" t="inlineStr">
        <is>
          <t>bestuur en ondersteuning</t>
        </is>
      </c>
      <c r="E165" s="113" t="inlineStr">
        <is>
          <t>T010</t>
        </is>
      </c>
      <c r="F165" s="124" t="inlineStr">
        <is>
          <t>mutaties reserves</t>
        </is>
      </c>
      <c r="G165" s="192" t="n"/>
      <c r="H165" s="200" t="n">
        <v>87200</v>
      </c>
      <c r="I165" s="199" t="inlineStr">
        <is>
          <t>voorziening contante waarde</t>
        </is>
      </c>
    </row>
    <row r="166" ht="15" customHeight="1" s="402">
      <c r="A166" s="192" t="n">
        <v>613014</v>
      </c>
      <c r="B166" s="192" t="inlineStr">
        <is>
          <t>mutatie reserve t011</t>
        </is>
      </c>
      <c r="C166" s="124" t="n"/>
      <c r="D166" s="8" t="inlineStr">
        <is>
          <t>bestuur en ondersteuning</t>
        </is>
      </c>
      <c r="E166" s="113" t="inlineStr">
        <is>
          <t>T010</t>
        </is>
      </c>
      <c r="F166" s="124" t="inlineStr">
        <is>
          <t>mutaties reserves</t>
        </is>
      </c>
      <c r="G166" s="192" t="n"/>
      <c r="H166" s="200" t="n">
        <v>87200</v>
      </c>
      <c r="I166" s="199" t="inlineStr">
        <is>
          <t>voorziening contante waarde</t>
        </is>
      </c>
    </row>
    <row r="167" ht="15" customHeight="1" s="402">
      <c r="A167" s="192" t="n">
        <v>613015</v>
      </c>
      <c r="B167" s="192" t="inlineStr">
        <is>
          <t>mutatie reserve t11</t>
        </is>
      </c>
      <c r="C167" s="124" t="n"/>
      <c r="D167" s="8" t="inlineStr">
        <is>
          <t>bestuur en ondersteuning</t>
        </is>
      </c>
      <c r="E167" s="113" t="inlineStr">
        <is>
          <t>T010</t>
        </is>
      </c>
      <c r="F167" s="124" t="inlineStr">
        <is>
          <t>mutaties reserves</t>
        </is>
      </c>
      <c r="G167" s="192" t="n"/>
      <c r="H167" s="200" t="n">
        <v>87201</v>
      </c>
      <c r="I167" s="199" t="inlineStr">
        <is>
          <t>onderhoudsvoorziening</t>
        </is>
      </c>
    </row>
    <row r="168" ht="15" customHeight="1" s="402">
      <c r="A168" s="192" t="n">
        <v>613016</v>
      </c>
      <c r="B168" s="192" t="inlineStr">
        <is>
          <t>mutatie reserve t12</t>
        </is>
      </c>
      <c r="C168" s="124" t="n"/>
      <c r="D168" s="8" t="inlineStr">
        <is>
          <t>bestuur en ondersteuning</t>
        </is>
      </c>
      <c r="E168" s="113" t="inlineStr">
        <is>
          <t>T010</t>
        </is>
      </c>
      <c r="F168" s="124" t="inlineStr">
        <is>
          <t>mutaties reserves</t>
        </is>
      </c>
      <c r="G168" s="192" t="n"/>
      <c r="H168" s="200" t="n">
        <v>87201</v>
      </c>
      <c r="I168" s="199" t="inlineStr">
        <is>
          <t>onderhoudsvoorziening</t>
        </is>
      </c>
    </row>
    <row r="169" ht="15" customHeight="1" s="402">
      <c r="A169" s="192" t="n">
        <v>613017</v>
      </c>
      <c r="B169" s="192" t="inlineStr">
        <is>
          <t>mutatie reserve t21</t>
        </is>
      </c>
      <c r="C169" s="124" t="n"/>
      <c r="D169" s="8" t="inlineStr">
        <is>
          <t>bestuur en ondersteuning</t>
        </is>
      </c>
      <c r="E169" s="113" t="inlineStr">
        <is>
          <t>T010</t>
        </is>
      </c>
      <c r="F169" s="124" t="inlineStr">
        <is>
          <t>mutaties reserves</t>
        </is>
      </c>
      <c r="G169" s="192" t="n"/>
      <c r="H169" s="200" t="n">
        <v>87301</v>
      </c>
      <c r="I169" s="199" t="inlineStr">
        <is>
          <t>afschrijvingen</t>
        </is>
      </c>
    </row>
    <row r="170" ht="15" customHeight="1" s="402">
      <c r="A170" s="192" t="n">
        <v>613018</v>
      </c>
      <c r="B170" s="192" t="inlineStr">
        <is>
          <t>mutatie reserve t22</t>
        </is>
      </c>
      <c r="C170" s="124" t="n"/>
      <c r="D170" s="8" t="inlineStr">
        <is>
          <t>bestuur en ondersteuning</t>
        </is>
      </c>
      <c r="E170" s="113" t="inlineStr">
        <is>
          <t>T010</t>
        </is>
      </c>
      <c r="F170" s="124" t="inlineStr">
        <is>
          <t>mutaties reserves</t>
        </is>
      </c>
      <c r="G170" s="192" t="n"/>
      <c r="H170" s="200" t="n">
        <v>87301</v>
      </c>
      <c r="I170" s="199" t="inlineStr">
        <is>
          <t>afschrijvingen</t>
        </is>
      </c>
    </row>
    <row r="171" ht="15" customHeight="1" s="402">
      <c r="A171" s="192" t="n">
        <v>613019</v>
      </c>
      <c r="B171" s="192" t="inlineStr">
        <is>
          <t>mutatie reserve t23</t>
        </is>
      </c>
      <c r="C171" s="124" t="n"/>
      <c r="D171" s="8" t="inlineStr">
        <is>
          <t>bestuur en ondersteuning</t>
        </is>
      </c>
      <c r="E171" s="113" t="inlineStr">
        <is>
          <t>T010</t>
        </is>
      </c>
      <c r="F171" s="124" t="inlineStr">
        <is>
          <t>mutaties reserves</t>
        </is>
      </c>
      <c r="G171" s="192" t="n"/>
      <c r="H171" s="200" t="n">
        <v>87500</v>
      </c>
      <c r="I171" s="199" t="inlineStr">
        <is>
          <t>mutatie boekwaarde bouwgrond</t>
        </is>
      </c>
    </row>
    <row r="172" ht="15" customHeight="1" s="402">
      <c r="A172" s="192" t="n">
        <v>613020</v>
      </c>
      <c r="B172" s="192" t="inlineStr">
        <is>
          <t>mutatie reserve t24</t>
        </is>
      </c>
      <c r="C172" s="124" t="n"/>
      <c r="D172" s="8" t="inlineStr">
        <is>
          <t>bestuur en ondersteuning</t>
        </is>
      </c>
      <c r="E172" s="113" t="inlineStr">
        <is>
          <t>T010</t>
        </is>
      </c>
      <c r="F172" s="124" t="inlineStr">
        <is>
          <t>mutaties reserves</t>
        </is>
      </c>
      <c r="G172" s="192" t="n"/>
      <c r="H172" s="200" t="n">
        <v>87500</v>
      </c>
      <c r="I172" s="199" t="inlineStr">
        <is>
          <t>mutatie boekwaarde bouwgrond</t>
        </is>
      </c>
    </row>
    <row r="173" ht="15" customHeight="1" s="402">
      <c r="A173" s="192" t="n">
        <v>613021</v>
      </c>
      <c r="B173" s="192" t="inlineStr">
        <is>
          <t>mutatie reserve t25</t>
        </is>
      </c>
      <c r="C173" s="124" t="n"/>
      <c r="D173" s="8" t="inlineStr">
        <is>
          <t>bestuur en ondersteuning</t>
        </is>
      </c>
      <c r="E173" s="113" t="inlineStr">
        <is>
          <t>T010</t>
        </is>
      </c>
      <c r="F173" s="124" t="inlineStr">
        <is>
          <t>mutaties reserves</t>
        </is>
      </c>
      <c r="G173" s="192" t="n"/>
      <c r="H173" s="200" t="n">
        <v>87501</v>
      </c>
      <c r="I173" s="199" t="inlineStr">
        <is>
          <t>verrekeningen</t>
        </is>
      </c>
    </row>
    <row r="174" ht="15" customHeight="1" s="402">
      <c r="A174" s="192" t="n">
        <v>613022</v>
      </c>
      <c r="B174" s="192" t="inlineStr">
        <is>
          <t>mutatie reserve t31</t>
        </is>
      </c>
      <c r="C174" s="124" t="n"/>
      <c r="D174" s="8" t="inlineStr">
        <is>
          <t>bestuur en ondersteuning</t>
        </is>
      </c>
      <c r="E174" s="113" t="inlineStr">
        <is>
          <t>T010</t>
        </is>
      </c>
      <c r="F174" s="124" t="inlineStr">
        <is>
          <t>mutaties reserves</t>
        </is>
      </c>
      <c r="G174" s="192" t="n"/>
      <c r="H174" s="200" t="n">
        <v>87501</v>
      </c>
      <c r="I174" s="199" t="inlineStr">
        <is>
          <t>verrekeningen</t>
        </is>
      </c>
    </row>
    <row r="175">
      <c r="A175" s="192" t="n">
        <v>613023</v>
      </c>
      <c r="B175" s="192" t="inlineStr">
        <is>
          <t>mutatie reserve t32</t>
        </is>
      </c>
      <c r="C175" s="124" t="n"/>
      <c r="D175" s="8" t="inlineStr">
        <is>
          <t>bestuur en ondersteuning</t>
        </is>
      </c>
      <c r="E175" s="113" t="inlineStr">
        <is>
          <t>T010</t>
        </is>
      </c>
      <c r="F175" s="124" t="inlineStr">
        <is>
          <t>mutaties reserves</t>
        </is>
      </c>
      <c r="G175" s="192" t="n"/>
      <c r="H175" s="124" t="n"/>
      <c r="I175" s="124" t="n"/>
    </row>
    <row r="176">
      <c r="A176" s="192" t="n">
        <v>613024</v>
      </c>
      <c r="B176" s="192" t="inlineStr">
        <is>
          <t>mutatie reserve t33</t>
        </is>
      </c>
      <c r="C176" s="124" t="n"/>
      <c r="D176" s="8" t="inlineStr">
        <is>
          <t>bestuur en ondersteuning</t>
        </is>
      </c>
      <c r="E176" s="113" t="inlineStr">
        <is>
          <t>T010</t>
        </is>
      </c>
      <c r="F176" s="124" t="inlineStr">
        <is>
          <t>mutaties reserves</t>
        </is>
      </c>
      <c r="G176" s="192" t="n"/>
      <c r="H176" s="154" t="n"/>
      <c r="I176" s="124" t="n"/>
    </row>
    <row r="177">
      <c r="A177" s="192" t="n">
        <v>613025</v>
      </c>
      <c r="B177" s="192" t="inlineStr">
        <is>
          <t>mutatie reserve t34</t>
        </is>
      </c>
      <c r="C177" s="124" t="n"/>
      <c r="D177" s="8" t="inlineStr">
        <is>
          <t>bestuur en ondersteuning</t>
        </is>
      </c>
      <c r="E177" s="113" t="inlineStr">
        <is>
          <t>T010</t>
        </is>
      </c>
      <c r="F177" s="124" t="inlineStr">
        <is>
          <t>mutaties reserves</t>
        </is>
      </c>
    </row>
    <row r="178">
      <c r="A178" s="192" t="n">
        <v>613026</v>
      </c>
      <c r="B178" s="192" t="inlineStr">
        <is>
          <t>mutatie reserve t41</t>
        </is>
      </c>
      <c r="C178" s="124" t="n"/>
      <c r="D178" s="8" t="inlineStr">
        <is>
          <t>bestuur en ondersteuning</t>
        </is>
      </c>
      <c r="E178" s="113" t="inlineStr">
        <is>
          <t>T010</t>
        </is>
      </c>
      <c r="F178" s="124" t="inlineStr">
        <is>
          <t>mutaties reserves</t>
        </is>
      </c>
    </row>
    <row r="179">
      <c r="A179" s="192" t="n">
        <v>613027</v>
      </c>
      <c r="B179" s="192" t="inlineStr">
        <is>
          <t>mutatie reserve t42</t>
        </is>
      </c>
      <c r="C179" s="124" t="n"/>
      <c r="D179" s="8" t="inlineStr">
        <is>
          <t>bestuur en ondersteuning</t>
        </is>
      </c>
      <c r="E179" s="113" t="inlineStr">
        <is>
          <t>T010</t>
        </is>
      </c>
      <c r="F179" s="124" t="inlineStr">
        <is>
          <t>mutaties reserves</t>
        </is>
      </c>
    </row>
    <row r="180">
      <c r="A180" s="192" t="n">
        <v>613028</v>
      </c>
      <c r="B180" s="192" t="inlineStr">
        <is>
          <t>mutatie reserve t43</t>
        </is>
      </c>
      <c r="C180" s="124" t="n"/>
      <c r="D180" s="8" t="inlineStr">
        <is>
          <t>bestuur en ondersteuning</t>
        </is>
      </c>
      <c r="E180" s="113" t="inlineStr">
        <is>
          <t>T010</t>
        </is>
      </c>
      <c r="F180" s="124" t="inlineStr">
        <is>
          <t>mutaties reserves</t>
        </is>
      </c>
    </row>
    <row r="181">
      <c r="A181" s="192" t="n">
        <v>613029</v>
      </c>
      <c r="B181" s="192" t="inlineStr">
        <is>
          <t>mutatie reserve t51</t>
        </is>
      </c>
      <c r="C181" s="124" t="n"/>
      <c r="D181" s="8" t="inlineStr">
        <is>
          <t>bestuur en ondersteuning</t>
        </is>
      </c>
      <c r="E181" s="113" t="inlineStr">
        <is>
          <t>T010</t>
        </is>
      </c>
      <c r="F181" s="124" t="inlineStr">
        <is>
          <t>mutaties reserves</t>
        </is>
      </c>
    </row>
    <row r="182">
      <c r="A182" s="192" t="n">
        <v>613030</v>
      </c>
      <c r="B182" s="192" t="inlineStr">
        <is>
          <t>mutatie reserve t52</t>
        </is>
      </c>
      <c r="C182" s="124" t="n"/>
      <c r="D182" s="8" t="inlineStr">
        <is>
          <t>bestuur en ondersteuning</t>
        </is>
      </c>
      <c r="E182" s="113" t="inlineStr">
        <is>
          <t>T010</t>
        </is>
      </c>
      <c r="F182" s="124" t="inlineStr">
        <is>
          <t>mutaties reserves</t>
        </is>
      </c>
    </row>
    <row r="183">
      <c r="A183" s="192" t="n">
        <v>613031</v>
      </c>
      <c r="B183" s="192" t="inlineStr">
        <is>
          <t>mutatie reserve t53</t>
        </is>
      </c>
      <c r="C183" s="124" t="n"/>
      <c r="D183" s="8" t="inlineStr">
        <is>
          <t>bestuur en ondersteuning</t>
        </is>
      </c>
      <c r="E183" s="113" t="inlineStr">
        <is>
          <t>T010</t>
        </is>
      </c>
      <c r="F183" s="124" t="inlineStr">
        <is>
          <t>mutaties reserves</t>
        </is>
      </c>
    </row>
    <row r="184">
      <c r="A184" s="192" t="n">
        <v>613032</v>
      </c>
      <c r="B184" s="192" t="inlineStr">
        <is>
          <t>mutatie reserve t54</t>
        </is>
      </c>
      <c r="C184" s="124" t="n"/>
      <c r="D184" s="8" t="inlineStr">
        <is>
          <t>bestuur en ondersteuning</t>
        </is>
      </c>
      <c r="E184" s="113" t="inlineStr">
        <is>
          <t>T010</t>
        </is>
      </c>
      <c r="F184" s="124" t="inlineStr">
        <is>
          <t>mutaties reserves</t>
        </is>
      </c>
    </row>
    <row r="185">
      <c r="A185" s="192" t="n">
        <v>613033</v>
      </c>
      <c r="B185" s="192" t="inlineStr">
        <is>
          <t>mutatie reserve t55</t>
        </is>
      </c>
      <c r="C185" s="124" t="n"/>
      <c r="D185" s="8" t="inlineStr">
        <is>
          <t>bestuur en ondersteuning</t>
        </is>
      </c>
      <c r="E185" s="113" t="inlineStr">
        <is>
          <t>T010</t>
        </is>
      </c>
      <c r="F185" s="124" t="inlineStr">
        <is>
          <t>mutaties reserves</t>
        </is>
      </c>
    </row>
    <row r="186">
      <c r="A186" s="192" t="n">
        <v>613034</v>
      </c>
      <c r="B186" s="192" t="inlineStr">
        <is>
          <t>mutatie reserve t56</t>
        </is>
      </c>
      <c r="C186" s="124" t="n"/>
      <c r="D186" s="8" t="inlineStr">
        <is>
          <t>bestuur en ondersteuning</t>
        </is>
      </c>
      <c r="E186" s="113" t="inlineStr">
        <is>
          <t>T010</t>
        </is>
      </c>
      <c r="F186" s="124" t="inlineStr">
        <is>
          <t>mutaties reserves</t>
        </is>
      </c>
    </row>
    <row r="187">
      <c r="A187" s="192" t="n">
        <v>613035</v>
      </c>
      <c r="B187" s="192" t="inlineStr">
        <is>
          <t>mutatie reserve t57</t>
        </is>
      </c>
      <c r="C187" s="124" t="n"/>
      <c r="D187" s="8" t="inlineStr">
        <is>
          <t>bestuur en ondersteuning</t>
        </is>
      </c>
      <c r="E187" s="113" t="inlineStr">
        <is>
          <t>T010</t>
        </is>
      </c>
      <c r="F187" s="124" t="inlineStr">
        <is>
          <t>mutaties reserves</t>
        </is>
      </c>
    </row>
    <row r="188">
      <c r="A188" s="192" t="n">
        <v>613036</v>
      </c>
      <c r="B188" s="192" t="inlineStr">
        <is>
          <t>mutatie reserve t61</t>
        </is>
      </c>
      <c r="C188" s="124" t="n"/>
      <c r="D188" s="8" t="inlineStr">
        <is>
          <t>bestuur en ondersteuning</t>
        </is>
      </c>
      <c r="E188" s="113" t="inlineStr">
        <is>
          <t>T010</t>
        </is>
      </c>
      <c r="F188" s="124" t="inlineStr">
        <is>
          <t>mutaties reserves</t>
        </is>
      </c>
    </row>
    <row r="189">
      <c r="A189" s="192" t="n">
        <v>613037</v>
      </c>
      <c r="B189" s="192" t="inlineStr">
        <is>
          <t>mutatie reserve t62</t>
        </is>
      </c>
      <c r="C189" s="124" t="n"/>
      <c r="D189" s="8" t="inlineStr">
        <is>
          <t>bestuur en ondersteuning</t>
        </is>
      </c>
      <c r="E189" s="113" t="inlineStr">
        <is>
          <t>T010</t>
        </is>
      </c>
      <c r="F189" s="124" t="inlineStr">
        <is>
          <t>mutaties reserves</t>
        </is>
      </c>
    </row>
    <row r="190">
      <c r="A190" s="192" t="n">
        <v>613038</v>
      </c>
      <c r="B190" s="192" t="inlineStr">
        <is>
          <t>mutatie reserve t63</t>
        </is>
      </c>
      <c r="C190" s="124" t="n"/>
      <c r="D190" s="8" t="inlineStr">
        <is>
          <t>bestuur en ondersteuning</t>
        </is>
      </c>
      <c r="E190" s="113" t="inlineStr">
        <is>
          <t>T010</t>
        </is>
      </c>
      <c r="F190" s="124" t="inlineStr">
        <is>
          <t>mutaties reserves</t>
        </is>
      </c>
    </row>
    <row r="191">
      <c r="A191" s="192" t="n">
        <v>613039</v>
      </c>
      <c r="B191" s="192" t="inlineStr">
        <is>
          <t>mutatie reserve t64</t>
        </is>
      </c>
      <c r="C191" s="124" t="n"/>
      <c r="D191" s="8" t="inlineStr">
        <is>
          <t>bestuur en ondersteuning</t>
        </is>
      </c>
      <c r="E191" s="113" t="inlineStr">
        <is>
          <t>T010</t>
        </is>
      </c>
      <c r="F191" s="124" t="inlineStr">
        <is>
          <t>mutaties reserves</t>
        </is>
      </c>
    </row>
    <row r="192">
      <c r="A192" s="192" t="n">
        <v>613040</v>
      </c>
      <c r="B192" s="192" t="inlineStr">
        <is>
          <t>mutatie reserve t65</t>
        </is>
      </c>
      <c r="C192" s="124" t="n"/>
      <c r="D192" s="8" t="inlineStr">
        <is>
          <t>bestuur en ondersteuning</t>
        </is>
      </c>
      <c r="E192" s="113" t="inlineStr">
        <is>
          <t>T010</t>
        </is>
      </c>
      <c r="F192" s="124" t="inlineStr">
        <is>
          <t>mutaties reserves</t>
        </is>
      </c>
    </row>
    <row r="193">
      <c r="A193" s="192" t="n">
        <v>613041</v>
      </c>
      <c r="B193" s="192" t="inlineStr">
        <is>
          <t>mutatie reserve t66</t>
        </is>
      </c>
      <c r="C193" s="124" t="n"/>
      <c r="D193" s="8" t="inlineStr">
        <is>
          <t>bestuur en ondersteuning</t>
        </is>
      </c>
      <c r="E193" s="113" t="inlineStr">
        <is>
          <t>T010</t>
        </is>
      </c>
      <c r="F193" s="124" t="inlineStr">
        <is>
          <t>mutaties reserves</t>
        </is>
      </c>
    </row>
    <row r="194">
      <c r="A194" s="192" t="n">
        <v>613042</v>
      </c>
      <c r="B194" s="192" t="inlineStr">
        <is>
          <t>mutatie reserve t671</t>
        </is>
      </c>
      <c r="C194" s="124" t="n"/>
      <c r="D194" s="8" t="inlineStr">
        <is>
          <t>bestuur en ondersteuning</t>
        </is>
      </c>
      <c r="E194" s="113" t="inlineStr">
        <is>
          <t>T010</t>
        </is>
      </c>
      <c r="F194" s="124" t="inlineStr">
        <is>
          <t>mutaties reserves</t>
        </is>
      </c>
    </row>
    <row r="195">
      <c r="A195" s="192" t="n">
        <v>613043</v>
      </c>
      <c r="B195" s="192" t="inlineStr">
        <is>
          <t>mutatie reserve t672</t>
        </is>
      </c>
      <c r="C195" s="124" t="n"/>
      <c r="D195" s="8" t="inlineStr">
        <is>
          <t>bestuur en ondersteuning</t>
        </is>
      </c>
      <c r="E195" s="113" t="inlineStr">
        <is>
          <t>T010</t>
        </is>
      </c>
      <c r="F195" s="124" t="inlineStr">
        <is>
          <t>mutaties reserves</t>
        </is>
      </c>
    </row>
    <row r="196">
      <c r="A196" s="192" t="n">
        <v>613044</v>
      </c>
      <c r="B196" s="192" t="inlineStr">
        <is>
          <t>mutatie reserve t681</t>
        </is>
      </c>
      <c r="C196" s="124" t="n"/>
      <c r="D196" s="8" t="inlineStr">
        <is>
          <t>bestuur en ondersteuning</t>
        </is>
      </c>
      <c r="E196" s="113" t="inlineStr">
        <is>
          <t>T010</t>
        </is>
      </c>
      <c r="F196" s="124" t="inlineStr">
        <is>
          <t>mutaties reserves</t>
        </is>
      </c>
    </row>
    <row r="197">
      <c r="A197" s="192" t="n">
        <v>613045</v>
      </c>
      <c r="B197" s="192" t="inlineStr">
        <is>
          <t>mutatie reserve t682</t>
        </is>
      </c>
      <c r="C197" s="124" t="n"/>
      <c r="D197" s="8" t="inlineStr">
        <is>
          <t>bestuur en ondersteuning</t>
        </is>
      </c>
      <c r="E197" s="113" t="inlineStr">
        <is>
          <t>T010</t>
        </is>
      </c>
      <c r="F197" s="124" t="inlineStr">
        <is>
          <t>mutaties reserves</t>
        </is>
      </c>
    </row>
    <row r="198">
      <c r="A198" s="192" t="n">
        <v>613046</v>
      </c>
      <c r="B198" s="192" t="inlineStr">
        <is>
          <t>mutatie reserve t71</t>
        </is>
      </c>
      <c r="C198" s="124" t="n"/>
      <c r="D198" s="8" t="inlineStr">
        <is>
          <t>bestuur en ondersteuning</t>
        </is>
      </c>
      <c r="E198" s="113" t="inlineStr">
        <is>
          <t>T010</t>
        </is>
      </c>
      <c r="F198" s="124" t="inlineStr">
        <is>
          <t>mutaties reserves</t>
        </is>
      </c>
    </row>
    <row r="199">
      <c r="A199" s="192" t="n">
        <v>613047</v>
      </c>
      <c r="B199" s="192" t="inlineStr">
        <is>
          <t>mutatie reserve t72</t>
        </is>
      </c>
      <c r="C199" s="124" t="n"/>
      <c r="D199" s="8" t="inlineStr">
        <is>
          <t>bestuur en ondersteuning</t>
        </is>
      </c>
      <c r="E199" s="113" t="inlineStr">
        <is>
          <t>T010</t>
        </is>
      </c>
      <c r="F199" s="124" t="inlineStr">
        <is>
          <t>mutaties reserves</t>
        </is>
      </c>
    </row>
    <row r="200">
      <c r="A200" s="192" t="n">
        <v>613048</v>
      </c>
      <c r="B200" s="192" t="inlineStr">
        <is>
          <t>mutatie reserve t73</t>
        </is>
      </c>
      <c r="C200" s="124" t="n"/>
      <c r="D200" s="8" t="inlineStr">
        <is>
          <t>bestuur en ondersteuning</t>
        </is>
      </c>
      <c r="E200" s="113" t="inlineStr">
        <is>
          <t>T010</t>
        </is>
      </c>
      <c r="F200" s="124" t="inlineStr">
        <is>
          <t>mutaties reserves</t>
        </is>
      </c>
    </row>
    <row r="201">
      <c r="A201" s="192" t="n">
        <v>613049</v>
      </c>
      <c r="B201" s="192" t="inlineStr">
        <is>
          <t>mutatie reserve t74</t>
        </is>
      </c>
      <c r="C201" s="124" t="n"/>
      <c r="D201" s="8" t="inlineStr">
        <is>
          <t>bestuur en ondersteuning</t>
        </is>
      </c>
      <c r="E201" s="113" t="inlineStr">
        <is>
          <t>T010</t>
        </is>
      </c>
      <c r="F201" s="124" t="inlineStr">
        <is>
          <t>mutaties reserves</t>
        </is>
      </c>
    </row>
    <row r="202">
      <c r="A202" s="192" t="n">
        <v>613050</v>
      </c>
      <c r="B202" s="192" t="inlineStr">
        <is>
          <t>mutatie reserve t75</t>
        </is>
      </c>
      <c r="C202" s="124" t="n"/>
      <c r="D202" s="8" t="inlineStr">
        <is>
          <t>bestuur en ondersteuning</t>
        </is>
      </c>
      <c r="E202" s="113" t="inlineStr">
        <is>
          <t>T010</t>
        </is>
      </c>
      <c r="F202" s="124" t="inlineStr">
        <is>
          <t>mutaties reserves</t>
        </is>
      </c>
    </row>
    <row r="203">
      <c r="A203" s="192" t="n">
        <v>613051</v>
      </c>
      <c r="B203" s="192" t="inlineStr">
        <is>
          <t>mutatie reserve t81</t>
        </is>
      </c>
      <c r="C203" s="124" t="n"/>
      <c r="D203" s="8" t="inlineStr">
        <is>
          <t>bestuur en ondersteuning</t>
        </is>
      </c>
      <c r="E203" s="113" t="inlineStr">
        <is>
          <t>T010</t>
        </is>
      </c>
      <c r="F203" s="124" t="inlineStr">
        <is>
          <t>mutaties reserves</t>
        </is>
      </c>
    </row>
    <row r="204">
      <c r="A204" s="192" t="n">
        <v>613052</v>
      </c>
      <c r="B204" s="192" t="inlineStr">
        <is>
          <t>mutatie reserve t82</t>
        </is>
      </c>
      <c r="C204" s="124" t="n"/>
      <c r="D204" s="8" t="inlineStr">
        <is>
          <t>bestuur en ondersteuning</t>
        </is>
      </c>
      <c r="E204" s="113" t="inlineStr">
        <is>
          <t>T010</t>
        </is>
      </c>
      <c r="F204" s="124" t="inlineStr">
        <is>
          <t>mutaties reserves</t>
        </is>
      </c>
    </row>
    <row r="205">
      <c r="A205" s="192" t="n">
        <v>613053</v>
      </c>
      <c r="B205" s="192" t="inlineStr">
        <is>
          <t>mutatie reserve t83</t>
        </is>
      </c>
      <c r="C205" s="124" t="n"/>
      <c r="D205" s="8" t="inlineStr">
        <is>
          <t>bestuur en ondersteuning</t>
        </is>
      </c>
      <c r="E205" s="113" t="inlineStr">
        <is>
          <t>T010</t>
        </is>
      </c>
      <c r="F205" s="124" t="inlineStr">
        <is>
          <t>mutaties reserves</t>
        </is>
      </c>
    </row>
    <row r="206">
      <c r="A206" s="192" t="n">
        <v>613901</v>
      </c>
      <c r="B206" s="192" t="inlineStr">
        <is>
          <t>directe toerek reserves</t>
        </is>
      </c>
      <c r="C206" s="124" t="n"/>
      <c r="D206" s="8" t="inlineStr">
        <is>
          <t>bestuur en ondersteuning</t>
        </is>
      </c>
      <c r="E206" s="113" t="inlineStr">
        <is>
          <t>T010</t>
        </is>
      </c>
      <c r="F206" s="124" t="inlineStr">
        <is>
          <t>resultaat van de rekening van baten en lasten</t>
        </is>
      </c>
    </row>
    <row r="207">
      <c r="A207" s="192" t="n">
        <v>614001</v>
      </c>
      <c r="B207" s="192" t="inlineStr">
        <is>
          <t>saldo rekening van baten en lasten</t>
        </is>
      </c>
      <c r="C207" s="124" t="n"/>
      <c r="D207" s="8" t="inlineStr">
        <is>
          <t>bestuur en ondersteuning</t>
        </is>
      </c>
      <c r="E207" s="113" t="inlineStr">
        <is>
          <t>T011</t>
        </is>
      </c>
      <c r="F207" s="124" t="inlineStr">
        <is>
          <t>resultaat van de rekening van baten en lasten</t>
        </is>
      </c>
    </row>
    <row r="208">
      <c r="A208" s="192" t="n">
        <v>614901</v>
      </c>
      <c r="B208" s="192" t="inlineStr">
        <is>
          <t>directe toerek resultaat rekening</t>
        </is>
      </c>
      <c r="C208" s="124" t="n"/>
      <c r="D208" s="8" t="inlineStr">
        <is>
          <t>bestuur en ondersteuning</t>
        </is>
      </c>
      <c r="E208" s="113" t="inlineStr">
        <is>
          <t>T011</t>
        </is>
      </c>
      <c r="F208" s="124" t="inlineStr">
        <is>
          <t>crisibeheersing en brandweer</t>
        </is>
      </c>
    </row>
    <row r="209">
      <c r="A209" s="192" t="n">
        <v>615001</v>
      </c>
      <c r="B209" s="192" t="inlineStr">
        <is>
          <t>crisisbeheersing</t>
        </is>
      </c>
      <c r="C209" s="124" t="n"/>
      <c r="D209" s="8" t="inlineStr">
        <is>
          <t>veiligheid</t>
        </is>
      </c>
      <c r="E209" s="113" t="inlineStr">
        <is>
          <t>T11</t>
        </is>
      </c>
      <c r="F209" s="124" t="inlineStr">
        <is>
          <t>crisibeheersing en brandweer</t>
        </is>
      </c>
    </row>
    <row r="210">
      <c r="A210" s="192" t="n">
        <v>615002</v>
      </c>
      <c r="B210" s="192" t="inlineStr">
        <is>
          <t>veiligheidsregio zo-brabant</t>
        </is>
      </c>
      <c r="C210" s="124" t="n"/>
      <c r="D210" s="8" t="inlineStr">
        <is>
          <t>veiligheid</t>
        </is>
      </c>
      <c r="E210" s="113" t="inlineStr">
        <is>
          <t>T11</t>
        </is>
      </c>
      <c r="F210" s="124" t="inlineStr">
        <is>
          <t>crisibeheersing en brandweer</t>
        </is>
      </c>
    </row>
    <row r="211">
      <c r="A211" s="192" t="n">
        <v>615003</v>
      </c>
      <c r="B211" s="192" t="inlineStr">
        <is>
          <t>brandweerkazerne</t>
        </is>
      </c>
      <c r="C211" s="124" t="n"/>
      <c r="D211" s="8" t="inlineStr">
        <is>
          <t>veiligheid</t>
        </is>
      </c>
      <c r="E211" s="113" t="inlineStr">
        <is>
          <t>T11</t>
        </is>
      </c>
      <c r="F211" s="124" t="inlineStr">
        <is>
          <t>crisibeheersing en brandweer</t>
        </is>
      </c>
    </row>
    <row r="212">
      <c r="A212" s="192" t="n">
        <v>615004</v>
      </c>
      <c r="B212" s="192" t="inlineStr">
        <is>
          <t>lokale binding regionale brandweer</t>
        </is>
      </c>
      <c r="C212" s="124" t="n"/>
      <c r="D212" s="8" t="inlineStr">
        <is>
          <t>veiligheid</t>
        </is>
      </c>
      <c r="E212" s="113" t="inlineStr">
        <is>
          <t>T11</t>
        </is>
      </c>
      <c r="F212" s="124" t="inlineStr">
        <is>
          <t>crisibeheersing en brandweer</t>
        </is>
      </c>
    </row>
    <row r="213">
      <c r="A213" s="192" t="n">
        <v>615901</v>
      </c>
      <c r="B213" s="192" t="inlineStr">
        <is>
          <t>directe toerek crisis brandw</t>
        </is>
      </c>
      <c r="C213" s="124" t="n"/>
      <c r="D213" s="8" t="inlineStr">
        <is>
          <t>veiligheid</t>
        </is>
      </c>
      <c r="E213" s="113" t="inlineStr">
        <is>
          <t>T11</t>
        </is>
      </c>
      <c r="F213" s="124" t="inlineStr">
        <is>
          <t>crisibeheersing en brandweer</t>
        </is>
      </c>
    </row>
    <row r="214">
      <c r="A214" s="192" t="n">
        <v>616001</v>
      </c>
      <c r="B214" s="192" t="inlineStr">
        <is>
          <t>boa's</t>
        </is>
      </c>
      <c r="C214" s="124" t="n"/>
      <c r="D214" s="8" t="inlineStr">
        <is>
          <t>veiligheid</t>
        </is>
      </c>
      <c r="E214" s="113" t="inlineStr">
        <is>
          <t>T12</t>
        </is>
      </c>
      <c r="F214" s="124" t="inlineStr">
        <is>
          <t>openbare orde en veiligheid</t>
        </is>
      </c>
    </row>
    <row r="215">
      <c r="A215" s="192" t="n">
        <v>616002</v>
      </c>
      <c r="B215" s="192" t="inlineStr">
        <is>
          <t>regionaal expertise en info centrum</t>
        </is>
      </c>
      <c r="C215" s="124" t="n"/>
      <c r="D215" s="8" t="inlineStr">
        <is>
          <t>veiligheid</t>
        </is>
      </c>
      <c r="E215" s="113" t="inlineStr">
        <is>
          <t>T12</t>
        </is>
      </c>
      <c r="F215" s="124" t="inlineStr">
        <is>
          <t>openbare orde en veiligheid</t>
        </is>
      </c>
    </row>
    <row r="216">
      <c r="A216" s="192" t="n">
        <v>616003</v>
      </c>
      <c r="B216" s="192" t="inlineStr">
        <is>
          <t>veiligheidshuis brabant-oost</t>
        </is>
      </c>
      <c r="C216" s="124" t="n"/>
      <c r="D216" s="8" t="inlineStr">
        <is>
          <t>veiligheid</t>
        </is>
      </c>
      <c r="E216" s="113" t="inlineStr">
        <is>
          <t>T12</t>
        </is>
      </c>
      <c r="F216" s="124" t="inlineStr">
        <is>
          <t>openbare orde en veiligheid</t>
        </is>
      </c>
    </row>
    <row r="217">
      <c r="A217" s="192" t="n">
        <v>616004</v>
      </c>
      <c r="B217" s="192" t="inlineStr">
        <is>
          <t>integrale overheidshandhaving</t>
        </is>
      </c>
      <c r="C217" s="124" t="n"/>
      <c r="D217" s="8" t="inlineStr">
        <is>
          <t>veiligheid</t>
        </is>
      </c>
      <c r="E217" s="113" t="inlineStr">
        <is>
          <t>T12</t>
        </is>
      </c>
      <c r="F217" s="124" t="inlineStr">
        <is>
          <t>openbare orde en veiligheid</t>
        </is>
      </c>
    </row>
    <row r="218">
      <c r="A218" s="192" t="n">
        <v>616005</v>
      </c>
      <c r="B218" s="192" t="inlineStr">
        <is>
          <t>veiligheidsprojecten</t>
        </is>
      </c>
      <c r="C218" s="124" t="n"/>
      <c r="D218" s="8" t="inlineStr">
        <is>
          <t>veiligheid</t>
        </is>
      </c>
      <c r="E218" s="113" t="inlineStr">
        <is>
          <t>T12</t>
        </is>
      </c>
      <c r="F218" s="124" t="inlineStr">
        <is>
          <t>openbare orde en veiligheid</t>
        </is>
      </c>
    </row>
    <row r="219">
      <c r="A219" s="192" t="n">
        <v>616006</v>
      </c>
      <c r="B219" s="192" t="inlineStr">
        <is>
          <t>externe veiligheid</t>
        </is>
      </c>
      <c r="C219" s="124" t="n"/>
      <c r="D219" s="8" t="inlineStr">
        <is>
          <t>veiligheid</t>
        </is>
      </c>
      <c r="E219" s="113" t="inlineStr">
        <is>
          <t>T12</t>
        </is>
      </c>
      <c r="F219" s="124" t="inlineStr">
        <is>
          <t>openbare orde en veiligheid</t>
        </is>
      </c>
    </row>
    <row r="220">
      <c r="A220" s="192" t="n">
        <v>616007</v>
      </c>
      <c r="B220" s="192" t="inlineStr">
        <is>
          <t>veiligheidsfonds</t>
        </is>
      </c>
      <c r="C220" s="124" t="n"/>
      <c r="D220" s="8" t="inlineStr">
        <is>
          <t>veiligheid</t>
        </is>
      </c>
      <c r="E220" s="113" t="inlineStr">
        <is>
          <t>T12</t>
        </is>
      </c>
      <c r="F220" s="124" t="inlineStr">
        <is>
          <t>openbare orde en veiligheid</t>
        </is>
      </c>
    </row>
    <row r="221">
      <c r="A221" s="192" t="n">
        <v>616008</v>
      </c>
      <c r="B221" s="192" t="inlineStr">
        <is>
          <t xml:space="preserve">toepass bestuursdwang ontruiming </t>
        </is>
      </c>
      <c r="C221" s="124" t="n"/>
      <c r="D221" s="8" t="inlineStr">
        <is>
          <t>veiligheid</t>
        </is>
      </c>
      <c r="E221" s="113" t="inlineStr">
        <is>
          <t>T12</t>
        </is>
      </c>
      <c r="F221" s="124" t="inlineStr">
        <is>
          <t>openbare orde en veiligheid</t>
        </is>
      </c>
    </row>
    <row r="222">
      <c r="A222" s="192" t="n">
        <v>616009</v>
      </c>
      <c r="B222" s="192" t="inlineStr">
        <is>
          <t>secretarieleges titel 1 legesverord</t>
        </is>
      </c>
      <c r="C222" s="124" t="n"/>
      <c r="D222" s="8" t="inlineStr">
        <is>
          <t>veiligheid</t>
        </is>
      </c>
      <c r="E222" s="113" t="inlineStr">
        <is>
          <t>T12</t>
        </is>
      </c>
      <c r="F222" s="124" t="inlineStr">
        <is>
          <t>openbare orde en veiligheid</t>
        </is>
      </c>
    </row>
    <row r="223">
      <c r="A223" s="192" t="n">
        <v>616010</v>
      </c>
      <c r="B223" s="192" t="inlineStr">
        <is>
          <t>secretarieleges titel 3 horeca</t>
        </is>
      </c>
      <c r="C223" s="124" t="n"/>
      <c r="D223" s="8" t="inlineStr">
        <is>
          <t>veiligheid</t>
        </is>
      </c>
      <c r="E223" s="113" t="inlineStr">
        <is>
          <t>T12</t>
        </is>
      </c>
      <c r="F223" s="124" t="inlineStr">
        <is>
          <t>openbare orde en veiligheid</t>
        </is>
      </c>
    </row>
    <row r="224">
      <c r="A224" s="192" t="n">
        <v>616011</v>
      </c>
      <c r="B224" s="192" t="inlineStr">
        <is>
          <t>secretarieleges titel 3 evenem/markt</t>
        </is>
      </c>
      <c r="C224" s="124" t="n"/>
      <c r="D224" s="8" t="inlineStr">
        <is>
          <t>veiligheid</t>
        </is>
      </c>
      <c r="E224" s="113" t="inlineStr">
        <is>
          <t>T12</t>
        </is>
      </c>
      <c r="F224" s="124" t="inlineStr">
        <is>
          <t>openbare orde en veiligheid</t>
        </is>
      </c>
    </row>
    <row r="225">
      <c r="A225" s="192" t="n">
        <v>616012</v>
      </c>
      <c r="B225" s="192" t="inlineStr">
        <is>
          <t>secretarieleges titel 3 overige</t>
        </is>
      </c>
      <c r="C225" s="124" t="n"/>
      <c r="D225" s="8" t="inlineStr">
        <is>
          <t>veiligheid</t>
        </is>
      </c>
      <c r="E225" s="113" t="inlineStr">
        <is>
          <t>T12</t>
        </is>
      </c>
      <c r="F225" s="124" t="inlineStr">
        <is>
          <t>openbare orde en veiligheid</t>
        </is>
      </c>
    </row>
    <row r="226">
      <c r="A226" s="192" t="n">
        <v>616013</v>
      </c>
      <c r="B226" s="192" t="inlineStr">
        <is>
          <t>geluidsadvies/-metingen evenementen</t>
        </is>
      </c>
      <c r="C226" s="124" t="n"/>
      <c r="D226" s="8" t="inlineStr">
        <is>
          <t>veiligheid</t>
        </is>
      </c>
      <c r="E226" s="113" t="inlineStr">
        <is>
          <t>T12</t>
        </is>
      </c>
      <c r="F226" s="124" t="inlineStr">
        <is>
          <t>openbare orde en veiligheid</t>
        </is>
      </c>
    </row>
    <row r="227">
      <c r="A227" s="192" t="n">
        <v>616014</v>
      </c>
      <c r="B227" s="192" t="inlineStr">
        <is>
          <t>ventvergunningen</t>
        </is>
      </c>
      <c r="C227" s="124" t="n"/>
      <c r="D227" s="8" t="inlineStr">
        <is>
          <t>veiligheid</t>
        </is>
      </c>
      <c r="E227" s="113" t="inlineStr">
        <is>
          <t>T12</t>
        </is>
      </c>
      <c r="F227" s="124" t="inlineStr">
        <is>
          <t>openbare orde en veiligheid</t>
        </is>
      </c>
    </row>
    <row r="228">
      <c r="A228" s="192" t="n">
        <v>616015</v>
      </c>
      <c r="B228" s="192" t="inlineStr">
        <is>
          <t>dierenopvang</t>
        </is>
      </c>
      <c r="C228" s="124" t="n"/>
      <c r="D228" s="8" t="inlineStr">
        <is>
          <t>veiligheid</t>
        </is>
      </c>
      <c r="E228" s="113" t="inlineStr">
        <is>
          <t>T12</t>
        </is>
      </c>
      <c r="F228" s="124" t="inlineStr">
        <is>
          <t>openbare orde en veiligheid</t>
        </is>
      </c>
    </row>
    <row r="229">
      <c r="A229" s="192" t="n">
        <v>616016</v>
      </c>
      <c r="B229" s="192" t="inlineStr">
        <is>
          <t>ondermijning en bibob</t>
        </is>
      </c>
      <c r="C229" s="124" t="n"/>
      <c r="D229" s="8" t="inlineStr">
        <is>
          <t>veiligheid</t>
        </is>
      </c>
      <c r="E229" s="113" t="inlineStr">
        <is>
          <t>T12</t>
        </is>
      </c>
      <c r="F229" s="124" t="inlineStr">
        <is>
          <t>openbare orde en veiligheid</t>
        </is>
      </c>
    </row>
    <row r="230">
      <c r="A230" s="192" t="n">
        <v>616017</v>
      </c>
      <c r="B230" s="192" t="inlineStr">
        <is>
          <t>ondermijning bedrijventerreinen</t>
        </is>
      </c>
      <c r="C230" s="124" t="n"/>
      <c r="D230" s="8" t="inlineStr">
        <is>
          <t>veiligheid</t>
        </is>
      </c>
      <c r="E230" s="113" t="inlineStr">
        <is>
          <t>T12</t>
        </is>
      </c>
      <c r="F230" s="124" t="inlineStr">
        <is>
          <t>openbare orde en veiligheid</t>
        </is>
      </c>
    </row>
    <row r="231">
      <c r="A231" s="192" t="n">
        <v>616901</v>
      </c>
      <c r="B231" s="192" t="inlineStr">
        <is>
          <t>directe toerek vergunningen titel 1</t>
        </is>
      </c>
      <c r="C231" s="124" t="n"/>
      <c r="D231" s="8" t="inlineStr">
        <is>
          <t>veiligheid</t>
        </is>
      </c>
      <c r="E231" s="113" t="inlineStr">
        <is>
          <t>T12</t>
        </is>
      </c>
      <c r="F231" s="124" t="inlineStr">
        <is>
          <t>openbare orde en veiligheid</t>
        </is>
      </c>
    </row>
    <row r="232">
      <c r="A232" s="192" t="n">
        <v>616902</v>
      </c>
      <c r="B232" s="192" t="inlineStr">
        <is>
          <t>directe toerek vergunningen titel 3</t>
        </is>
      </c>
      <c r="C232" s="124" t="n"/>
      <c r="D232" s="8" t="inlineStr">
        <is>
          <t>veiligheid</t>
        </is>
      </c>
      <c r="E232" s="113" t="inlineStr">
        <is>
          <t>T12</t>
        </is>
      </c>
      <c r="F232" s="124" t="inlineStr">
        <is>
          <t>openbare orde en veiligheid</t>
        </is>
      </c>
    </row>
    <row r="233">
      <c r="A233" s="192" t="n">
        <v>616903</v>
      </c>
      <c r="B233" s="192" t="inlineStr">
        <is>
          <t>directe toerek oov</t>
        </is>
      </c>
      <c r="C233" s="124" t="n"/>
      <c r="D233" s="8" t="inlineStr">
        <is>
          <t>veiligheid</t>
        </is>
      </c>
      <c r="E233" s="113" t="inlineStr">
        <is>
          <t>T12</t>
        </is>
      </c>
      <c r="F233" s="124" t="inlineStr">
        <is>
          <t>openbare orde en veiligheid</t>
        </is>
      </c>
    </row>
    <row r="234">
      <c r="A234" s="192" t="n">
        <v>617001</v>
      </c>
      <c r="B234" s="192" t="inlineStr">
        <is>
          <t>straatnaamgeving/nummering</t>
        </is>
      </c>
      <c r="C234" s="124" t="n"/>
      <c r="D234" s="8" t="inlineStr">
        <is>
          <t>veiligheid</t>
        </is>
      </c>
      <c r="E234" s="113" t="inlineStr">
        <is>
          <t>T12</t>
        </is>
      </c>
      <c r="F234" s="124" t="inlineStr">
        <is>
          <t>openbare orde en veiligheid</t>
        </is>
      </c>
    </row>
    <row r="235">
      <c r="A235" s="192" t="n">
        <v>617002</v>
      </c>
      <c r="B235" s="192" t="inlineStr">
        <is>
          <t>waarschuwingsborden en wegwijzers</t>
        </is>
      </c>
      <c r="C235" s="124" t="n"/>
      <c r="D235" s="8" t="inlineStr">
        <is>
          <t>verkeer, vervoer en waterstaat</t>
        </is>
      </c>
      <c r="E235" s="113" t="inlineStr">
        <is>
          <t>T21</t>
        </is>
      </c>
      <c r="F235" s="124" t="inlineStr">
        <is>
          <t>verkeer en vevoer</t>
        </is>
      </c>
    </row>
    <row r="236">
      <c r="A236" s="192" t="n">
        <v>617003</v>
      </c>
      <c r="B236" s="113" t="inlineStr">
        <is>
          <t>maatregelen tbv veilig verkeer</t>
        </is>
      </c>
      <c r="C236" s="124" t="n"/>
      <c r="D236" s="8" t="inlineStr">
        <is>
          <t>verkeer, vervoer en waterstaat</t>
        </is>
      </c>
      <c r="E236" s="113" t="inlineStr">
        <is>
          <t>T21</t>
        </is>
      </c>
      <c r="F236" s="124" t="inlineStr">
        <is>
          <t>verkeer en vevoer</t>
        </is>
      </c>
    </row>
    <row r="237">
      <c r="A237" s="192" t="n">
        <v>617004</v>
      </c>
      <c r="B237" s="113" t="inlineStr">
        <is>
          <t>verkeerregelinstallaties</t>
        </is>
      </c>
      <c r="C237" s="124" t="n"/>
      <c r="D237" s="8" t="inlineStr">
        <is>
          <t>verkeer, vervoer en waterstaat</t>
        </is>
      </c>
      <c r="E237" s="113" t="inlineStr">
        <is>
          <t>T21</t>
        </is>
      </c>
      <c r="F237" s="124" t="inlineStr">
        <is>
          <t>verkeer en vevoer</t>
        </is>
      </c>
    </row>
    <row r="238">
      <c r="A238" s="192" t="n">
        <v>617005</v>
      </c>
      <c r="B238" s="113" t="inlineStr">
        <is>
          <t>verkeerstellingen</t>
        </is>
      </c>
      <c r="C238" s="124" t="n"/>
      <c r="D238" s="8" t="inlineStr">
        <is>
          <t>verkeer, vervoer en waterstaat</t>
        </is>
      </c>
      <c r="E238" s="113" t="inlineStr">
        <is>
          <t>T21</t>
        </is>
      </c>
      <c r="F238" s="124" t="inlineStr">
        <is>
          <t>verkeer en vevoer</t>
        </is>
      </c>
    </row>
    <row r="239">
      <c r="A239" s="192" t="n">
        <v>617006</v>
      </c>
      <c r="B239" s="113" t="inlineStr">
        <is>
          <t>bijd rijkswaterstaat</t>
        </is>
      </c>
      <c r="C239" s="124" t="n"/>
      <c r="D239" s="8" t="inlineStr">
        <is>
          <t>verkeer, vervoer en waterstaat</t>
        </is>
      </c>
      <c r="E239" s="113" t="inlineStr">
        <is>
          <t>T21</t>
        </is>
      </c>
      <c r="F239" s="124" t="inlineStr">
        <is>
          <t>verkeer en vevoer</t>
        </is>
      </c>
    </row>
    <row r="240">
      <c r="A240" s="192" t="n">
        <v>617007</v>
      </c>
      <c r="B240" s="113" t="inlineStr">
        <is>
          <t>bereikbaarheidsagenda</t>
        </is>
      </c>
      <c r="C240" s="124" t="n"/>
      <c r="D240" s="8" t="inlineStr">
        <is>
          <t>verkeer, vervoer en waterstaat</t>
        </is>
      </c>
      <c r="E240" s="113" t="inlineStr">
        <is>
          <t>T21</t>
        </is>
      </c>
      <c r="F240" s="124" t="inlineStr">
        <is>
          <t>verkeer en vevoer</t>
        </is>
      </c>
    </row>
    <row r="241">
      <c r="A241" s="192" t="n">
        <v>617008</v>
      </c>
      <c r="B241" s="113" t="inlineStr">
        <is>
          <t>overige verkeersmaatregelen</t>
        </is>
      </c>
      <c r="C241" s="124" t="n"/>
      <c r="D241" s="8" t="inlineStr">
        <is>
          <t>verkeer, vervoer en waterstaat</t>
        </is>
      </c>
      <c r="E241" s="113" t="inlineStr">
        <is>
          <t>T21</t>
        </is>
      </c>
      <c r="F241" s="124" t="inlineStr">
        <is>
          <t>verkeer en vevoer</t>
        </is>
      </c>
    </row>
    <row r="242">
      <c r="A242" s="192" t="n">
        <v>617009</v>
      </c>
      <c r="B242" s="113" t="inlineStr">
        <is>
          <t>mensgerichte verkeerseducatie</t>
        </is>
      </c>
      <c r="C242" s="124" t="n"/>
      <c r="D242" s="8" t="inlineStr">
        <is>
          <t>verkeer, vervoer en waterstaat</t>
        </is>
      </c>
      <c r="E242" s="113" t="inlineStr">
        <is>
          <t>T21</t>
        </is>
      </c>
      <c r="F242" s="124" t="inlineStr">
        <is>
          <t>verkeer en vevoer</t>
        </is>
      </c>
    </row>
    <row r="243">
      <c r="A243" s="192" t="n">
        <v>617010</v>
      </c>
      <c r="B243" s="113" t="inlineStr">
        <is>
          <t>infrastructurele verkeersmaatregelen</t>
        </is>
      </c>
      <c r="C243" s="124" t="n"/>
      <c r="D243" s="8" t="inlineStr">
        <is>
          <t>verkeer, vervoer en waterstaat</t>
        </is>
      </c>
      <c r="E243" s="113" t="inlineStr">
        <is>
          <t>T21</t>
        </is>
      </c>
      <c r="F243" s="124" t="inlineStr">
        <is>
          <t>verkeer en vevoer</t>
        </is>
      </c>
    </row>
    <row r="244">
      <c r="A244" s="192" t="n">
        <v>617011</v>
      </c>
      <c r="B244" s="192" t="inlineStr">
        <is>
          <t>onderhoud wegen</t>
        </is>
      </c>
      <c r="C244" s="124" t="n"/>
      <c r="D244" s="8" t="inlineStr">
        <is>
          <t>verkeer, vervoer en waterstaat</t>
        </is>
      </c>
      <c r="E244" s="113" t="inlineStr">
        <is>
          <t>T21</t>
        </is>
      </c>
      <c r="F244" s="124" t="inlineStr">
        <is>
          <t>verkeer en vevoer</t>
        </is>
      </c>
    </row>
    <row r="245">
      <c r="A245" s="192" t="n">
        <v>617012</v>
      </c>
      <c r="B245" s="192" t="inlineStr">
        <is>
          <t>stelpost wegbeheerplan(div P-nrs)</t>
        </is>
      </c>
      <c r="C245" s="124" t="n"/>
      <c r="D245" s="8" t="inlineStr">
        <is>
          <t>verkeer, vervoer en waterstaat</t>
        </is>
      </c>
      <c r="E245" s="113" t="inlineStr">
        <is>
          <t>T21</t>
        </is>
      </c>
      <c r="F245" s="124" t="inlineStr">
        <is>
          <t>verkeer en vevoer</t>
        </is>
      </c>
    </row>
    <row r="246">
      <c r="A246" s="192" t="n">
        <v>617013</v>
      </c>
      <c r="B246" s="192" t="inlineStr">
        <is>
          <t>stelpost uren investeringen</t>
        </is>
      </c>
      <c r="C246" s="124" t="n"/>
      <c r="D246" s="8" t="inlineStr">
        <is>
          <t>verkeer, vervoer en waterstaat</t>
        </is>
      </c>
      <c r="E246" s="113" t="inlineStr">
        <is>
          <t>T21</t>
        </is>
      </c>
      <c r="F246" s="124" t="inlineStr">
        <is>
          <t>verkeer en vevoer</t>
        </is>
      </c>
    </row>
    <row r="247">
      <c r="A247" s="192" t="n">
        <v>617014</v>
      </c>
      <c r="B247" s="192" t="inlineStr">
        <is>
          <t>bestrijding gladheid van wegen</t>
        </is>
      </c>
      <c r="C247" s="124" t="n"/>
      <c r="D247" s="8" t="inlineStr">
        <is>
          <t>verkeer, vervoer en waterstaat</t>
        </is>
      </c>
      <c r="E247" s="113" t="inlineStr">
        <is>
          <t>T21</t>
        </is>
      </c>
      <c r="F247" s="124" t="inlineStr">
        <is>
          <t>verkeer en vevoer</t>
        </is>
      </c>
    </row>
    <row r="248">
      <c r="A248" s="192" t="n">
        <v>617015</v>
      </c>
      <c r="B248" s="192" t="inlineStr">
        <is>
          <t>het maken van inritten</t>
        </is>
      </c>
      <c r="C248" s="124" t="n"/>
      <c r="D248" s="8" t="inlineStr">
        <is>
          <t>verkeer, vervoer en waterstaat</t>
        </is>
      </c>
      <c r="E248" s="113" t="inlineStr">
        <is>
          <t>T21</t>
        </is>
      </c>
      <c r="F248" s="124" t="inlineStr">
        <is>
          <t>verkeer en vevoer</t>
        </is>
      </c>
    </row>
    <row r="249">
      <c r="A249" s="192" t="n">
        <v>617016</v>
      </c>
      <c r="B249" s="192" t="inlineStr">
        <is>
          <t>straatverlichting</t>
        </is>
      </c>
      <c r="C249" s="124" t="n"/>
      <c r="D249" s="8" t="inlineStr">
        <is>
          <t>verkeer, vervoer en waterstaat</t>
        </is>
      </c>
      <c r="E249" s="113" t="inlineStr">
        <is>
          <t>T21</t>
        </is>
      </c>
      <c r="F249" s="124" t="inlineStr">
        <is>
          <t>verkeer en vevoer</t>
        </is>
      </c>
    </row>
    <row r="250">
      <c r="A250" s="192" t="n">
        <v>617017</v>
      </c>
      <c r="B250" s="192" t="inlineStr">
        <is>
          <t>gemeentereiniging excl huisvophaal</t>
        </is>
      </c>
      <c r="C250" s="124" t="n"/>
      <c r="D250" s="8" t="inlineStr">
        <is>
          <t>verkeer, vervoer en waterstaat</t>
        </is>
      </c>
      <c r="E250" s="113" t="inlineStr">
        <is>
          <t>T21</t>
        </is>
      </c>
      <c r="F250" s="124" t="inlineStr">
        <is>
          <t>verkeer en vevoer</t>
        </is>
      </c>
    </row>
    <row r="251">
      <c r="A251" s="192" t="n">
        <v>617018</v>
      </c>
      <c r="B251" s="192" t="inlineStr">
        <is>
          <t>doorbelasting overhead aan wegen</t>
        </is>
      </c>
      <c r="C251" s="124" t="n"/>
      <c r="D251" s="8" t="inlineStr">
        <is>
          <t>verkeer, vervoer en waterstaat</t>
        </is>
      </c>
      <c r="E251" s="113" t="inlineStr">
        <is>
          <t>T21</t>
        </is>
      </c>
      <c r="F251" s="124" t="inlineStr">
        <is>
          <t>verkeer en vevoer</t>
        </is>
      </c>
    </row>
    <row r="252">
      <c r="A252" s="192" t="n">
        <v>617019</v>
      </c>
      <c r="B252" s="192" t="inlineStr">
        <is>
          <t>onderhoud bruggen</t>
        </is>
      </c>
      <c r="C252" s="124" t="n"/>
      <c r="D252" s="8" t="inlineStr">
        <is>
          <t>verkeer, vervoer en waterstaat</t>
        </is>
      </c>
      <c r="E252" s="113" t="inlineStr">
        <is>
          <t>T21</t>
        </is>
      </c>
      <c r="F252" s="124" t="inlineStr">
        <is>
          <t>verkeer en vevoer</t>
        </is>
      </c>
    </row>
    <row r="253">
      <c r="A253" s="192" t="n">
        <v>617020</v>
      </c>
      <c r="B253" s="192" t="inlineStr">
        <is>
          <t>programma duurzame mobiliteit</t>
        </is>
      </c>
      <c r="C253" s="124" t="n"/>
      <c r="D253" s="8" t="inlineStr">
        <is>
          <t>verkeer, vervoer en waterstaat</t>
        </is>
      </c>
      <c r="E253" s="113" t="inlineStr">
        <is>
          <t>T21</t>
        </is>
      </c>
      <c r="F253" s="124" t="inlineStr">
        <is>
          <t>verkeer en vevoer</t>
        </is>
      </c>
    </row>
    <row r="254">
      <c r="A254" s="192" t="n">
        <v>617021</v>
      </c>
      <c r="B254" s="192" t="inlineStr">
        <is>
          <t>bijdrage knoop xl brainport</t>
        </is>
      </c>
      <c r="C254" s="124" t="n"/>
      <c r="D254" s="8" t="inlineStr">
        <is>
          <t>verkeer, vervoer en waterstaat</t>
        </is>
      </c>
      <c r="E254" s="113" t="inlineStr">
        <is>
          <t>T21</t>
        </is>
      </c>
      <c r="F254" s="124" t="inlineStr">
        <is>
          <t>verkeer en vevoer</t>
        </is>
      </c>
    </row>
    <row r="255">
      <c r="A255" s="192" t="n">
        <v>617022</v>
      </c>
      <c r="B255" s="192" t="inlineStr">
        <is>
          <t>aanleg kabelgoottegels</t>
        </is>
      </c>
      <c r="C255" s="124" t="n"/>
      <c r="D255" s="8" t="inlineStr">
        <is>
          <t>verkeer, vervoer en waterstaat</t>
        </is>
      </c>
      <c r="E255" s="113" t="inlineStr">
        <is>
          <t>T21</t>
        </is>
      </c>
      <c r="F255" s="124" t="inlineStr">
        <is>
          <t>verkeer en vevoer</t>
        </is>
      </c>
    </row>
    <row r="256">
      <c r="A256" s="192" t="n">
        <v>617023</v>
      </c>
      <c r="B256" s="192" t="inlineStr">
        <is>
          <t>stelpost schaalsprong</t>
        </is>
      </c>
      <c r="C256" s="124" t="n"/>
      <c r="D256" s="8" t="inlineStr">
        <is>
          <t>verkeer, vervoer en waterstaat</t>
        </is>
      </c>
      <c r="E256" s="113" t="inlineStr">
        <is>
          <t>T21</t>
        </is>
      </c>
      <c r="F256" s="124" t="inlineStr">
        <is>
          <t>verkeer en vevoer</t>
        </is>
      </c>
    </row>
    <row r="257">
      <c r="A257" s="192" t="n">
        <v>617901</v>
      </c>
      <c r="B257" s="192" t="inlineStr">
        <is>
          <t>directe toerek verkeer vervoer</t>
        </is>
      </c>
      <c r="C257" s="124" t="n"/>
      <c r="D257" s="8" t="inlineStr">
        <is>
          <t>verkeer, vervoer en waterstaat</t>
        </is>
      </c>
      <c r="E257" s="113" t="inlineStr">
        <is>
          <t>T21</t>
        </is>
      </c>
      <c r="F257" s="124" t="inlineStr">
        <is>
          <t>verkeer en vevoer</t>
        </is>
      </c>
    </row>
    <row r="258">
      <c r="A258" s="192" t="n">
        <v>617902</v>
      </c>
      <c r="B258" s="192" t="inlineStr">
        <is>
          <t>directe toerek inritten</t>
        </is>
      </c>
      <c r="C258" s="124" t="n"/>
      <c r="D258" s="8" t="inlineStr">
        <is>
          <t>verkeer, vervoer en waterstaat</t>
        </is>
      </c>
      <c r="E258" s="113" t="inlineStr">
        <is>
          <t>T21</t>
        </is>
      </c>
      <c r="F258" s="124" t="inlineStr">
        <is>
          <t>verkeer en vevoer</t>
        </is>
      </c>
    </row>
    <row r="259">
      <c r="A259" s="192" t="n">
        <v>617903</v>
      </c>
      <c r="B259" s="192" t="inlineStr">
        <is>
          <t>directe toerek straatreiniging</t>
        </is>
      </c>
      <c r="C259" s="124" t="n"/>
      <c r="D259" s="8" t="inlineStr">
        <is>
          <t>verkeer, vervoer en waterstaat</t>
        </is>
      </c>
      <c r="E259" s="113" t="inlineStr">
        <is>
          <t>T21</t>
        </is>
      </c>
      <c r="F259" s="124" t="inlineStr">
        <is>
          <t>verkeer en vevoer</t>
        </is>
      </c>
    </row>
    <row r="260">
      <c r="A260" s="192" t="n">
        <v>618001</v>
      </c>
      <c r="B260" s="192" t="inlineStr">
        <is>
          <t>parkeergarage molenveste</t>
        </is>
      </c>
      <c r="C260" s="124" t="n"/>
      <c r="D260" s="8" t="inlineStr">
        <is>
          <t>verkeer, vervoer en waterstaat</t>
        </is>
      </c>
      <c r="E260" s="113" t="inlineStr">
        <is>
          <t>T22</t>
        </is>
      </c>
      <c r="F260" s="124" t="inlineStr">
        <is>
          <t>parkeren</t>
        </is>
      </c>
    </row>
    <row r="261">
      <c r="A261" s="192" t="n">
        <v>618901</v>
      </c>
      <c r="B261" s="192" t="inlineStr">
        <is>
          <t>directe toerek parkeren</t>
        </is>
      </c>
      <c r="C261" s="124" t="n"/>
      <c r="D261" s="8" t="inlineStr">
        <is>
          <t>verkeer, vervoer en waterstaat</t>
        </is>
      </c>
      <c r="E261" s="113" t="inlineStr">
        <is>
          <t>T22</t>
        </is>
      </c>
      <c r="F261" s="124" t="inlineStr">
        <is>
          <t>parkeren</t>
        </is>
      </c>
    </row>
    <row r="262">
      <c r="A262" s="192" t="n">
        <v>621001</v>
      </c>
      <c r="B262" s="192" t="inlineStr">
        <is>
          <t>fietsenstalling ns</t>
        </is>
      </c>
      <c r="C262" s="124" t="n"/>
      <c r="D262" s="8" t="inlineStr">
        <is>
          <t>verkeer, vervoer en waterstaat</t>
        </is>
      </c>
      <c r="E262" s="113" t="inlineStr">
        <is>
          <t>T25</t>
        </is>
      </c>
      <c r="F262" s="124" t="inlineStr">
        <is>
          <t>openbaar vervoer</t>
        </is>
      </c>
    </row>
    <row r="263">
      <c r="A263" s="192" t="n">
        <v>621002</v>
      </c>
      <c r="B263" s="192" t="inlineStr">
        <is>
          <t>overige kosten openbaar vervoer</t>
        </is>
      </c>
      <c r="C263" s="124" t="n"/>
      <c r="D263" s="8" t="inlineStr">
        <is>
          <t>verkeer, vervoer en waterstaat</t>
        </is>
      </c>
      <c r="E263" s="113" t="inlineStr">
        <is>
          <t>T25</t>
        </is>
      </c>
      <c r="F263" s="124" t="inlineStr">
        <is>
          <t>openbaar vervoer</t>
        </is>
      </c>
    </row>
    <row r="264">
      <c r="A264" s="192" t="n">
        <v>621901</v>
      </c>
      <c r="B264" s="192" t="inlineStr">
        <is>
          <t>directe toerek openb vervoer</t>
        </is>
      </c>
      <c r="C264" s="124" t="n"/>
      <c r="D264" s="8" t="inlineStr">
        <is>
          <t>verkeer, vervoer en waterstaat</t>
        </is>
      </c>
      <c r="E264" s="113" t="inlineStr">
        <is>
          <t>T25</t>
        </is>
      </c>
      <c r="F264" s="124" t="inlineStr">
        <is>
          <t>openbaar vervoer</t>
        </is>
      </c>
    </row>
    <row r="265">
      <c r="A265" s="192" t="n">
        <v>622001</v>
      </c>
      <c r="B265" s="192" t="inlineStr">
        <is>
          <t>recognities voor vergunningen</t>
        </is>
      </c>
      <c r="C265" s="124" t="n"/>
      <c r="D265" s="8" t="inlineStr">
        <is>
          <t>economie</t>
        </is>
      </c>
      <c r="E265" s="113" t="inlineStr">
        <is>
          <t>T31</t>
        </is>
      </c>
      <c r="F265" s="124" t="inlineStr">
        <is>
          <t>economische ontwikkeling</t>
        </is>
      </c>
    </row>
    <row r="266">
      <c r="A266" s="192" t="n">
        <v>622002</v>
      </c>
      <c r="B266" s="202" t="inlineStr">
        <is>
          <t>revitalisering bedrijventerr 't zand</t>
        </is>
      </c>
      <c r="C266" s="124" t="n"/>
      <c r="D266" s="8" t="inlineStr">
        <is>
          <t>economie</t>
        </is>
      </c>
      <c r="E266" s="113" t="inlineStr">
        <is>
          <t>T31</t>
        </is>
      </c>
      <c r="F266" s="124" t="inlineStr">
        <is>
          <t>economische ontwikkeling</t>
        </is>
      </c>
    </row>
    <row r="267">
      <c r="A267" s="192" t="n">
        <v>622003</v>
      </c>
      <c r="B267" s="202" t="inlineStr">
        <is>
          <t>bevorder ondernemingsklimaat  best</t>
        </is>
      </c>
      <c r="C267" s="124" t="n"/>
      <c r="D267" s="8" t="inlineStr">
        <is>
          <t>economie</t>
        </is>
      </c>
      <c r="E267" s="113" t="inlineStr">
        <is>
          <t>T31</t>
        </is>
      </c>
      <c r="F267" s="124" t="inlineStr">
        <is>
          <t>economische ontwikkeling</t>
        </is>
      </c>
    </row>
    <row r="268">
      <c r="A268" s="192" t="n">
        <v>622004</v>
      </c>
      <c r="B268" s="202" t="inlineStr">
        <is>
          <t>centrummanagement</t>
        </is>
      </c>
      <c r="C268" s="124" t="n"/>
      <c r="D268" s="8" t="inlineStr">
        <is>
          <t>economie</t>
        </is>
      </c>
      <c r="E268" s="113" t="inlineStr">
        <is>
          <t>T31</t>
        </is>
      </c>
      <c r="F268" s="124" t="inlineStr">
        <is>
          <t>economische ontwikkeling</t>
        </is>
      </c>
    </row>
    <row r="269">
      <c r="A269" s="192" t="n">
        <v>622005</v>
      </c>
      <c r="B269" s="202" t="inlineStr">
        <is>
          <t>basisfinanciering brainp development</t>
        </is>
      </c>
      <c r="C269" s="124" t="n"/>
      <c r="D269" s="8" t="inlineStr">
        <is>
          <t>economie</t>
        </is>
      </c>
      <c r="E269" s="113" t="inlineStr">
        <is>
          <t>T31</t>
        </is>
      </c>
      <c r="F269" s="124" t="inlineStr">
        <is>
          <t>economische ontwikkeling</t>
        </is>
      </c>
    </row>
    <row r="270">
      <c r="A270" s="192" t="n">
        <v>622006</v>
      </c>
      <c r="B270" s="192" t="inlineStr">
        <is>
          <t>bijdrage aan internationale school</t>
        </is>
      </c>
      <c r="C270" s="124" t="n"/>
      <c r="D270" s="8" t="inlineStr">
        <is>
          <t>economie</t>
        </is>
      </c>
      <c r="E270" s="113" t="inlineStr">
        <is>
          <t>T31</t>
        </is>
      </c>
      <c r="F270" s="124" t="inlineStr">
        <is>
          <t>economische ontwikkeling</t>
        </is>
      </c>
    </row>
    <row r="271">
      <c r="A271" s="192" t="n">
        <v>622007</v>
      </c>
      <c r="B271" s="192" t="inlineStr">
        <is>
          <t>nutsvoorzieningen</t>
        </is>
      </c>
      <c r="C271" s="124" t="n"/>
      <c r="D271" s="8" t="inlineStr">
        <is>
          <t>economie</t>
        </is>
      </c>
      <c r="E271" s="113" t="inlineStr">
        <is>
          <t>T31</t>
        </is>
      </c>
      <c r="F271" s="124" t="inlineStr">
        <is>
          <t>economische ontwikkeling</t>
        </is>
      </c>
    </row>
    <row r="272">
      <c r="A272" s="192" t="n">
        <v>622008</v>
      </c>
      <c r="B272" s="192" t="inlineStr">
        <is>
          <t>leges leggen van kabels en leidingen</t>
        </is>
      </c>
      <c r="C272" s="124" t="n"/>
      <c r="D272" s="8" t="inlineStr">
        <is>
          <t>economie</t>
        </is>
      </c>
      <c r="E272" s="113" t="inlineStr">
        <is>
          <t>T31</t>
        </is>
      </c>
      <c r="F272" s="124" t="inlineStr">
        <is>
          <t>economische ontwikkeling</t>
        </is>
      </c>
    </row>
    <row r="273">
      <c r="A273" s="192" t="n">
        <v>622009</v>
      </c>
      <c r="B273" s="192" t="inlineStr">
        <is>
          <t>brandkranen, -putten en -sloten</t>
        </is>
      </c>
      <c r="C273" s="124" t="n"/>
      <c r="D273" s="8" t="inlineStr">
        <is>
          <t>economie</t>
        </is>
      </c>
      <c r="E273" s="113" t="inlineStr">
        <is>
          <t>T31</t>
        </is>
      </c>
      <c r="F273" s="124" t="inlineStr">
        <is>
          <t>economische ontwikkeling</t>
        </is>
      </c>
    </row>
    <row r="274">
      <c r="A274" s="192" t="n">
        <v>622010</v>
      </c>
      <c r="B274" s="192" t="inlineStr">
        <is>
          <t>oz verleggen hoogspannleiding</t>
        </is>
      </c>
      <c r="C274" s="124" t="n"/>
      <c r="D274" s="8" t="inlineStr">
        <is>
          <t>economie</t>
        </is>
      </c>
      <c r="E274" s="113" t="inlineStr">
        <is>
          <t>T31</t>
        </is>
      </c>
      <c r="F274" s="124" t="inlineStr">
        <is>
          <t>economische ontwikkeling</t>
        </is>
      </c>
    </row>
    <row r="275">
      <c r="A275" s="192" t="n">
        <v>622011</v>
      </c>
      <c r="B275" s="192" t="inlineStr">
        <is>
          <t>bedrijventerreinenvisie</t>
        </is>
      </c>
      <c r="C275" s="124" t="n"/>
      <c r="D275" s="8" t="inlineStr">
        <is>
          <t>economie</t>
        </is>
      </c>
      <c r="E275" s="113" t="inlineStr">
        <is>
          <t>T31</t>
        </is>
      </c>
      <c r="F275" s="124" t="inlineStr">
        <is>
          <t>economische ontwikkeling</t>
        </is>
      </c>
    </row>
    <row r="276">
      <c r="A276" s="192" t="n">
        <v>622012</v>
      </c>
      <c r="B276" s="192" t="inlineStr">
        <is>
          <t>overige winkelgebieden</t>
        </is>
      </c>
      <c r="C276" s="124" t="n"/>
      <c r="D276" s="8" t="inlineStr">
        <is>
          <t>economie</t>
        </is>
      </c>
      <c r="E276" s="113" t="inlineStr">
        <is>
          <t>T31</t>
        </is>
      </c>
      <c r="F276" s="124" t="inlineStr">
        <is>
          <t>economische ontwikkeling</t>
        </is>
      </c>
    </row>
    <row r="277">
      <c r="A277" s="192" t="n">
        <v>622013</v>
      </c>
      <c r="B277" s="192" t="inlineStr">
        <is>
          <t>verduurzamen bedrijventerreinen</t>
        </is>
      </c>
      <c r="C277" s="124" t="n"/>
      <c r="D277" s="8" t="inlineStr">
        <is>
          <t>economie</t>
        </is>
      </c>
      <c r="E277" s="113" t="inlineStr">
        <is>
          <t>T31</t>
        </is>
      </c>
      <c r="F277" s="124" t="inlineStr">
        <is>
          <t>economische ontwikkeling</t>
        </is>
      </c>
    </row>
    <row r="278">
      <c r="A278" s="192" t="n">
        <v>622014</v>
      </c>
      <c r="B278" s="192" t="inlineStr">
        <is>
          <t>haalbaaroz/cam toez bedr terrein</t>
        </is>
      </c>
      <c r="C278" s="124" t="n"/>
      <c r="D278" s="8" t="inlineStr">
        <is>
          <t>economie</t>
        </is>
      </c>
      <c r="E278" s="113" t="inlineStr">
        <is>
          <t>T31</t>
        </is>
      </c>
      <c r="F278" s="124" t="inlineStr">
        <is>
          <t>economische ontwikkeling</t>
        </is>
      </c>
    </row>
    <row r="279">
      <c r="A279" s="192" t="n">
        <v>622015</v>
      </c>
      <c r="B279" s="192" t="inlineStr">
        <is>
          <t>ondernemersfonds</t>
        </is>
      </c>
      <c r="C279" s="124" t="n"/>
      <c r="D279" s="8" t="inlineStr">
        <is>
          <t>economie</t>
        </is>
      </c>
      <c r="E279" s="113" t="inlineStr">
        <is>
          <t>T31</t>
        </is>
      </c>
      <c r="F279" s="124" t="inlineStr">
        <is>
          <t>economische ontwikkeling</t>
        </is>
      </c>
    </row>
    <row r="280">
      <c r="A280" s="192" t="n">
        <v>622901</v>
      </c>
      <c r="B280" s="192" t="inlineStr">
        <is>
          <t>directe toerek ec ontwikkeling</t>
        </is>
      </c>
      <c r="C280" s="124" t="n"/>
      <c r="D280" s="8" t="inlineStr">
        <is>
          <t>economie</t>
        </is>
      </c>
      <c r="E280" s="113" t="inlineStr">
        <is>
          <t>T31</t>
        </is>
      </c>
      <c r="F280" s="124" t="inlineStr">
        <is>
          <t>economische ontwikkeling</t>
        </is>
      </c>
    </row>
    <row r="281">
      <c r="A281" s="192" t="n">
        <v>622902</v>
      </c>
      <c r="B281" s="192" t="inlineStr">
        <is>
          <t>directe toerek kabels ed titel 1</t>
        </is>
      </c>
      <c r="C281" s="124" t="n"/>
      <c r="D281" s="8" t="inlineStr">
        <is>
          <t>economie</t>
        </is>
      </c>
      <c r="E281" s="113" t="inlineStr">
        <is>
          <t>T31</t>
        </is>
      </c>
      <c r="F281" s="124" t="inlineStr">
        <is>
          <t>economische ontwikkeling</t>
        </is>
      </c>
    </row>
    <row r="282">
      <c r="A282" s="192" t="n">
        <v>624001</v>
      </c>
      <c r="B282" s="192" t="inlineStr">
        <is>
          <t>markten</t>
        </is>
      </c>
      <c r="C282" s="124" t="n"/>
      <c r="D282" s="8" t="inlineStr">
        <is>
          <t>economie</t>
        </is>
      </c>
      <c r="E282" s="113" t="inlineStr">
        <is>
          <t>T33</t>
        </is>
      </c>
      <c r="F282" s="124" t="inlineStr">
        <is>
          <t>bedrijfsloket en bedrijfsregelingen</t>
        </is>
      </c>
    </row>
    <row r="283">
      <c r="A283" s="192" t="n">
        <v>624002</v>
      </c>
      <c r="B283" s="192" t="inlineStr">
        <is>
          <t>commerciële buitenreclame</t>
        </is>
      </c>
      <c r="C283" s="124" t="n"/>
      <c r="D283" s="8" t="inlineStr">
        <is>
          <t>economie</t>
        </is>
      </c>
      <c r="E283" s="113" t="inlineStr">
        <is>
          <t>T33</t>
        </is>
      </c>
      <c r="F283" s="124" t="inlineStr">
        <is>
          <t>bedrijfsloket en bedrijfsregelingen</t>
        </is>
      </c>
    </row>
    <row r="284">
      <c r="A284" s="192" t="n">
        <v>624003</v>
      </c>
      <c r="B284" s="192" t="inlineStr">
        <is>
          <t>standplaatsen</t>
        </is>
      </c>
      <c r="C284" s="124" t="n"/>
      <c r="D284" s="8" t="inlineStr">
        <is>
          <t>economie</t>
        </is>
      </c>
      <c r="E284" s="113" t="inlineStr">
        <is>
          <t>T33</t>
        </is>
      </c>
      <c r="F284" s="124" t="inlineStr">
        <is>
          <t>bedrijfsloket en bedrijfsregelingen</t>
        </is>
      </c>
    </row>
    <row r="285">
      <c r="A285" s="192" t="n">
        <v>624901</v>
      </c>
      <c r="B285" s="192" t="inlineStr">
        <is>
          <t>directe toerek bedr loket ed</t>
        </is>
      </c>
      <c r="C285" s="124" t="n"/>
      <c r="D285" s="8" t="inlineStr">
        <is>
          <t>economie</t>
        </is>
      </c>
      <c r="E285" s="113" t="inlineStr">
        <is>
          <t>T33</t>
        </is>
      </c>
      <c r="F285" s="124" t="inlineStr">
        <is>
          <t>bedrijfsloket en bedrijfsregelingen</t>
        </is>
      </c>
    </row>
    <row r="286">
      <c r="A286" s="192" t="n">
        <v>625001</v>
      </c>
      <c r="B286" s="192" t="inlineStr">
        <is>
          <t>kermis en kermisterrein</t>
        </is>
      </c>
      <c r="C286" s="124" t="n"/>
      <c r="D286" s="8" t="inlineStr">
        <is>
          <t>economie</t>
        </is>
      </c>
      <c r="E286" s="113" t="inlineStr">
        <is>
          <t>T34</t>
        </is>
      </c>
      <c r="F286" s="124" t="inlineStr">
        <is>
          <t>economische promotie</t>
        </is>
      </c>
    </row>
    <row r="287">
      <c r="A287" s="192" t="n">
        <v>625002</v>
      </c>
      <c r="B287" s="192" t="inlineStr">
        <is>
          <t>culturele activiteiten</t>
        </is>
      </c>
      <c r="C287" s="124" t="n"/>
      <c r="D287" s="8" t="inlineStr">
        <is>
          <t>economie</t>
        </is>
      </c>
      <c r="E287" s="113" t="inlineStr">
        <is>
          <t>T34</t>
        </is>
      </c>
      <c r="F287" s="124" t="inlineStr">
        <is>
          <t>economische promotie</t>
        </is>
      </c>
    </row>
    <row r="288">
      <c r="A288" s="192" t="n">
        <v>625003</v>
      </c>
      <c r="B288" s="192" t="inlineStr">
        <is>
          <t>toeristenbelasting</t>
        </is>
      </c>
      <c r="C288" s="124" t="n"/>
      <c r="D288" s="8" t="inlineStr">
        <is>
          <t>economie</t>
        </is>
      </c>
      <c r="E288" s="113" t="inlineStr">
        <is>
          <t>T34</t>
        </is>
      </c>
      <c r="F288" s="124" t="inlineStr">
        <is>
          <t>economische promotie</t>
        </is>
      </c>
    </row>
    <row r="289">
      <c r="A289" s="192" t="n">
        <v>625004</v>
      </c>
      <c r="B289" s="192" t="inlineStr">
        <is>
          <t>promotie kermis</t>
        </is>
      </c>
      <c r="C289" s="124" t="n"/>
      <c r="D289" s="8" t="inlineStr">
        <is>
          <t>economie</t>
        </is>
      </c>
      <c r="E289" s="113" t="inlineStr">
        <is>
          <t>T34</t>
        </is>
      </c>
      <c r="F289" s="124" t="inlineStr">
        <is>
          <t>economische promotie</t>
        </is>
      </c>
    </row>
    <row r="290">
      <c r="A290" s="192" t="n">
        <v>625005</v>
      </c>
      <c r="B290" s="192" t="inlineStr">
        <is>
          <t>75 jaar wilhelminadorp</t>
        </is>
      </c>
      <c r="C290" s="124" t="n"/>
      <c r="D290" s="8" t="inlineStr">
        <is>
          <t>economie</t>
        </is>
      </c>
      <c r="E290" s="113" t="inlineStr">
        <is>
          <t>T34</t>
        </is>
      </c>
      <c r="F290" s="124" t="inlineStr">
        <is>
          <t>economische promotie</t>
        </is>
      </c>
    </row>
    <row r="291">
      <c r="A291" s="192" t="n">
        <v>625901</v>
      </c>
      <c r="B291" s="192" t="inlineStr">
        <is>
          <t>directe toerek econ promotie</t>
        </is>
      </c>
      <c r="C291" s="124" t="n"/>
      <c r="D291" s="8" t="inlineStr">
        <is>
          <t>economie</t>
        </is>
      </c>
      <c r="E291" s="113" t="inlineStr">
        <is>
          <t>T34</t>
        </is>
      </c>
      <c r="F291" s="124" t="inlineStr">
        <is>
          <t>economische promotie</t>
        </is>
      </c>
    </row>
    <row r="292">
      <c r="A292" s="192" t="n">
        <v>625902</v>
      </c>
      <c r="B292" s="192" t="inlineStr">
        <is>
          <t>directe toerek kermis</t>
        </is>
      </c>
      <c r="C292" s="124" t="n"/>
      <c r="D292" s="8" t="inlineStr">
        <is>
          <t>onderwijs</t>
        </is>
      </c>
      <c r="E292" s="113" t="inlineStr">
        <is>
          <t>T34</t>
        </is>
      </c>
      <c r="F292" s="124" t="inlineStr">
        <is>
          <t>economische promotie</t>
        </is>
      </c>
    </row>
    <row r="293">
      <c r="A293" s="192" t="n">
        <v>627001</v>
      </c>
      <c r="B293" s="192" t="inlineStr">
        <is>
          <t>scholen onverdeeld</t>
        </is>
      </c>
      <c r="C293" s="124" t="n"/>
      <c r="D293" s="8" t="inlineStr">
        <is>
          <t>onderwijs</t>
        </is>
      </c>
      <c r="E293" s="113" t="inlineStr">
        <is>
          <t>T42</t>
        </is>
      </c>
      <c r="F293" s="124" t="inlineStr">
        <is>
          <t>onderwijshuisvesting</t>
        </is>
      </c>
    </row>
    <row r="294">
      <c r="A294" s="192" t="n">
        <v>627002</v>
      </c>
      <c r="B294" s="192" t="inlineStr">
        <is>
          <t>stelp herstel/verv schade scholen</t>
        </is>
      </c>
      <c r="C294" s="124" t="n"/>
      <c r="D294" s="8" t="inlineStr">
        <is>
          <t>onderwijs</t>
        </is>
      </c>
      <c r="E294" s="113" t="inlineStr">
        <is>
          <t>T42</t>
        </is>
      </c>
      <c r="F294" s="124" t="inlineStr">
        <is>
          <t>onderwijshuisvesting</t>
        </is>
      </c>
    </row>
    <row r="295">
      <c r="A295" s="192" t="n">
        <v>627003</v>
      </c>
      <c r="B295" s="192" t="inlineStr">
        <is>
          <t>schoolwoningen onverdeeld</t>
        </is>
      </c>
      <c r="C295" s="124" t="n"/>
      <c r="D295" s="8" t="inlineStr">
        <is>
          <t>onderwijs</t>
        </is>
      </c>
      <c r="E295" s="113" t="inlineStr">
        <is>
          <t>T42</t>
        </is>
      </c>
      <c r="F295" s="124" t="inlineStr">
        <is>
          <t>onderwijshuisvesting</t>
        </is>
      </c>
    </row>
    <row r="296">
      <c r="A296" s="192" t="n">
        <v>627004</v>
      </c>
      <c r="B296" s="192" t="inlineStr">
        <is>
          <t>gymnastiekonderwijs</t>
        </is>
      </c>
      <c r="C296" s="124" t="n"/>
      <c r="D296" s="8" t="inlineStr">
        <is>
          <t>onderwijs</t>
        </is>
      </c>
      <c r="E296" s="113" t="inlineStr">
        <is>
          <t>T42</t>
        </is>
      </c>
      <c r="F296" s="124" t="inlineStr">
        <is>
          <t>onderwijshuisvesting</t>
        </is>
      </c>
    </row>
    <row r="297">
      <c r="A297" s="192" t="n">
        <v>627005</v>
      </c>
      <c r="B297" s="192" t="inlineStr">
        <is>
          <t>wildheuvel 21-23</t>
        </is>
      </c>
      <c r="C297" s="124" t="n"/>
      <c r="D297" s="8" t="inlineStr">
        <is>
          <t>onderwijs</t>
        </is>
      </c>
      <c r="E297" s="113" t="inlineStr">
        <is>
          <t>T42</t>
        </is>
      </c>
      <c r="F297" s="124" t="inlineStr">
        <is>
          <t>onderwijshuisvesting</t>
        </is>
      </c>
    </row>
    <row r="298">
      <c r="A298" s="192" t="n">
        <v>627006</v>
      </c>
      <c r="B298" s="192" t="inlineStr">
        <is>
          <t>paardenhei 7</t>
        </is>
      </c>
      <c r="C298" s="124" t="n"/>
      <c r="D298" s="8" t="inlineStr">
        <is>
          <t>onderwijs</t>
        </is>
      </c>
      <c r="E298" s="113" t="inlineStr">
        <is>
          <t>T42</t>
        </is>
      </c>
      <c r="F298" s="124" t="inlineStr">
        <is>
          <t>onderwijshuisvesting</t>
        </is>
      </c>
    </row>
    <row r="299">
      <c r="A299" s="192" t="n">
        <v>627007</v>
      </c>
      <c r="B299" s="192" t="inlineStr">
        <is>
          <t>vlinderhei 14</t>
        </is>
      </c>
      <c r="C299" s="124" t="n"/>
      <c r="D299" s="8" t="inlineStr">
        <is>
          <t>onderwijs</t>
        </is>
      </c>
      <c r="E299" s="113" t="inlineStr">
        <is>
          <t>T42</t>
        </is>
      </c>
      <c r="F299" s="124" t="inlineStr">
        <is>
          <t>onderwijshuisvesting</t>
        </is>
      </c>
    </row>
    <row r="300">
      <c r="A300" s="192" t="n">
        <v>627008</v>
      </c>
      <c r="B300" s="192" t="inlineStr">
        <is>
          <t>secr jansenstr 5</t>
        </is>
      </c>
      <c r="C300" s="124" t="n"/>
      <c r="D300" s="8" t="inlineStr">
        <is>
          <t>onderwijs</t>
        </is>
      </c>
      <c r="E300" s="113" t="inlineStr">
        <is>
          <t>T42</t>
        </is>
      </c>
      <c r="F300" s="124" t="inlineStr">
        <is>
          <t>onderwijshuisvesting</t>
        </is>
      </c>
    </row>
    <row r="301">
      <c r="A301" s="192" t="n">
        <v>627009</v>
      </c>
      <c r="B301" s="192" t="inlineStr">
        <is>
          <t>mgr zwijssenstraat 85</t>
        </is>
      </c>
      <c r="C301" s="124" t="n"/>
      <c r="D301" s="8" t="inlineStr">
        <is>
          <t>onderwijs</t>
        </is>
      </c>
      <c r="E301" s="113" t="inlineStr">
        <is>
          <t>T42</t>
        </is>
      </c>
      <c r="F301" s="124" t="inlineStr">
        <is>
          <t>onderwijshuisvesting</t>
        </is>
      </c>
    </row>
    <row r="302">
      <c r="A302" s="192" t="n">
        <v>627010</v>
      </c>
      <c r="B302" s="203" t="inlineStr">
        <is>
          <t>j vermeerstraat 21</t>
        </is>
      </c>
      <c r="C302" s="124" t="n"/>
      <c r="D302" s="8" t="inlineStr">
        <is>
          <t>onderwijs</t>
        </is>
      </c>
      <c r="E302" s="113" t="inlineStr">
        <is>
          <t>T42</t>
        </is>
      </c>
      <c r="F302" s="124" t="inlineStr">
        <is>
          <t>onderwijshuisvesting</t>
        </is>
      </c>
    </row>
    <row r="303">
      <c r="A303" s="192" t="n">
        <v>627011</v>
      </c>
      <c r="B303" s="203" t="inlineStr">
        <is>
          <t>max de bossusstraat 8</t>
        </is>
      </c>
      <c r="C303" s="124" t="n"/>
      <c r="D303" s="8" t="inlineStr">
        <is>
          <t>onderwijs</t>
        </is>
      </c>
      <c r="E303" s="113" t="inlineStr">
        <is>
          <t>T42</t>
        </is>
      </c>
      <c r="F303" s="124" t="inlineStr">
        <is>
          <t>onderwijshuisvesting</t>
        </is>
      </c>
    </row>
    <row r="304">
      <c r="A304" s="192" t="n">
        <v>627012</v>
      </c>
      <c r="B304" s="192" t="inlineStr">
        <is>
          <t>van lumeystraat 1</t>
        </is>
      </c>
      <c r="C304" s="124" t="n"/>
      <c r="D304" s="8" t="inlineStr">
        <is>
          <t>onderwijs</t>
        </is>
      </c>
      <c r="E304" s="113" t="inlineStr">
        <is>
          <t>T42</t>
        </is>
      </c>
      <c r="F304" s="124" t="inlineStr">
        <is>
          <t>onderwijshuisvesting</t>
        </is>
      </c>
    </row>
    <row r="305">
      <c r="A305" s="192" t="n">
        <v>627013</v>
      </c>
      <c r="B305" s="192" t="inlineStr">
        <is>
          <t>paardenhei 1</t>
        </is>
      </c>
      <c r="C305" s="124" t="n"/>
      <c r="D305" s="8" t="inlineStr">
        <is>
          <t>onderwijs</t>
        </is>
      </c>
      <c r="E305" s="113" t="inlineStr">
        <is>
          <t>T42</t>
        </is>
      </c>
      <c r="F305" s="124" t="inlineStr">
        <is>
          <t>onderwijshuisvesting</t>
        </is>
      </c>
    </row>
    <row r="306">
      <c r="A306" s="192" t="n">
        <v>627014</v>
      </c>
      <c r="B306" s="192" t="inlineStr">
        <is>
          <t>j verleunstraat 29</t>
        </is>
      </c>
      <c r="C306" s="124" t="n"/>
      <c r="D306" s="8" t="inlineStr">
        <is>
          <t>onderwijs</t>
        </is>
      </c>
      <c r="E306" s="113" t="inlineStr">
        <is>
          <t>T42</t>
        </is>
      </c>
      <c r="F306" s="124" t="inlineStr">
        <is>
          <t>onderwijshuisvesting</t>
        </is>
      </c>
    </row>
    <row r="307">
      <c r="A307" s="192" t="n">
        <v>627015</v>
      </c>
      <c r="B307" s="192" t="inlineStr">
        <is>
          <t>haktol 1</t>
        </is>
      </c>
      <c r="C307" s="124" t="n"/>
      <c r="D307" s="8" t="inlineStr">
        <is>
          <t>onderwijs</t>
        </is>
      </c>
      <c r="E307" s="113" t="inlineStr">
        <is>
          <t>T42</t>
        </is>
      </c>
      <c r="F307" s="124" t="inlineStr">
        <is>
          <t>onderwijshuisvesting</t>
        </is>
      </c>
    </row>
    <row r="308">
      <c r="A308" s="192" t="n">
        <v>627016</v>
      </c>
      <c r="B308" s="192" t="inlineStr">
        <is>
          <t>burg notermansstraat 29</t>
        </is>
      </c>
      <c r="C308" s="124" t="n"/>
      <c r="D308" s="8" t="inlineStr">
        <is>
          <t>onderwijs</t>
        </is>
      </c>
      <c r="E308" s="113" t="inlineStr">
        <is>
          <t>T42</t>
        </is>
      </c>
      <c r="F308" s="124" t="inlineStr">
        <is>
          <t>onderwijshuisvesting</t>
        </is>
      </c>
    </row>
    <row r="309">
      <c r="A309" s="192" t="n">
        <v>627017</v>
      </c>
      <c r="B309" s="192" t="inlineStr">
        <is>
          <t>ikc dijkstraten</t>
        </is>
      </c>
      <c r="C309" s="124" t="n"/>
      <c r="D309" s="8" t="inlineStr">
        <is>
          <t>onderwijs</t>
        </is>
      </c>
      <c r="E309" s="113" t="inlineStr">
        <is>
          <t>T42</t>
        </is>
      </c>
      <c r="F309" s="124" t="inlineStr">
        <is>
          <t>onderwijshuisvesting</t>
        </is>
      </c>
    </row>
    <row r="310">
      <c r="A310" s="192" t="n">
        <v>627018</v>
      </c>
      <c r="B310" s="192" t="inlineStr">
        <is>
          <t>heerbeeck college</t>
        </is>
      </c>
      <c r="C310" s="124" t="n"/>
      <c r="D310" s="8" t="inlineStr">
        <is>
          <t>onderwijs</t>
        </is>
      </c>
      <c r="E310" s="113" t="inlineStr">
        <is>
          <t>T42</t>
        </is>
      </c>
      <c r="F310" s="124" t="inlineStr">
        <is>
          <t>onderwijshuisvesting</t>
        </is>
      </c>
    </row>
    <row r="311">
      <c r="A311" s="192" t="n">
        <v>627019</v>
      </c>
      <c r="B311" s="192" t="inlineStr">
        <is>
          <t>den dries 17</t>
        </is>
      </c>
      <c r="C311" s="124" t="n"/>
      <c r="D311" s="8" t="inlineStr">
        <is>
          <t>onderwijs</t>
        </is>
      </c>
      <c r="E311" s="113" t="inlineStr">
        <is>
          <t>T42</t>
        </is>
      </c>
      <c r="F311" s="124" t="inlineStr">
        <is>
          <t>onderwijshuisvesting</t>
        </is>
      </c>
    </row>
    <row r="312">
      <c r="A312" s="192" t="n">
        <v>627901</v>
      </c>
      <c r="B312" s="192" t="inlineStr">
        <is>
          <t>directe toerek onderwijshuisv</t>
        </is>
      </c>
      <c r="C312" s="124" t="n"/>
      <c r="D312" s="8" t="inlineStr">
        <is>
          <t>onderwijs</t>
        </is>
      </c>
      <c r="E312" s="113" t="inlineStr">
        <is>
          <t>T42</t>
        </is>
      </c>
      <c r="F312" s="124" t="inlineStr">
        <is>
          <t>onderwijshuisvesting</t>
        </is>
      </c>
    </row>
    <row r="313">
      <c r="A313" s="192" t="n">
        <v>628001</v>
      </c>
      <c r="B313" s="192" t="inlineStr">
        <is>
          <t>leer- en kwalificatieplicht</t>
        </is>
      </c>
      <c r="C313" s="124" t="n"/>
      <c r="D313" s="8" t="inlineStr">
        <is>
          <t>onderwijs</t>
        </is>
      </c>
      <c r="E313" s="113" t="inlineStr">
        <is>
          <t>T43</t>
        </is>
      </c>
      <c r="F313" s="124" t="inlineStr">
        <is>
          <t>onderwijsbeleid en leerlingzaken</t>
        </is>
      </c>
    </row>
    <row r="314">
      <c r="A314" s="192" t="n">
        <v>628002</v>
      </c>
      <c r="B314" s="192" t="inlineStr">
        <is>
          <t>uitvoeringsmidd leer/kwalif plicht</t>
        </is>
      </c>
      <c r="C314" s="124" t="n"/>
      <c r="D314" s="8" t="inlineStr">
        <is>
          <t>onderwijs</t>
        </is>
      </c>
      <c r="E314" s="113" t="inlineStr">
        <is>
          <t>T43</t>
        </is>
      </c>
      <c r="F314" s="124" t="inlineStr">
        <is>
          <t>onderwijsbeleid en leerlingzaken</t>
        </is>
      </c>
    </row>
    <row r="315">
      <c r="A315" s="192" t="n">
        <v>628003</v>
      </c>
      <c r="B315" s="192" t="inlineStr">
        <is>
          <t>onderwijsachterstandenbeleid</t>
        </is>
      </c>
      <c r="C315" s="124" t="n"/>
      <c r="D315" s="8" t="inlineStr">
        <is>
          <t>onderwijs</t>
        </is>
      </c>
      <c r="E315" s="113" t="inlineStr">
        <is>
          <t>T43</t>
        </is>
      </c>
      <c r="F315" s="124" t="inlineStr">
        <is>
          <t>onderwijsbeleid en leerlingzaken</t>
        </is>
      </c>
    </row>
    <row r="316">
      <c r="A316" s="192" t="n">
        <v>628004</v>
      </c>
      <c r="B316" s="192" t="inlineStr">
        <is>
          <t>thuisnabij onderwijs</t>
        </is>
      </c>
      <c r="C316" s="124" t="n"/>
      <c r="D316" s="8" t="inlineStr">
        <is>
          <t>onderwijs</t>
        </is>
      </c>
      <c r="E316" s="113" t="inlineStr">
        <is>
          <t>T43</t>
        </is>
      </c>
      <c r="F316" s="124" t="inlineStr">
        <is>
          <t>onderwijsbeleid en leerlingzaken</t>
        </is>
      </c>
    </row>
    <row r="317">
      <c r="A317" s="192" t="n">
        <v>628005</v>
      </c>
      <c r="B317" s="192" t="inlineStr">
        <is>
          <t>voorschoolse voorzieningen</t>
        </is>
      </c>
      <c r="C317" s="124" t="n"/>
      <c r="D317" s="8" t="inlineStr">
        <is>
          <t>onderwijs</t>
        </is>
      </c>
      <c r="E317" s="113" t="inlineStr">
        <is>
          <t>T43</t>
        </is>
      </c>
      <c r="F317" s="124" t="inlineStr">
        <is>
          <t>onderwijsbeleid en leerlingzaken</t>
        </is>
      </c>
    </row>
    <row r="318">
      <c r="A318" s="192" t="n">
        <v>628006</v>
      </c>
      <c r="B318" s="192" t="inlineStr">
        <is>
          <t>mgr zwijssenstraat (psz)</t>
        </is>
      </c>
      <c r="C318" s="124" t="n"/>
      <c r="D318" s="8" t="inlineStr">
        <is>
          <t>onderwijs</t>
        </is>
      </c>
      <c r="E318" s="113" t="inlineStr">
        <is>
          <t>T43</t>
        </is>
      </c>
      <c r="F318" s="124" t="inlineStr">
        <is>
          <t>onderwijsbeleid en leerlingzaken</t>
        </is>
      </c>
    </row>
    <row r="319">
      <c r="A319" s="192" t="n">
        <v>628007</v>
      </c>
      <c r="B319" s="192" t="inlineStr">
        <is>
          <t>leerlingenvervoer gemeente best</t>
        </is>
      </c>
      <c r="C319" s="124" t="n"/>
      <c r="D319" s="8" t="inlineStr">
        <is>
          <t>onderwijs</t>
        </is>
      </c>
      <c r="E319" s="113" t="inlineStr">
        <is>
          <t>T43</t>
        </is>
      </c>
      <c r="F319" s="124" t="inlineStr">
        <is>
          <t>onderwijsbeleid en leerlingzaken</t>
        </is>
      </c>
    </row>
    <row r="320">
      <c r="A320" s="192" t="n">
        <v>628008</v>
      </c>
      <c r="B320" s="204" t="inlineStr">
        <is>
          <t>toezicht handhaving voorsch voorz</t>
        </is>
      </c>
      <c r="C320" s="124" t="n"/>
      <c r="D320" s="8" t="inlineStr">
        <is>
          <t>onderwijs</t>
        </is>
      </c>
      <c r="E320" s="113" t="inlineStr">
        <is>
          <t>T43</t>
        </is>
      </c>
      <c r="F320" s="124" t="inlineStr">
        <is>
          <t>onderwijsbeleid en leerlingzaken</t>
        </is>
      </c>
    </row>
    <row r="321">
      <c r="A321" s="192" t="n">
        <v>628009</v>
      </c>
      <c r="B321" s="204" t="inlineStr">
        <is>
          <t>npo gelden</t>
        </is>
      </c>
      <c r="C321" s="124" t="n"/>
      <c r="D321" s="8" t="inlineStr">
        <is>
          <t>onderwijs</t>
        </is>
      </c>
      <c r="E321" s="113" t="inlineStr">
        <is>
          <t>T43</t>
        </is>
      </c>
      <c r="F321" s="124" t="inlineStr">
        <is>
          <t>onderwijsbeleid en leerlingzaken</t>
        </is>
      </c>
    </row>
    <row r="322">
      <c r="A322" s="192" t="n">
        <v>628901</v>
      </c>
      <c r="B322" s="192" t="inlineStr">
        <is>
          <t>directe toerek onderwijsbel ed</t>
        </is>
      </c>
      <c r="C322" s="124" t="n"/>
      <c r="D322" s="8" t="inlineStr">
        <is>
          <t>onderwijs</t>
        </is>
      </c>
      <c r="E322" s="113" t="inlineStr">
        <is>
          <t>T43</t>
        </is>
      </c>
      <c r="F322" s="124" t="inlineStr">
        <is>
          <t>onderwijsbeleid en leerlingzaken</t>
        </is>
      </c>
    </row>
    <row r="323">
      <c r="A323" s="192" t="n">
        <v>629001</v>
      </c>
      <c r="B323" s="192" t="inlineStr">
        <is>
          <t>subs/contr/bijdr sportverenigingen</t>
        </is>
      </c>
      <c r="C323" s="124" t="n"/>
      <c r="D323" s="8" t="inlineStr">
        <is>
          <t>sport, cultuur en recreatie</t>
        </is>
      </c>
      <c r="E323" s="113" t="inlineStr">
        <is>
          <t>T51</t>
        </is>
      </c>
      <c r="F323" s="124" t="inlineStr">
        <is>
          <t>sportbeleid en activering</t>
        </is>
      </c>
    </row>
    <row r="324">
      <c r="A324" s="192" t="n">
        <v>629002</v>
      </c>
      <c r="B324" s="192" t="inlineStr">
        <is>
          <t>combinatiefunctionarissen</t>
        </is>
      </c>
      <c r="C324" s="124" t="n"/>
      <c r="D324" s="8" t="inlineStr">
        <is>
          <t>sport, cultuur en recreatie</t>
        </is>
      </c>
      <c r="E324" s="113" t="inlineStr">
        <is>
          <t>T51</t>
        </is>
      </c>
      <c r="F324" s="124" t="inlineStr">
        <is>
          <t>sportbeleid en activering</t>
        </is>
      </c>
    </row>
    <row r="325">
      <c r="A325" s="192" t="n">
        <v>629003</v>
      </c>
      <c r="B325" s="192" t="inlineStr">
        <is>
          <t>sportakkoord</t>
        </is>
      </c>
      <c r="C325" s="124" t="n"/>
      <c r="D325" s="8" t="inlineStr">
        <is>
          <t>sport, cultuur en recreatie</t>
        </is>
      </c>
      <c r="E325" s="113" t="inlineStr">
        <is>
          <t>T51</t>
        </is>
      </c>
      <c r="F325" s="124" t="inlineStr">
        <is>
          <t>sportbeleid en activering</t>
        </is>
      </c>
    </row>
    <row r="326">
      <c r="A326" s="192" t="n">
        <v>629004</v>
      </c>
      <c r="B326" s="205" t="inlineStr">
        <is>
          <t>bs lokaal sportakkoord</t>
        </is>
      </c>
      <c r="C326" s="124" t="n"/>
      <c r="D326" s="8" t="inlineStr">
        <is>
          <t>sport, cultuur en recreatie</t>
        </is>
      </c>
      <c r="E326" s="113" t="inlineStr">
        <is>
          <t>T51</t>
        </is>
      </c>
      <c r="F326" s="124" t="inlineStr">
        <is>
          <t>sportbeleid en activering</t>
        </is>
      </c>
    </row>
    <row r="327">
      <c r="A327" s="192" t="n">
        <v>629005</v>
      </c>
      <c r="B327" s="205" t="inlineStr">
        <is>
          <t>bs brede regeling combinatiefuncties</t>
        </is>
      </c>
      <c r="C327" s="124" t="n"/>
      <c r="D327" s="8" t="inlineStr">
        <is>
          <t>sport, cultuur en recreatie</t>
        </is>
      </c>
      <c r="E327" s="113" t="inlineStr">
        <is>
          <t>T51</t>
        </is>
      </c>
      <c r="F327" s="124" t="inlineStr">
        <is>
          <t>sportbeleid en activering</t>
        </is>
      </c>
    </row>
    <row r="328">
      <c r="A328" s="192" t="n">
        <v>629006</v>
      </c>
      <c r="B328" s="205" t="inlineStr">
        <is>
          <t>tuurlijk</t>
        </is>
      </c>
      <c r="C328" s="124" t="n"/>
      <c r="D328" s="8" t="inlineStr">
        <is>
          <t>sport, cultuur en recreatie</t>
        </is>
      </c>
      <c r="E328" s="113" t="inlineStr">
        <is>
          <t>T51</t>
        </is>
      </c>
      <c r="F328" s="124" t="inlineStr">
        <is>
          <t>sportbeleid en activering</t>
        </is>
      </c>
    </row>
    <row r="329">
      <c r="A329" s="192" t="n">
        <v>629901</v>
      </c>
      <c r="B329" s="192" t="inlineStr">
        <is>
          <t>directe toerek sportbeleid ed</t>
        </is>
      </c>
      <c r="C329" s="124" t="n"/>
      <c r="D329" s="8" t="inlineStr">
        <is>
          <t>sport, cultuur en recreatie</t>
        </is>
      </c>
      <c r="E329" s="113" t="inlineStr">
        <is>
          <t>T51</t>
        </is>
      </c>
      <c r="F329" s="124" t="inlineStr">
        <is>
          <t>sportbeleid en activering</t>
        </is>
      </c>
    </row>
    <row r="330">
      <c r="A330" s="192" t="n">
        <v>630001</v>
      </c>
      <c r="B330" s="192" t="inlineStr">
        <is>
          <t>accommodatie v.v. wilhelmina boys</t>
        </is>
      </c>
      <c r="C330" s="124" t="n"/>
      <c r="D330" s="8" t="inlineStr">
        <is>
          <t>sport, cultuur en recreatie</t>
        </is>
      </c>
      <c r="E330" s="113" t="inlineStr">
        <is>
          <t>T52</t>
        </is>
      </c>
      <c r="F330" s="124" t="inlineStr">
        <is>
          <t>sportaccommodaties</t>
        </is>
      </c>
    </row>
    <row r="331">
      <c r="A331" s="192" t="n">
        <v>630002</v>
      </c>
      <c r="B331" s="192" t="inlineStr">
        <is>
          <t>acommodatie korfbalvereniging dkb</t>
        </is>
      </c>
      <c r="C331" s="124" t="n"/>
      <c r="D331" s="8" t="inlineStr">
        <is>
          <t>sport, cultuur en recreatie</t>
        </is>
      </c>
      <c r="E331" s="113" t="inlineStr">
        <is>
          <t>T52</t>
        </is>
      </c>
      <c r="F331" s="124" t="inlineStr">
        <is>
          <t>sportaccommodaties</t>
        </is>
      </c>
    </row>
    <row r="332">
      <c r="A332" s="192" t="n">
        <v>630003</v>
      </c>
      <c r="B332" s="192" t="inlineStr">
        <is>
          <t>accommodatie tennis smashing '89</t>
        </is>
      </c>
      <c r="C332" s="124" t="n"/>
      <c r="D332" s="8" t="inlineStr">
        <is>
          <t>sport, cultuur en recreatie</t>
        </is>
      </c>
      <c r="E332" s="113" t="inlineStr">
        <is>
          <t>T52</t>
        </is>
      </c>
      <c r="F332" s="124" t="inlineStr">
        <is>
          <t>sportaccommodaties</t>
        </is>
      </c>
    </row>
    <row r="333">
      <c r="A333" s="192" t="n">
        <v>630004</v>
      </c>
      <c r="B333" s="192" t="inlineStr">
        <is>
          <t>accommodatie handbalver aristos</t>
        </is>
      </c>
      <c r="C333" s="124" t="n"/>
      <c r="D333" s="8" t="inlineStr">
        <is>
          <t>sport, cultuur en recreatie</t>
        </is>
      </c>
      <c r="E333" s="113" t="inlineStr">
        <is>
          <t>T52</t>
        </is>
      </c>
      <c r="F333" s="124" t="inlineStr">
        <is>
          <t>sportaccommodaties</t>
        </is>
      </c>
    </row>
    <row r="334">
      <c r="A334" s="192" t="n">
        <v>630005</v>
      </c>
      <c r="B334" s="192" t="inlineStr">
        <is>
          <t>acommodatie atletiek gen michaëlis</t>
        </is>
      </c>
      <c r="C334" s="124" t="n"/>
      <c r="D334" s="8" t="inlineStr">
        <is>
          <t>sport, cultuur en recreatie</t>
        </is>
      </c>
      <c r="E334" s="113" t="inlineStr">
        <is>
          <t>T52</t>
        </is>
      </c>
      <c r="F334" s="124" t="inlineStr">
        <is>
          <t>sportaccommodaties</t>
        </is>
      </c>
    </row>
    <row r="335">
      <c r="A335" s="192" t="n">
        <v>630006</v>
      </c>
      <c r="B335" s="201" t="inlineStr">
        <is>
          <t>alg kosten sportp naestenbest</t>
        </is>
      </c>
      <c r="C335" s="124" t="n"/>
      <c r="D335" s="8" t="inlineStr">
        <is>
          <t>sport, cultuur en recreatie</t>
        </is>
      </c>
      <c r="E335" s="113" t="inlineStr">
        <is>
          <t>T52</t>
        </is>
      </c>
      <c r="F335" s="124" t="inlineStr">
        <is>
          <t>sportaccommodaties</t>
        </is>
      </c>
    </row>
    <row r="336">
      <c r="A336" s="192" t="n">
        <v>630007</v>
      </c>
      <c r="B336" s="192" t="inlineStr">
        <is>
          <t>accommodatie r.k.v.v. best vooruit</t>
        </is>
      </c>
      <c r="C336" s="124" t="n"/>
      <c r="D336" s="8" t="inlineStr">
        <is>
          <t>sport, cultuur en recreatie</t>
        </is>
      </c>
      <c r="E336" s="113" t="inlineStr">
        <is>
          <t>T52</t>
        </is>
      </c>
      <c r="F336" s="124" t="inlineStr">
        <is>
          <t>sportaccommodaties</t>
        </is>
      </c>
    </row>
    <row r="337">
      <c r="A337" s="192" t="n">
        <v>630008</v>
      </c>
      <c r="B337" s="192" t="inlineStr">
        <is>
          <t>accommodatie tennis l.t.v.b.</t>
        </is>
      </c>
      <c r="C337" s="124" t="n"/>
      <c r="D337" s="8" t="inlineStr">
        <is>
          <t>sport, cultuur en recreatie</t>
        </is>
      </c>
      <c r="E337" s="113" t="inlineStr">
        <is>
          <t>T52</t>
        </is>
      </c>
      <c r="F337" s="124" t="inlineStr">
        <is>
          <t>sportaccommodaties</t>
        </is>
      </c>
    </row>
    <row r="338">
      <c r="A338" s="192" t="n">
        <v>630009</v>
      </c>
      <c r="B338" s="192" t="inlineStr">
        <is>
          <t>visvijver, gracht en ijsbaan</t>
        </is>
      </c>
      <c r="C338" s="124" t="n"/>
      <c r="D338" s="8" t="inlineStr">
        <is>
          <t>sport, cultuur en recreatie</t>
        </is>
      </c>
      <c r="E338" s="113" t="inlineStr">
        <is>
          <t>T52</t>
        </is>
      </c>
      <c r="F338" s="124" t="inlineStr">
        <is>
          <t>sportaccommodaties</t>
        </is>
      </c>
    </row>
    <row r="339">
      <c r="A339" s="192" t="n">
        <v>630010</v>
      </c>
      <c r="B339" s="192" t="inlineStr">
        <is>
          <t>accommodatie jeu de boulesvereniging</t>
        </is>
      </c>
      <c r="C339" s="124" t="n"/>
      <c r="D339" s="8" t="inlineStr">
        <is>
          <t>sport, cultuur en recreatie</t>
        </is>
      </c>
      <c r="E339" s="113" t="inlineStr">
        <is>
          <t>T52</t>
        </is>
      </c>
      <c r="F339" s="124" t="inlineStr">
        <is>
          <t>sportaccommodaties</t>
        </is>
      </c>
    </row>
    <row r="340">
      <c r="A340" s="192" t="n">
        <v>630011</v>
      </c>
      <c r="B340" s="192" t="inlineStr">
        <is>
          <t>accommodatie mixed hockeyclub best</t>
        </is>
      </c>
      <c r="C340" s="124" t="n"/>
      <c r="D340" s="8" t="inlineStr">
        <is>
          <t>sport, cultuur en recreatie</t>
        </is>
      </c>
      <c r="E340" s="113" t="inlineStr">
        <is>
          <t>T52</t>
        </is>
      </c>
      <c r="F340" s="124" t="inlineStr">
        <is>
          <t>sportaccommodaties</t>
        </is>
      </c>
    </row>
    <row r="341">
      <c r="A341" s="192" t="n">
        <v>630012</v>
      </c>
      <c r="B341" s="201" t="inlineStr">
        <is>
          <t>alg kosten sportpark leemkuilen</t>
        </is>
      </c>
      <c r="C341" s="124" t="n"/>
      <c r="D341" s="8" t="inlineStr">
        <is>
          <t>sport, cultuur en recreatie</t>
        </is>
      </c>
      <c r="E341" s="113" t="inlineStr">
        <is>
          <t>T52</t>
        </is>
      </c>
      <c r="F341" s="124" t="inlineStr">
        <is>
          <t>sportaccommodaties</t>
        </is>
      </c>
    </row>
    <row r="342">
      <c r="A342" s="192" t="n">
        <v>630013</v>
      </c>
      <c r="B342" s="192" t="inlineStr">
        <is>
          <t>prinses beatrixlaan 27</t>
        </is>
      </c>
      <c r="C342" s="124" t="n"/>
      <c r="D342" s="8" t="inlineStr">
        <is>
          <t>sport, cultuur en recreatie</t>
        </is>
      </c>
      <c r="E342" s="113" t="inlineStr">
        <is>
          <t>T52</t>
        </is>
      </c>
      <c r="F342" s="124" t="inlineStr">
        <is>
          <t>sportaccommodaties</t>
        </is>
      </c>
    </row>
    <row r="343">
      <c r="A343" s="192" t="n">
        <v>630014</v>
      </c>
      <c r="B343" s="192" t="inlineStr">
        <is>
          <t>mgr zwijsenstraat 85</t>
        </is>
      </c>
      <c r="C343" s="124" t="n"/>
      <c r="D343" s="8" t="inlineStr">
        <is>
          <t>sport, cultuur en recreatie</t>
        </is>
      </c>
      <c r="E343" s="113" t="inlineStr">
        <is>
          <t>T52</t>
        </is>
      </c>
      <c r="F343" s="124" t="inlineStr">
        <is>
          <t>sportaccommodaties</t>
        </is>
      </c>
    </row>
    <row r="344">
      <c r="A344" s="192" t="n">
        <v>630015</v>
      </c>
      <c r="B344" s="192" t="inlineStr">
        <is>
          <t>secr jansenstraat 7</t>
        </is>
      </c>
      <c r="C344" s="124" t="n"/>
      <c r="D344" s="8" t="inlineStr">
        <is>
          <t>sport, cultuur en recreatie</t>
        </is>
      </c>
      <c r="E344" s="113" t="inlineStr">
        <is>
          <t>T52</t>
        </is>
      </c>
      <c r="F344" s="124" t="inlineStr">
        <is>
          <t>sportaccommodaties</t>
        </is>
      </c>
    </row>
    <row r="345">
      <c r="A345" s="192" t="n">
        <v>630016</v>
      </c>
      <c r="B345" s="192" t="inlineStr">
        <is>
          <t>haktol 1a</t>
        </is>
      </c>
      <c r="C345" s="124" t="n"/>
      <c r="D345" s="8" t="inlineStr">
        <is>
          <t>sport, cultuur en recreatie</t>
        </is>
      </c>
      <c r="E345" s="113" t="inlineStr">
        <is>
          <t>T52</t>
        </is>
      </c>
      <c r="F345" s="124" t="inlineStr">
        <is>
          <t>sportaccommodaties</t>
        </is>
      </c>
    </row>
    <row r="346">
      <c r="A346" s="192" t="n">
        <v>630017</v>
      </c>
      <c r="B346" s="192" t="inlineStr">
        <is>
          <t>j verleunstraat 29</t>
        </is>
      </c>
      <c r="C346" s="124" t="n"/>
      <c r="D346" s="8" t="inlineStr">
        <is>
          <t>sport, cultuur en recreatie</t>
        </is>
      </c>
      <c r="E346" s="113" t="inlineStr">
        <is>
          <t>T52</t>
        </is>
      </c>
      <c r="F346" s="124" t="inlineStr">
        <is>
          <t>sportaccommodaties</t>
        </is>
      </c>
    </row>
    <row r="347">
      <c r="A347" s="192" t="n">
        <v>630018</v>
      </c>
      <c r="B347" s="192" t="inlineStr">
        <is>
          <t>rendierhei 10</t>
        </is>
      </c>
      <c r="C347" s="124" t="n"/>
      <c r="D347" s="8" t="inlineStr">
        <is>
          <t>sport, cultuur en recreatie</t>
        </is>
      </c>
      <c r="E347" s="113" t="inlineStr">
        <is>
          <t>T52</t>
        </is>
      </c>
      <c r="F347" s="124" t="inlineStr">
        <is>
          <t>sportaccommodaties</t>
        </is>
      </c>
    </row>
    <row r="348">
      <c r="A348" s="192" t="n">
        <v>630019</v>
      </c>
      <c r="B348" s="192" t="inlineStr">
        <is>
          <t>w de zwijgerweg 148-150</t>
        </is>
      </c>
      <c r="C348" s="124" t="n"/>
      <c r="D348" s="8" t="inlineStr">
        <is>
          <t>sport, cultuur en recreatie</t>
        </is>
      </c>
      <c r="E348" s="113" t="inlineStr">
        <is>
          <t>T52</t>
        </is>
      </c>
      <c r="F348" s="124" t="inlineStr">
        <is>
          <t>sportaccommodaties</t>
        </is>
      </c>
    </row>
    <row r="349">
      <c r="A349" s="192" t="n">
        <v>630020</v>
      </c>
      <c r="B349" s="192" t="inlineStr">
        <is>
          <t>gem openluchtzwembad de dolfijn</t>
        </is>
      </c>
      <c r="C349" s="124" t="n"/>
      <c r="D349" s="8" t="inlineStr">
        <is>
          <t>sport, cultuur en recreatie</t>
        </is>
      </c>
      <c r="E349" s="113" t="inlineStr">
        <is>
          <t>T52</t>
        </is>
      </c>
      <c r="F349" s="124" t="inlineStr">
        <is>
          <t>sportaccommodaties</t>
        </is>
      </c>
    </row>
    <row r="350">
      <c r="A350" s="192" t="n">
        <v>630021</v>
      </c>
      <c r="B350" s="192" t="inlineStr">
        <is>
          <t>overdekt zwembad</t>
        </is>
      </c>
      <c r="C350" s="124" t="n"/>
      <c r="D350" s="8" t="inlineStr">
        <is>
          <t>sport, cultuur en recreatie</t>
        </is>
      </c>
      <c r="E350" s="113" t="inlineStr">
        <is>
          <t>T52</t>
        </is>
      </c>
      <c r="F350" s="124" t="inlineStr">
        <is>
          <t>sportaccommodaties</t>
        </is>
      </c>
    </row>
    <row r="351">
      <c r="A351" s="192" t="n">
        <v>630022</v>
      </c>
      <c r="B351" s="192" t="inlineStr">
        <is>
          <t>voertuigen/gereedschappen sport</t>
        </is>
      </c>
      <c r="C351" s="124" t="n"/>
      <c r="D351" s="8" t="inlineStr">
        <is>
          <t>sport, cultuur en recreatie</t>
        </is>
      </c>
      <c r="E351" s="113" t="inlineStr">
        <is>
          <t>T52</t>
        </is>
      </c>
      <c r="F351" s="124" t="inlineStr">
        <is>
          <t>sportaccommodaties</t>
        </is>
      </c>
    </row>
    <row r="352">
      <c r="A352" s="192" t="n">
        <v>630023</v>
      </c>
      <c r="B352" s="192" t="inlineStr">
        <is>
          <t>doorbelasting overhead aan sport</t>
        </is>
      </c>
      <c r="C352" s="124" t="n"/>
      <c r="D352" s="8" t="inlineStr">
        <is>
          <t>sport, cultuur en recreatie</t>
        </is>
      </c>
      <c r="E352" s="113" t="inlineStr">
        <is>
          <t>T52</t>
        </is>
      </c>
      <c r="F352" s="124" t="inlineStr">
        <is>
          <t>sportaccommodaties</t>
        </is>
      </c>
    </row>
    <row r="353">
      <c r="A353" s="192" t="n">
        <v>630024</v>
      </c>
      <c r="B353" s="192" t="inlineStr">
        <is>
          <t>spuk regeling btw subsidie</t>
        </is>
      </c>
      <c r="C353" s="124" t="n"/>
      <c r="D353" s="8" t="inlineStr">
        <is>
          <t>sport, cultuur en recreatie</t>
        </is>
      </c>
      <c r="E353" s="113" t="inlineStr">
        <is>
          <t>T52</t>
        </is>
      </c>
      <c r="F353" s="124" t="inlineStr">
        <is>
          <t>sportaccommodaties</t>
        </is>
      </c>
    </row>
    <row r="354">
      <c r="A354" s="192" t="n">
        <v>630025</v>
      </c>
      <c r="B354" s="192" t="inlineStr">
        <is>
          <t>tegemoetkom verhuurders sportacc</t>
        </is>
      </c>
      <c r="C354" s="124" t="n"/>
      <c r="D354" s="8" t="inlineStr">
        <is>
          <t>sport, cultuur en recreatie</t>
        </is>
      </c>
      <c r="E354" s="113" t="inlineStr">
        <is>
          <t>T52</t>
        </is>
      </c>
      <c r="F354" s="124" t="inlineStr">
        <is>
          <t>sportaccommodaties</t>
        </is>
      </c>
    </row>
    <row r="355">
      <c r="A355" s="192" t="n">
        <v>630026</v>
      </c>
      <c r="B355" s="192" t="inlineStr">
        <is>
          <t>gymzaal dijkstraten/aarlesche erven</t>
        </is>
      </c>
      <c r="C355" s="124" t="n"/>
      <c r="D355" s="8" t="inlineStr">
        <is>
          <t>sport, cultuur en recreatie</t>
        </is>
      </c>
      <c r="E355" s="113" t="inlineStr">
        <is>
          <t>T52</t>
        </is>
      </c>
      <c r="F355" s="124" t="inlineStr">
        <is>
          <t>sportaccommodaties</t>
        </is>
      </c>
    </row>
    <row r="356">
      <c r="A356" s="192" t="n">
        <v>630901</v>
      </c>
      <c r="B356" s="192" t="inlineStr">
        <is>
          <t>directe toerek sportaccomm</t>
        </is>
      </c>
      <c r="C356" s="124" t="n"/>
      <c r="D356" s="8" t="inlineStr">
        <is>
          <t>sport, cultuur en recreatie</t>
        </is>
      </c>
      <c r="E356" s="113" t="inlineStr">
        <is>
          <t>T52</t>
        </is>
      </c>
      <c r="F356" s="124" t="inlineStr">
        <is>
          <t>sportaccommodaties</t>
        </is>
      </c>
    </row>
    <row r="357">
      <c r="A357" s="192" t="n">
        <v>631001</v>
      </c>
      <c r="B357" s="192" t="inlineStr">
        <is>
          <t>cursusaanbod welzijn</t>
        </is>
      </c>
      <c r="C357" s="124" t="n"/>
      <c r="D357" s="8" t="inlineStr">
        <is>
          <t>sport, cultuur en recreatie</t>
        </is>
      </c>
      <c r="E357" s="113" t="inlineStr">
        <is>
          <t>T53</t>
        </is>
      </c>
      <c r="F357" s="124" t="inlineStr">
        <is>
          <t>cultuurpresentatie, cultuurproductie en cultuurparticipatie</t>
        </is>
      </c>
    </row>
    <row r="358">
      <c r="A358" s="192" t="n">
        <v>631002</v>
      </c>
      <c r="B358" s="192" t="inlineStr">
        <is>
          <t>cultuureucatie</t>
        </is>
      </c>
      <c r="C358" s="124" t="n"/>
      <c r="D358" s="8" t="inlineStr">
        <is>
          <t>sport, cultuur en recreatie</t>
        </is>
      </c>
      <c r="E358" s="113" t="inlineStr">
        <is>
          <t>T53</t>
        </is>
      </c>
      <c r="F358" s="124" t="inlineStr">
        <is>
          <t>cultuurpresentatie, cultuurproductie en cultuurparticipatie</t>
        </is>
      </c>
    </row>
    <row r="359">
      <c r="A359" s="192" t="n">
        <v>631003</v>
      </c>
      <c r="B359" s="192" t="inlineStr">
        <is>
          <t>culttuurspoor</t>
        </is>
      </c>
      <c r="C359" s="124" t="n"/>
      <c r="D359" s="8" t="inlineStr">
        <is>
          <t>sport, cultuur en recreatie</t>
        </is>
      </c>
      <c r="E359" s="113" t="inlineStr">
        <is>
          <t>T53</t>
        </is>
      </c>
      <c r="F359" s="124" t="inlineStr">
        <is>
          <t>cultuurpresentatie, cultuurproductie en cultuurparticipatie</t>
        </is>
      </c>
    </row>
    <row r="360">
      <c r="A360" s="192" t="n">
        <v>631004</v>
      </c>
      <c r="B360" s="192" t="inlineStr">
        <is>
          <t>cultuurloper/cmk</t>
        </is>
      </c>
      <c r="C360" s="124" t="n"/>
      <c r="D360" s="8" t="inlineStr">
        <is>
          <t>sport, cultuur en recreatie</t>
        </is>
      </c>
      <c r="E360" s="113" t="inlineStr">
        <is>
          <t>T53</t>
        </is>
      </c>
      <c r="F360" s="124" t="inlineStr">
        <is>
          <t>cultuurpresentatie, cultuurproductie en cultuurparticipatie</t>
        </is>
      </c>
    </row>
    <row r="361">
      <c r="A361" s="192" t="n">
        <v>631005</v>
      </c>
      <c r="B361" s="192" t="inlineStr">
        <is>
          <t>rep/oh kunstwerken/oorlogsmonumenten</t>
        </is>
      </c>
      <c r="C361" s="124" t="n"/>
      <c r="D361" s="8" t="inlineStr">
        <is>
          <t>sport, cultuur en recreatie</t>
        </is>
      </c>
      <c r="E361" s="113" t="inlineStr">
        <is>
          <t>T53</t>
        </is>
      </c>
      <c r="F361" s="124" t="inlineStr">
        <is>
          <t>cultuurpresentatie, cultuurproductie en cultuurparticipatie</t>
        </is>
      </c>
    </row>
    <row r="362">
      <c r="A362" s="192" t="n">
        <v>631006</v>
      </c>
      <c r="B362" s="192" t="inlineStr">
        <is>
          <t>cultuurorganisaties</t>
        </is>
      </c>
      <c r="C362" s="124" t="n"/>
      <c r="D362" s="8" t="inlineStr">
        <is>
          <t>sport, cultuur en recreatie</t>
        </is>
      </c>
      <c r="E362" s="113" t="inlineStr">
        <is>
          <t>T53</t>
        </is>
      </c>
      <c r="F362" s="124" t="inlineStr">
        <is>
          <t>cultuurpresentatie, cultuurproductie en cultuurparticipatie</t>
        </is>
      </c>
    </row>
    <row r="363">
      <c r="A363" s="192" t="n">
        <v>631007</v>
      </c>
      <c r="B363" s="201" t="inlineStr">
        <is>
          <t>subsidie lokale omroep best</t>
        </is>
      </c>
      <c r="C363" s="124" t="n"/>
      <c r="D363" s="8" t="inlineStr">
        <is>
          <t>sport, cultuur en recreatie</t>
        </is>
      </c>
      <c r="E363" s="113" t="inlineStr">
        <is>
          <t>T53</t>
        </is>
      </c>
      <c r="F363" s="124" t="inlineStr">
        <is>
          <t>cultuurpresentatie, cultuurproductie en cultuurparticipatie</t>
        </is>
      </c>
    </row>
    <row r="364">
      <c r="A364" s="192" t="n">
        <v>631008</v>
      </c>
      <c r="B364" s="201" t="inlineStr">
        <is>
          <t>soc-cult activiteiten sinti</t>
        </is>
      </c>
      <c r="C364" s="124" t="n"/>
      <c r="D364" s="8" t="inlineStr">
        <is>
          <t>sport, cultuur en recreatie</t>
        </is>
      </c>
      <c r="E364" s="113" t="inlineStr">
        <is>
          <t>T53</t>
        </is>
      </c>
      <c r="F364" s="124" t="inlineStr">
        <is>
          <t>cultuurpresentatie, cultuurproductie en cultuurparticipatie</t>
        </is>
      </c>
    </row>
    <row r="365">
      <c r="A365" s="192" t="n">
        <v>631009</v>
      </c>
      <c r="B365" s="192" t="inlineStr">
        <is>
          <t>buurthuis naasteb/'t tejaterke</t>
        </is>
      </c>
      <c r="C365" s="124" t="n"/>
      <c r="D365" s="8" t="inlineStr">
        <is>
          <t>sport, cultuur en recreatie</t>
        </is>
      </c>
      <c r="E365" s="113" t="inlineStr">
        <is>
          <t>T53</t>
        </is>
      </c>
      <c r="F365" s="124" t="inlineStr">
        <is>
          <t>cultuurpresentatie, cultuurproductie en cultuurparticipatie</t>
        </is>
      </c>
    </row>
    <row r="366">
      <c r="A366" s="192" t="n">
        <v>631010</v>
      </c>
      <c r="B366" s="192" t="inlineStr">
        <is>
          <t>cultureel programma</t>
        </is>
      </c>
      <c r="C366" s="124" t="n"/>
      <c r="D366" s="8" t="inlineStr">
        <is>
          <t>sport, cultuur en recreatie</t>
        </is>
      </c>
      <c r="E366" s="113" t="inlineStr">
        <is>
          <t>T53</t>
        </is>
      </c>
      <c r="F366" s="124" t="inlineStr">
        <is>
          <t>cultuurpresentatie, cultuurproductie en cultuurparticipatie</t>
        </is>
      </c>
    </row>
    <row r="367">
      <c r="A367" s="192" t="n">
        <v>631011</v>
      </c>
      <c r="B367" s="192" t="inlineStr">
        <is>
          <t>community art</t>
        </is>
      </c>
      <c r="C367" s="124" t="n"/>
      <c r="D367" s="8" t="inlineStr">
        <is>
          <t>sport, cultuur en recreatie</t>
        </is>
      </c>
      <c r="E367" s="113" t="inlineStr">
        <is>
          <t>T53</t>
        </is>
      </c>
      <c r="F367" s="124" t="inlineStr">
        <is>
          <t>cultuurpresentatie, cultuurproductie en cultuurparticipatie</t>
        </is>
      </c>
    </row>
    <row r="368">
      <c r="A368" s="192" t="n">
        <v>631012</v>
      </c>
      <c r="B368" s="192" t="inlineStr">
        <is>
          <t>beeldende kunst</t>
        </is>
      </c>
      <c r="C368" s="124" t="n"/>
      <c r="D368" s="8" t="inlineStr">
        <is>
          <t>sport, cultuur en recreatie</t>
        </is>
      </c>
      <c r="E368" s="113" t="inlineStr">
        <is>
          <t>T53</t>
        </is>
      </c>
      <c r="F368" s="124" t="inlineStr">
        <is>
          <t>cultuurpresentatie, cultuurproductie en cultuurparticipatie</t>
        </is>
      </c>
    </row>
    <row r="369">
      <c r="A369" s="192" t="n">
        <v>631013</v>
      </c>
      <c r="B369" s="192" t="inlineStr">
        <is>
          <t>algemene cultuur zaken</t>
        </is>
      </c>
      <c r="C369" s="124" t="n"/>
      <c r="D369" s="8" t="inlineStr">
        <is>
          <t>sport, cultuur en recreatie</t>
        </is>
      </c>
      <c r="E369" s="113" t="inlineStr">
        <is>
          <t>T53</t>
        </is>
      </c>
      <c r="F369" s="124" t="inlineStr">
        <is>
          <t>cultuurpresentatie, cultuurproductie en cultuurparticipatie</t>
        </is>
      </c>
    </row>
    <row r="370">
      <c r="A370" s="192" t="n">
        <v>631901</v>
      </c>
      <c r="B370" s="192" t="inlineStr">
        <is>
          <t>directe toerek cultuurpres</t>
        </is>
      </c>
      <c r="C370" s="124" t="n"/>
      <c r="D370" s="8" t="inlineStr">
        <is>
          <t>sport, cultuur en recreatie</t>
        </is>
      </c>
      <c r="E370" s="113" t="inlineStr">
        <is>
          <t>T53</t>
        </is>
      </c>
      <c r="F370" s="124" t="inlineStr">
        <is>
          <t>cultuurpresentatie, cultuurproductie en cultuurparticipatie</t>
        </is>
      </c>
    </row>
    <row r="371">
      <c r="A371" s="192" t="n">
        <v>632001</v>
      </c>
      <c r="B371" s="192" t="inlineStr">
        <is>
          <t>regionaal historisch centrum</t>
        </is>
      </c>
      <c r="C371" s="124" t="n"/>
      <c r="D371" s="8" t="inlineStr">
        <is>
          <t>sport, cultuur en recreatie</t>
        </is>
      </c>
      <c r="E371" s="113" t="inlineStr">
        <is>
          <t>T54</t>
        </is>
      </c>
      <c r="F371" s="124" t="inlineStr">
        <is>
          <t>musea</t>
        </is>
      </c>
    </row>
    <row r="372">
      <c r="A372" s="192" t="n">
        <v>632901</v>
      </c>
      <c r="B372" s="192" t="inlineStr">
        <is>
          <t>directe toerek musea</t>
        </is>
      </c>
      <c r="C372" s="124" t="n"/>
      <c r="D372" s="8" t="inlineStr">
        <is>
          <t>sport, cultuur en recreatie</t>
        </is>
      </c>
      <c r="E372" s="113" t="inlineStr">
        <is>
          <t>T54</t>
        </is>
      </c>
      <c r="F372" s="124" t="inlineStr">
        <is>
          <t>musea</t>
        </is>
      </c>
    </row>
    <row r="373">
      <c r="A373" s="192" t="n">
        <v>633001</v>
      </c>
      <c r="B373" s="192" t="inlineStr">
        <is>
          <t>archeologie/monumenenzorg</t>
        </is>
      </c>
      <c r="C373" s="124" t="n"/>
      <c r="D373" s="8" t="inlineStr">
        <is>
          <t>sport, cultuur en recreatie</t>
        </is>
      </c>
      <c r="E373" s="113" t="inlineStr">
        <is>
          <t>T55</t>
        </is>
      </c>
      <c r="F373" s="124" t="inlineStr">
        <is>
          <t>cultureel erfgoed</t>
        </is>
      </c>
    </row>
    <row r="374">
      <c r="A374" s="192" t="n">
        <v>633002</v>
      </c>
      <c r="B374" s="192" t="inlineStr">
        <is>
          <t>odzob archeologie/monumenten</t>
        </is>
      </c>
      <c r="C374" s="124" t="n"/>
      <c r="D374" s="8" t="inlineStr">
        <is>
          <t>sport, cultuur en recreatie</t>
        </is>
      </c>
      <c r="E374" s="113" t="inlineStr">
        <is>
          <t>T55</t>
        </is>
      </c>
      <c r="F374" s="124" t="inlineStr">
        <is>
          <t>cultureel erfgoed</t>
        </is>
      </c>
    </row>
    <row r="375">
      <c r="A375" s="192" t="n">
        <v>633003</v>
      </c>
      <c r="B375" s="192" t="inlineStr">
        <is>
          <t>joe mann theater</t>
        </is>
      </c>
      <c r="C375" s="124" t="n"/>
      <c r="D375" s="8" t="inlineStr">
        <is>
          <t>sport, cultuur en recreatie</t>
        </is>
      </c>
      <c r="E375" s="113" t="inlineStr">
        <is>
          <t>T55</t>
        </is>
      </c>
      <c r="F375" s="124" t="inlineStr">
        <is>
          <t>cultureel erfgoed</t>
        </is>
      </c>
    </row>
    <row r="376">
      <c r="A376" s="192" t="n">
        <v>633901</v>
      </c>
      <c r="B376" s="192" t="inlineStr">
        <is>
          <t>directe toerek cult erfgoed</t>
        </is>
      </c>
      <c r="C376" s="124" t="n"/>
      <c r="D376" s="8" t="inlineStr">
        <is>
          <t>sport, cultuur en recreatie</t>
        </is>
      </c>
      <c r="E376" s="113" t="inlineStr">
        <is>
          <t>T55</t>
        </is>
      </c>
      <c r="F376" s="124" t="inlineStr">
        <is>
          <t>cultureel erfgoed</t>
        </is>
      </c>
    </row>
    <row r="377">
      <c r="A377" s="192" t="n">
        <v>634001</v>
      </c>
      <c r="B377" s="192" t="inlineStr">
        <is>
          <t>openbare bibliotheek</t>
        </is>
      </c>
      <c r="C377" s="124" t="n"/>
      <c r="D377" s="8" t="inlineStr">
        <is>
          <t>sport, cultuur en recreatie</t>
        </is>
      </c>
      <c r="E377" s="113" t="inlineStr">
        <is>
          <t>T56</t>
        </is>
      </c>
      <c r="F377" s="124" t="inlineStr">
        <is>
          <t>media</t>
        </is>
      </c>
    </row>
    <row r="378">
      <c r="A378" s="192" t="n">
        <v>634901</v>
      </c>
      <c r="B378" s="192" t="inlineStr">
        <is>
          <t>directe toerek media</t>
        </is>
      </c>
      <c r="C378" s="124" t="n"/>
      <c r="D378" s="8" t="inlineStr">
        <is>
          <t>sport, cultuur en recreatie</t>
        </is>
      </c>
      <c r="E378" s="113" t="inlineStr">
        <is>
          <t>T56</t>
        </is>
      </c>
      <c r="F378" s="124" t="inlineStr">
        <is>
          <t>media</t>
        </is>
      </c>
    </row>
    <row r="379">
      <c r="A379" s="192" t="n">
        <v>635001</v>
      </c>
      <c r="B379" s="206" t="inlineStr">
        <is>
          <t>carillon</t>
        </is>
      </c>
      <c r="C379" s="124" t="n"/>
      <c r="D379" s="8" t="inlineStr">
        <is>
          <t>sport, cultuur en recreatie</t>
        </is>
      </c>
      <c r="E379" s="113" t="inlineStr">
        <is>
          <t>T57</t>
        </is>
      </c>
      <c r="F379" s="124" t="inlineStr">
        <is>
          <t>openbaar groen en (openlucht) recreatie</t>
        </is>
      </c>
    </row>
    <row r="380">
      <c r="A380" s="192" t="n">
        <v>635002</v>
      </c>
      <c r="B380" s="192" t="inlineStr">
        <is>
          <t>onderhoud plantsoenen</t>
        </is>
      </c>
      <c r="C380" s="124" t="n"/>
      <c r="D380" s="8" t="inlineStr">
        <is>
          <t>sport, cultuur en recreatie</t>
        </is>
      </c>
      <c r="E380" s="113" t="inlineStr">
        <is>
          <t>T57</t>
        </is>
      </c>
      <c r="F380" s="124" t="inlineStr">
        <is>
          <t>openbaar groen en (openlucht) recreatie</t>
        </is>
      </c>
    </row>
    <row r="381">
      <c r="A381" s="192" t="n">
        <v>635003</v>
      </c>
      <c r="B381" s="192" t="inlineStr">
        <is>
          <t>onderhoud bomen</t>
        </is>
      </c>
      <c r="C381" s="124" t="n"/>
      <c r="D381" s="8" t="inlineStr">
        <is>
          <t>sport, cultuur en recreatie</t>
        </is>
      </c>
      <c r="E381" s="113" t="inlineStr">
        <is>
          <t>T57</t>
        </is>
      </c>
      <c r="F381" s="124" t="inlineStr">
        <is>
          <t>openbaar groen en (openlucht) recreatie</t>
        </is>
      </c>
    </row>
    <row r="382">
      <c r="A382" s="192" t="n">
        <v>635004</v>
      </c>
      <c r="B382" s="192" t="inlineStr">
        <is>
          <t>rotondesponsering</t>
        </is>
      </c>
      <c r="C382" s="124" t="n"/>
      <c r="D382" s="8" t="inlineStr">
        <is>
          <t>sport, cultuur en recreatie</t>
        </is>
      </c>
      <c r="E382" s="113" t="inlineStr">
        <is>
          <t>T57</t>
        </is>
      </c>
      <c r="F382" s="124" t="inlineStr">
        <is>
          <t>openbaar groen en (openlucht) recreatie</t>
        </is>
      </c>
    </row>
    <row r="383">
      <c r="A383" s="192" t="n">
        <v>635005</v>
      </c>
      <c r="B383" s="192" t="inlineStr">
        <is>
          <t>onderhoud hondentoiletten</t>
        </is>
      </c>
      <c r="C383" s="124" t="n"/>
      <c r="D383" s="8" t="inlineStr">
        <is>
          <t>sport, cultuur en recreatie</t>
        </is>
      </c>
      <c r="E383" s="113" t="inlineStr">
        <is>
          <t>T57</t>
        </is>
      </c>
      <c r="F383" s="124" t="inlineStr">
        <is>
          <t>openbaar groen en (openlucht) recreatie</t>
        </is>
      </c>
    </row>
    <row r="384">
      <c r="A384" s="192" t="n">
        <v>635006</v>
      </c>
      <c r="B384" s="192" t="inlineStr">
        <is>
          <t>bebossingen</t>
        </is>
      </c>
      <c r="C384" s="124" t="n"/>
      <c r="D384" s="8" t="inlineStr">
        <is>
          <t>sport, cultuur en recreatie</t>
        </is>
      </c>
      <c r="E384" s="113" t="inlineStr">
        <is>
          <t>T57</t>
        </is>
      </c>
      <c r="F384" s="124" t="inlineStr">
        <is>
          <t>openbaar groen en (openlucht) recreatie</t>
        </is>
      </c>
    </row>
    <row r="385">
      <c r="A385" s="192" t="n">
        <v>635007</v>
      </c>
      <c r="B385" s="192" t="inlineStr">
        <is>
          <t>pacht van de jacht en visserij</t>
        </is>
      </c>
      <c r="C385" s="124" t="n"/>
      <c r="D385" s="8" t="inlineStr">
        <is>
          <t>sport, cultuur en recreatie</t>
        </is>
      </c>
      <c r="E385" s="113" t="inlineStr">
        <is>
          <t>T57</t>
        </is>
      </c>
      <c r="F385" s="124" t="inlineStr">
        <is>
          <t>openbaar groen en (openlucht) recreatie</t>
        </is>
      </c>
    </row>
    <row r="386">
      <c r="A386" s="192" t="n">
        <v>635008</v>
      </c>
      <c r="B386" s="192" t="inlineStr">
        <is>
          <t>bijdrage rijk in recreatieve bossen</t>
        </is>
      </c>
      <c r="C386" s="124" t="n"/>
      <c r="D386" s="8" t="inlineStr">
        <is>
          <t>sport, cultuur en recreatie</t>
        </is>
      </c>
      <c r="E386" s="113" t="inlineStr">
        <is>
          <t>T57</t>
        </is>
      </c>
      <c r="F386" s="124" t="inlineStr">
        <is>
          <t>openbaar groen en (openlucht) recreatie</t>
        </is>
      </c>
    </row>
    <row r="387">
      <c r="A387" s="192" t="n">
        <v>635009</v>
      </c>
      <c r="B387" s="192" t="inlineStr">
        <is>
          <t>onderhoud recreatieve voorzieningen</t>
        </is>
      </c>
      <c r="C387" s="124" t="n"/>
      <c r="D387" s="8" t="inlineStr">
        <is>
          <t>sport, cultuur en recreatie</t>
        </is>
      </c>
      <c r="E387" s="113" t="inlineStr">
        <is>
          <t>T57</t>
        </is>
      </c>
      <c r="F387" s="124" t="inlineStr">
        <is>
          <t>openbaar groen en (openlucht) recreatie</t>
        </is>
      </c>
    </row>
    <row r="388">
      <c r="A388" s="192" t="n">
        <v>635010</v>
      </c>
      <c r="B388" s="192" t="inlineStr">
        <is>
          <t>profilering best</t>
        </is>
      </c>
      <c r="C388" s="124" t="n"/>
      <c r="D388" s="8" t="inlineStr">
        <is>
          <t>sport, cultuur en recreatie</t>
        </is>
      </c>
      <c r="E388" s="113" t="inlineStr">
        <is>
          <t>T57</t>
        </is>
      </c>
      <c r="F388" s="124" t="inlineStr">
        <is>
          <t>openbaar groen en (openlucht) recreatie</t>
        </is>
      </c>
    </row>
    <row r="389">
      <c r="A389" s="192" t="n">
        <v>635011</v>
      </c>
      <c r="B389" s="192" t="inlineStr">
        <is>
          <t>onderhoud speelelem/speelpl</t>
        </is>
      </c>
      <c r="C389" s="124" t="n"/>
      <c r="D389" s="8" t="inlineStr">
        <is>
          <t>sport, cultuur en recreatie</t>
        </is>
      </c>
      <c r="E389" s="113" t="inlineStr">
        <is>
          <t>T57</t>
        </is>
      </c>
      <c r="F389" s="124" t="inlineStr">
        <is>
          <t>openbaar groen en (openlucht) recreatie</t>
        </is>
      </c>
    </row>
    <row r="390">
      <c r="A390" s="192" t="n">
        <v>635012</v>
      </c>
      <c r="B390" s="192" t="inlineStr">
        <is>
          <t>landschapsfonds</t>
        </is>
      </c>
      <c r="C390" s="124" t="n"/>
      <c r="D390" s="8" t="inlineStr">
        <is>
          <t>sport, cultuur en recreatie</t>
        </is>
      </c>
      <c r="E390" s="113" t="inlineStr">
        <is>
          <t>T57</t>
        </is>
      </c>
      <c r="F390" s="124" t="inlineStr">
        <is>
          <t>openbaar groen en (openlucht) recreatie</t>
        </is>
      </c>
    </row>
    <row r="391">
      <c r="A391" s="192" t="n">
        <v>635013</v>
      </c>
      <c r="B391" s="192" t="inlineStr">
        <is>
          <t>voertuigen/gereedschappen plnts/bossen</t>
        </is>
      </c>
      <c r="C391" s="124" t="n"/>
      <c r="D391" s="8" t="inlineStr">
        <is>
          <t>sport, cultuur en recreatie</t>
        </is>
      </c>
      <c r="E391" s="113" t="inlineStr">
        <is>
          <t>T57</t>
        </is>
      </c>
      <c r="F391" s="124" t="inlineStr">
        <is>
          <t>openbaar groen en (openlucht) recreatie</t>
        </is>
      </c>
    </row>
    <row r="392">
      <c r="A392" s="192" t="n">
        <v>635014</v>
      </c>
      <c r="B392" s="201" t="inlineStr">
        <is>
          <t>doorbelasting overhead aan groen</t>
        </is>
      </c>
      <c r="C392" s="124" t="n"/>
      <c r="D392" s="8" t="inlineStr">
        <is>
          <t>sport, cultuur en recreatie</t>
        </is>
      </c>
      <c r="E392" s="113" t="inlineStr">
        <is>
          <t>T57</t>
        </is>
      </c>
      <c r="F392" s="124" t="inlineStr">
        <is>
          <t>openbaar groen en (openlucht) recreatie</t>
        </is>
      </c>
    </row>
    <row r="393">
      <c r="A393" s="192" t="n">
        <v>635015</v>
      </c>
      <c r="B393" s="201" t="inlineStr">
        <is>
          <t>groenprojecten</t>
        </is>
      </c>
      <c r="C393" s="124" t="n"/>
      <c r="D393" s="8" t="inlineStr">
        <is>
          <t>sport, cultuur en recreatie</t>
        </is>
      </c>
      <c r="E393" s="113" t="inlineStr">
        <is>
          <t>T57</t>
        </is>
      </c>
      <c r="F393" s="124" t="inlineStr">
        <is>
          <t>openbaar groen en (openlucht) recreatie</t>
        </is>
      </c>
    </row>
    <row r="394">
      <c r="A394" s="192" t="n">
        <v>635016</v>
      </c>
      <c r="B394" s="201" t="inlineStr">
        <is>
          <t>projecten uit reserve lir</t>
        </is>
      </c>
      <c r="C394" s="124" t="n"/>
      <c r="D394" s="8" t="inlineStr">
        <is>
          <t>sport, cultuur en recreatie</t>
        </is>
      </c>
      <c r="E394" s="113" t="inlineStr">
        <is>
          <t>T57</t>
        </is>
      </c>
      <c r="F394" s="124" t="inlineStr">
        <is>
          <t>openbaar groen en (openlucht) recreatie</t>
        </is>
      </c>
    </row>
    <row r="395">
      <c r="A395" s="192" t="n">
        <v>635901</v>
      </c>
      <c r="B395" s="192" t="inlineStr">
        <is>
          <t>directe toerek openbaar groen</t>
        </is>
      </c>
      <c r="C395" s="124" t="n"/>
      <c r="D395" s="8" t="inlineStr">
        <is>
          <t>sport, cultuur en recreatie</t>
        </is>
      </c>
      <c r="E395" s="113" t="inlineStr">
        <is>
          <t>T57</t>
        </is>
      </c>
      <c r="F395" s="124" t="inlineStr">
        <is>
          <t>openbaar groen en (openlucht) recreatie</t>
        </is>
      </c>
    </row>
    <row r="396" ht="15" customHeight="1" s="402">
      <c r="A396" s="192" t="n">
        <v>636001</v>
      </c>
      <c r="B396" s="192" t="inlineStr">
        <is>
          <t>maatschap werk en huiselijk geweld</t>
        </is>
      </c>
      <c r="C396" s="124" t="n"/>
      <c r="D396" s="8" t="inlineStr">
        <is>
          <t>sociaal domein</t>
        </is>
      </c>
      <c r="E396" s="199" t="inlineStr">
        <is>
          <t xml:space="preserve">T61 </t>
        </is>
      </c>
      <c r="F396" s="83" t="inlineStr">
        <is>
          <t>samenkracht en burgerparticipatie</t>
        </is>
      </c>
    </row>
    <row r="397" ht="15" customHeight="1" s="402">
      <c r="A397" s="192" t="n">
        <v>636002</v>
      </c>
      <c r="B397" s="192" t="inlineStr">
        <is>
          <t>welzijnsfonds</t>
        </is>
      </c>
      <c r="C397" s="124" t="n"/>
      <c r="D397" s="8" t="inlineStr">
        <is>
          <t>sociaal domein</t>
        </is>
      </c>
      <c r="E397" s="199" t="inlineStr">
        <is>
          <t xml:space="preserve">T61 </t>
        </is>
      </c>
      <c r="F397" s="83" t="inlineStr">
        <is>
          <t>samenkracht en burgerparticipatie</t>
        </is>
      </c>
    </row>
    <row r="398" ht="15" customHeight="1" s="402">
      <c r="A398" s="192" t="n">
        <v>636003</v>
      </c>
      <c r="B398" s="192" t="inlineStr">
        <is>
          <t>wmo adviesraad</t>
        </is>
      </c>
      <c r="C398" s="124" t="n"/>
      <c r="D398" s="8" t="inlineStr">
        <is>
          <t>sociaal domein</t>
        </is>
      </c>
      <c r="E398" s="199" t="inlineStr">
        <is>
          <t xml:space="preserve">T61 </t>
        </is>
      </c>
      <c r="F398" s="83" t="inlineStr">
        <is>
          <t>samenkracht en burgerparticipatie</t>
        </is>
      </c>
    </row>
    <row r="399" ht="15" customHeight="1" s="402">
      <c r="A399" s="192" t="n">
        <v>636004</v>
      </c>
      <c r="B399" s="192" t="inlineStr">
        <is>
          <t>dementievoorzieningen</t>
        </is>
      </c>
      <c r="C399" s="124" t="n"/>
      <c r="D399" s="8" t="inlineStr">
        <is>
          <t>sociaal domein</t>
        </is>
      </c>
      <c r="E399" s="199" t="inlineStr">
        <is>
          <t xml:space="preserve">T61 </t>
        </is>
      </c>
      <c r="F399" s="83" t="inlineStr">
        <is>
          <t>samenkracht en burgerparticipatie</t>
        </is>
      </c>
    </row>
    <row r="400" ht="15" customHeight="1" s="402">
      <c r="A400" s="192" t="n">
        <v>636005</v>
      </c>
      <c r="B400" s="192" t="inlineStr">
        <is>
          <t>subs zelfredzh/particip/mantelzorg</t>
        </is>
      </c>
      <c r="C400" s="124" t="n"/>
      <c r="D400" s="8" t="inlineStr">
        <is>
          <t>sociaal domein</t>
        </is>
      </c>
      <c r="E400" s="199" t="inlineStr">
        <is>
          <t xml:space="preserve">T61 </t>
        </is>
      </c>
      <c r="F400" s="83" t="inlineStr">
        <is>
          <t>samenkracht en burgerparticipatie</t>
        </is>
      </c>
    </row>
    <row r="401" ht="15" customHeight="1" s="402">
      <c r="A401" s="192" t="n">
        <v>636006</v>
      </c>
      <c r="B401" s="192" t="inlineStr">
        <is>
          <t>algemene voorzieningen welzijn</t>
        </is>
      </c>
      <c r="C401" s="124" t="n"/>
      <c r="D401" s="8" t="inlineStr">
        <is>
          <t>sociaal domein</t>
        </is>
      </c>
      <c r="E401" s="199" t="inlineStr">
        <is>
          <t xml:space="preserve">T61 </t>
        </is>
      </c>
      <c r="F401" s="83" t="inlineStr">
        <is>
          <t>samenkracht en burgerparticipatie</t>
        </is>
      </c>
    </row>
    <row r="402" ht="15" customHeight="1" s="402">
      <c r="A402" s="192" t="n">
        <v>636007</v>
      </c>
      <c r="B402" s="192" t="inlineStr">
        <is>
          <t>buurthuizen spar 4/franciscusweg 5</t>
        </is>
      </c>
      <c r="C402" s="124" t="n"/>
      <c r="D402" s="8" t="inlineStr">
        <is>
          <t>sociaal domein</t>
        </is>
      </c>
      <c r="E402" s="199" t="inlineStr">
        <is>
          <t xml:space="preserve">T61 </t>
        </is>
      </c>
      <c r="F402" s="83" t="inlineStr">
        <is>
          <t>samenkracht en burgerparticipatie</t>
        </is>
      </c>
    </row>
    <row r="403" ht="15" customHeight="1" s="402">
      <c r="A403" s="192" t="n">
        <v>636008</v>
      </c>
      <c r="B403" s="192" t="inlineStr">
        <is>
          <t>buurtvoorziening vlinderhei</t>
        </is>
      </c>
      <c r="C403" s="124" t="n"/>
      <c r="D403" s="8" t="inlineStr">
        <is>
          <t>sociaal domein</t>
        </is>
      </c>
      <c r="E403" s="199" t="inlineStr">
        <is>
          <t xml:space="preserve">T61 </t>
        </is>
      </c>
      <c r="F403" s="83" t="inlineStr">
        <is>
          <t>samenkracht en burgerparticipatie</t>
        </is>
      </c>
    </row>
    <row r="404" ht="15" customHeight="1" s="402">
      <c r="A404" s="192" t="n">
        <v>636009</v>
      </c>
      <c r="B404" s="192" t="inlineStr">
        <is>
          <t>ggz</t>
        </is>
      </c>
      <c r="C404" s="124" t="n"/>
      <c r="D404" s="8" t="inlineStr">
        <is>
          <t>sociaal domein</t>
        </is>
      </c>
      <c r="E404" s="199" t="inlineStr">
        <is>
          <t xml:space="preserve">T61 </t>
        </is>
      </c>
      <c r="F404" s="83" t="inlineStr">
        <is>
          <t>samenkracht en burgerparticipatie</t>
        </is>
      </c>
    </row>
    <row r="405" ht="15" customHeight="1" s="402">
      <c r="A405" s="192" t="n">
        <v>636010</v>
      </c>
      <c r="B405" s="192" t="inlineStr">
        <is>
          <t>ondersteuning/waardering mantelzrgrs</t>
        </is>
      </c>
      <c r="C405" s="124" t="n"/>
      <c r="D405" s="8" t="inlineStr">
        <is>
          <t>sociaal domein</t>
        </is>
      </c>
      <c r="E405" s="199" t="inlineStr">
        <is>
          <t xml:space="preserve">T61 </t>
        </is>
      </c>
      <c r="F405" s="83" t="inlineStr">
        <is>
          <t>samenkracht en burgerparticipatie</t>
        </is>
      </c>
    </row>
    <row r="406" ht="15" customHeight="1" s="402">
      <c r="A406" s="192" t="n">
        <v>636011</v>
      </c>
      <c r="B406" s="192" t="inlineStr">
        <is>
          <t>inloopfunctie ggz</t>
        </is>
      </c>
      <c r="C406" s="124" t="n"/>
      <c r="D406" s="8" t="inlineStr">
        <is>
          <t>sociaal domein</t>
        </is>
      </c>
      <c r="E406" s="199" t="inlineStr">
        <is>
          <t xml:space="preserve">T61 </t>
        </is>
      </c>
      <c r="F406" s="83" t="inlineStr">
        <is>
          <t>samenkracht en burgerparticipatie</t>
        </is>
      </c>
    </row>
    <row r="407" ht="15" customHeight="1" s="402">
      <c r="A407" s="192" t="n">
        <v>636012</v>
      </c>
      <c r="B407" s="113" t="inlineStr">
        <is>
          <t>koningin emmalaan 27</t>
        </is>
      </c>
      <c r="C407" s="124" t="n"/>
      <c r="D407" s="8" t="inlineStr">
        <is>
          <t>sociaal domein</t>
        </is>
      </c>
      <c r="E407" s="199" t="inlineStr">
        <is>
          <t xml:space="preserve">T61 </t>
        </is>
      </c>
      <c r="F407" s="83" t="inlineStr">
        <is>
          <t>samenkracht en burgerparticipatie</t>
        </is>
      </c>
    </row>
    <row r="408" ht="15" customHeight="1" s="402">
      <c r="A408" s="192" t="n">
        <v>636013</v>
      </c>
      <c r="B408" s="113" t="inlineStr">
        <is>
          <t>vlinderhei 12</t>
        </is>
      </c>
      <c r="C408" s="124" t="n"/>
      <c r="D408" s="8" t="inlineStr">
        <is>
          <t>sociaal domein</t>
        </is>
      </c>
      <c r="E408" s="199" t="inlineStr">
        <is>
          <t xml:space="preserve">T61 </t>
        </is>
      </c>
      <c r="F408" s="83" t="inlineStr">
        <is>
          <t>samenkracht en burgerparticipatie</t>
        </is>
      </c>
    </row>
    <row r="409" ht="15" customHeight="1" s="402">
      <c r="A409" s="192" t="n">
        <v>636014</v>
      </c>
      <c r="B409" s="113" t="inlineStr">
        <is>
          <t>johannes verleunstraat 29</t>
        </is>
      </c>
      <c r="C409" s="124" t="n"/>
      <c r="D409" s="8" t="inlineStr">
        <is>
          <t>sociaal domein</t>
        </is>
      </c>
      <c r="E409" s="199" t="inlineStr">
        <is>
          <t xml:space="preserve">T61 </t>
        </is>
      </c>
      <c r="F409" s="83" t="inlineStr">
        <is>
          <t>samenkracht en burgerparticipatie</t>
        </is>
      </c>
    </row>
    <row r="410" ht="15" customHeight="1" s="402">
      <c r="A410" s="192" t="n">
        <v>636015</v>
      </c>
      <c r="B410" s="113" t="inlineStr">
        <is>
          <t>burgemeester notermansstraat 29A</t>
        </is>
      </c>
      <c r="C410" s="124" t="n"/>
      <c r="D410" s="8" t="inlineStr">
        <is>
          <t>sociaal domein</t>
        </is>
      </c>
      <c r="E410" s="199" t="inlineStr">
        <is>
          <t xml:space="preserve">T61 </t>
        </is>
      </c>
      <c r="F410" s="83" t="inlineStr">
        <is>
          <t>samenkracht en burgerparticipatie</t>
        </is>
      </c>
    </row>
    <row r="411" ht="15" customHeight="1" s="402">
      <c r="A411" s="192" t="n">
        <v>636016</v>
      </c>
      <c r="B411" s="113" t="inlineStr">
        <is>
          <t>spar 2</t>
        </is>
      </c>
      <c r="C411" s="124" t="n"/>
      <c r="D411" s="8" t="inlineStr">
        <is>
          <t>sociaal domein</t>
        </is>
      </c>
      <c r="E411" s="199" t="inlineStr">
        <is>
          <t xml:space="preserve">T61 </t>
        </is>
      </c>
      <c r="F411" s="83" t="inlineStr">
        <is>
          <t>samenkracht en burgerparticipatie</t>
        </is>
      </c>
    </row>
    <row r="412" ht="15" customHeight="1" s="402">
      <c r="A412" s="192" t="n">
        <v>636017</v>
      </c>
      <c r="B412" s="113" t="inlineStr">
        <is>
          <t>mgr zwijssenstraat 85 (kdv)</t>
        </is>
      </c>
      <c r="C412" s="124" t="n"/>
      <c r="D412" s="8" t="inlineStr">
        <is>
          <t>sociaal domein</t>
        </is>
      </c>
      <c r="E412" s="199" t="inlineStr">
        <is>
          <t xml:space="preserve">T61 </t>
        </is>
      </c>
      <c r="F412" s="83" t="inlineStr">
        <is>
          <t>samenkracht en burgerparticipatie</t>
        </is>
      </c>
    </row>
    <row r="413" ht="15" customHeight="1" s="402">
      <c r="A413" s="192" t="n">
        <v>636018</v>
      </c>
      <c r="B413" s="113" t="inlineStr">
        <is>
          <t>trompstraat 39</t>
        </is>
      </c>
      <c r="C413" s="124" t="n"/>
      <c r="D413" s="8" t="inlineStr">
        <is>
          <t>sociaal domein</t>
        </is>
      </c>
      <c r="E413" s="199" t="inlineStr">
        <is>
          <t xml:space="preserve">T61 </t>
        </is>
      </c>
      <c r="F413" s="83" t="inlineStr">
        <is>
          <t>samenkracht en burgerparticipatie</t>
        </is>
      </c>
    </row>
    <row r="414" ht="15" customHeight="1" s="402">
      <c r="A414" s="192" t="n">
        <v>636019</v>
      </c>
      <c r="B414" s="113" t="inlineStr">
        <is>
          <t>vlinderhei 7</t>
        </is>
      </c>
      <c r="C414" s="124" t="n"/>
      <c r="D414" s="8" t="inlineStr">
        <is>
          <t>sociaal domein</t>
        </is>
      </c>
      <c r="E414" s="199" t="inlineStr">
        <is>
          <t xml:space="preserve">T61 </t>
        </is>
      </c>
      <c r="F414" s="83" t="inlineStr">
        <is>
          <t>samenkracht en burgerparticipatie</t>
        </is>
      </c>
    </row>
    <row r="415" ht="15" customHeight="1" s="402">
      <c r="A415" s="192" t="n">
        <v>636020</v>
      </c>
      <c r="B415" s="113" t="inlineStr">
        <is>
          <t>burgemeester notermansstraat 27</t>
        </is>
      </c>
      <c r="C415" s="124" t="n"/>
      <c r="D415" s="8" t="inlineStr">
        <is>
          <t>sociaal domein</t>
        </is>
      </c>
      <c r="E415" s="199" t="inlineStr">
        <is>
          <t xml:space="preserve">T61 </t>
        </is>
      </c>
      <c r="F415" s="83" t="inlineStr">
        <is>
          <t>samenkracht en burgerparticipatie</t>
        </is>
      </c>
    </row>
    <row r="416" ht="15" customHeight="1" s="402">
      <c r="A416" s="192" t="n">
        <v>636021</v>
      </c>
      <c r="B416" s="201" t="inlineStr">
        <is>
          <t>burgerinitiatieven kwetsb ouderen</t>
        </is>
      </c>
      <c r="C416" s="124" t="n"/>
      <c r="D416" s="8" t="inlineStr">
        <is>
          <t>sociaal domein</t>
        </is>
      </c>
      <c r="E416" s="199" t="inlineStr">
        <is>
          <t xml:space="preserve">T61 </t>
        </is>
      </c>
      <c r="F416" s="83" t="inlineStr">
        <is>
          <t>samenkracht en burgerparticipatie</t>
        </is>
      </c>
    </row>
    <row r="417" ht="15" customHeight="1" s="402">
      <c r="A417" s="192" t="n">
        <v>636022</v>
      </c>
      <c r="B417" s="201" t="inlineStr">
        <is>
          <t>burgerinitiatieven respijtzorg</t>
        </is>
      </c>
      <c r="C417" s="124" t="n"/>
      <c r="D417" s="8" t="inlineStr">
        <is>
          <t>sociaal domein</t>
        </is>
      </c>
      <c r="E417" s="199" t="inlineStr">
        <is>
          <t xml:space="preserve">T61 </t>
        </is>
      </c>
      <c r="F417" s="83" t="inlineStr">
        <is>
          <t>samenkracht en burgerparticipatie</t>
        </is>
      </c>
    </row>
    <row r="418" ht="15" customHeight="1" s="402">
      <c r="A418" s="192" t="n">
        <v>636023</v>
      </c>
      <c r="B418" s="192" t="inlineStr">
        <is>
          <t>inwonersparticipatie</t>
        </is>
      </c>
      <c r="C418" s="124" t="n"/>
      <c r="D418" s="8" t="inlineStr">
        <is>
          <t>sociaal domein</t>
        </is>
      </c>
      <c r="E418" s="199" t="inlineStr">
        <is>
          <t xml:space="preserve">T61 </t>
        </is>
      </c>
      <c r="F418" s="83" t="inlineStr">
        <is>
          <t>samenkracht en burgerparticipatie</t>
        </is>
      </c>
    </row>
    <row r="419" ht="15" customHeight="1" s="402">
      <c r="A419" s="192" t="n">
        <v>636024</v>
      </c>
      <c r="B419" s="192" t="inlineStr">
        <is>
          <t>wildheuvel 1-3</t>
        </is>
      </c>
      <c r="C419" s="124" t="n"/>
      <c r="D419" s="8" t="inlineStr">
        <is>
          <t>sociaal domein</t>
        </is>
      </c>
      <c r="E419" s="199" t="inlineStr">
        <is>
          <t xml:space="preserve">T61 </t>
        </is>
      </c>
      <c r="F419" s="83" t="inlineStr">
        <is>
          <t>samenkracht en burgerparticipatie</t>
        </is>
      </c>
    </row>
    <row r="420" ht="15" customHeight="1" s="402">
      <c r="A420" s="192" t="n">
        <v>636025</v>
      </c>
      <c r="B420" s="192" t="inlineStr">
        <is>
          <t>wildheuvel 9-19</t>
        </is>
      </c>
      <c r="C420" s="124" t="n"/>
      <c r="D420" s="8" t="inlineStr">
        <is>
          <t>sociaal domein</t>
        </is>
      </c>
      <c r="E420" s="199" t="inlineStr">
        <is>
          <t xml:space="preserve">T61 </t>
        </is>
      </c>
      <c r="F420" s="83" t="inlineStr">
        <is>
          <t>samenkracht en burgerparticipatie</t>
        </is>
      </c>
    </row>
    <row r="421" ht="15" customHeight="1" s="402">
      <c r="A421" s="192" t="n">
        <v>636026</v>
      </c>
      <c r="B421" s="192" t="inlineStr">
        <is>
          <t>johannes verleunstraat 27 en 27a</t>
        </is>
      </c>
      <c r="C421" s="124" t="n"/>
      <c r="D421" s="8" t="inlineStr">
        <is>
          <t>sociaal domein</t>
        </is>
      </c>
      <c r="E421" s="199" t="inlineStr">
        <is>
          <t xml:space="preserve">T61 </t>
        </is>
      </c>
      <c r="F421" s="83" t="inlineStr">
        <is>
          <t>samenkracht en burgerparticipatie</t>
        </is>
      </c>
    </row>
    <row r="422" ht="15" customHeight="1" s="402">
      <c r="A422" s="192" t="n">
        <v>636027</v>
      </c>
      <c r="B422" s="192" t="inlineStr">
        <is>
          <t>jongerencentrum</t>
        </is>
      </c>
      <c r="C422" s="124" t="n"/>
      <c r="D422" s="8" t="inlineStr">
        <is>
          <t>sociaal domein</t>
        </is>
      </c>
      <c r="E422" s="199" t="inlineStr">
        <is>
          <t xml:space="preserve">T61 </t>
        </is>
      </c>
      <c r="F422" s="83" t="inlineStr">
        <is>
          <t>samenkracht en burgerparticipatie</t>
        </is>
      </c>
    </row>
    <row r="423" ht="15" customHeight="1" s="402">
      <c r="A423" s="192" t="n">
        <v>636028</v>
      </c>
      <c r="B423" s="192" t="inlineStr">
        <is>
          <t>buurtbudget</t>
        </is>
      </c>
      <c r="C423" s="124" t="n"/>
      <c r="D423" s="8" t="inlineStr">
        <is>
          <t>sociaal domein</t>
        </is>
      </c>
      <c r="E423" s="199" t="inlineStr">
        <is>
          <t xml:space="preserve">T61 </t>
        </is>
      </c>
      <c r="F423" s="83" t="inlineStr">
        <is>
          <t>samenkracht en burgerparticipatie</t>
        </is>
      </c>
    </row>
    <row r="424" ht="15" customHeight="1" s="402">
      <c r="A424" s="192" t="n">
        <v>636029</v>
      </c>
      <c r="B424" s="192" t="inlineStr">
        <is>
          <t>opvang vermeerstr Oekraine</t>
        </is>
      </c>
      <c r="C424" s="124" t="n"/>
      <c r="D424" s="8" t="inlineStr">
        <is>
          <t>sociaal domein</t>
        </is>
      </c>
      <c r="E424" s="199" t="inlineStr">
        <is>
          <t xml:space="preserve">T61 </t>
        </is>
      </c>
      <c r="F424" s="83" t="inlineStr">
        <is>
          <t>samenkracht en burgerparticipatie</t>
        </is>
      </c>
    </row>
    <row r="425" ht="15" customHeight="1" s="402">
      <c r="A425" s="192" t="n">
        <v>636030</v>
      </c>
      <c r="B425" s="192" t="inlineStr">
        <is>
          <t>verbouwing vermeerstr 21</t>
        </is>
      </c>
      <c r="C425" s="124" t="n"/>
      <c r="D425" s="8" t="inlineStr">
        <is>
          <t>sociaal domein</t>
        </is>
      </c>
      <c r="E425" s="199" t="inlineStr">
        <is>
          <t xml:space="preserve">T61 </t>
        </is>
      </c>
      <c r="F425" s="83" t="inlineStr">
        <is>
          <t>samenkracht en burgerparticipatie</t>
        </is>
      </c>
    </row>
    <row r="426" ht="15" customHeight="1" s="402">
      <c r="A426" s="192" t="n">
        <v>636031</v>
      </c>
      <c r="B426" s="192" t="inlineStr">
        <is>
          <t>crisisopvang asielzoekers</t>
        </is>
      </c>
      <c r="C426" s="124" t="n"/>
      <c r="D426" s="8" t="inlineStr">
        <is>
          <t>sociaal domein</t>
        </is>
      </c>
      <c r="E426" s="199" t="inlineStr">
        <is>
          <t xml:space="preserve">T61 </t>
        </is>
      </c>
      <c r="F426" s="83" t="inlineStr">
        <is>
          <t>samenkracht en burgerparticipatie</t>
        </is>
      </c>
    </row>
    <row r="427" ht="15" customHeight="1" s="402">
      <c r="A427" s="192" t="n">
        <v>636032</v>
      </c>
      <c r="B427" s="192" t="inlineStr">
        <is>
          <t>nota integraal sociaal domein</t>
        </is>
      </c>
      <c r="C427" s="124" t="n"/>
      <c r="D427" s="8" t="inlineStr">
        <is>
          <t>sociaal domein</t>
        </is>
      </c>
      <c r="E427" s="199" t="inlineStr">
        <is>
          <t xml:space="preserve">T61 </t>
        </is>
      </c>
      <c r="F427" s="83" t="inlineStr">
        <is>
          <t>samenkracht en burgerparticipatie</t>
        </is>
      </c>
    </row>
    <row r="428" ht="15" customHeight="1" s="402">
      <c r="A428" s="192" t="n">
        <v>636033</v>
      </c>
      <c r="B428" s="192" t="inlineStr">
        <is>
          <t>opvang vluchtelingen/begeleid arbmig</t>
        </is>
      </c>
      <c r="C428" s="124" t="n"/>
      <c r="D428" s="8" t="inlineStr">
        <is>
          <t>sociaal domein</t>
        </is>
      </c>
      <c r="E428" s="199" t="inlineStr">
        <is>
          <t xml:space="preserve">T61 </t>
        </is>
      </c>
      <c r="F428" s="83" t="inlineStr">
        <is>
          <t>samenkracht en burgerparticipatie</t>
        </is>
      </c>
    </row>
    <row r="429" ht="15" customHeight="1" s="402">
      <c r="A429" s="192" t="n">
        <v>636034</v>
      </c>
      <c r="B429" s="192" t="inlineStr">
        <is>
          <t>opvang emmalaan oekraine</t>
        </is>
      </c>
      <c r="C429" s="124" t="n"/>
      <c r="D429" s="8" t="inlineStr">
        <is>
          <t>sociaal domein</t>
        </is>
      </c>
      <c r="E429" s="199" t="inlineStr">
        <is>
          <t xml:space="preserve">T61 </t>
        </is>
      </c>
      <c r="F429" s="83" t="inlineStr">
        <is>
          <t>samenkracht en burgerparticipatie</t>
        </is>
      </c>
    </row>
    <row r="430" ht="15" customHeight="1" s="402">
      <c r="A430" s="192" t="n">
        <v>636035</v>
      </c>
      <c r="B430" s="192" t="inlineStr">
        <is>
          <t>verbouwing emmalaan</t>
        </is>
      </c>
      <c r="C430" s="124" t="n"/>
      <c r="D430" s="8" t="inlineStr">
        <is>
          <t>sociaal domein</t>
        </is>
      </c>
      <c r="E430" s="199" t="inlineStr">
        <is>
          <t xml:space="preserve">T61 </t>
        </is>
      </c>
      <c r="F430" s="83" t="inlineStr">
        <is>
          <t>samenkracht en burgerparticipatie</t>
        </is>
      </c>
    </row>
    <row r="431" ht="15" customHeight="1" s="402">
      <c r="A431" s="192" t="n">
        <v>636036</v>
      </c>
      <c r="B431" s="205" t="inlineStr">
        <is>
          <t>bs valpreventie</t>
        </is>
      </c>
      <c r="C431" s="124" t="n"/>
      <c r="D431" s="8" t="inlineStr">
        <is>
          <t>sociaal domein</t>
        </is>
      </c>
      <c r="E431" s="199" t="inlineStr">
        <is>
          <t xml:space="preserve">T61 </t>
        </is>
      </c>
      <c r="F431" s="83" t="inlineStr">
        <is>
          <t>samenkracht en burgerparticipatie</t>
        </is>
      </c>
    </row>
    <row r="432" ht="15" customHeight="1" s="402">
      <c r="A432" s="192" t="n">
        <v>636037</v>
      </c>
      <c r="B432" s="205" t="inlineStr">
        <is>
          <t>bs versterken sociale basis</t>
        </is>
      </c>
      <c r="C432" s="124" t="n"/>
      <c r="D432" s="8" t="inlineStr">
        <is>
          <t>sociaal domein</t>
        </is>
      </c>
      <c r="E432" s="199" t="inlineStr">
        <is>
          <t xml:space="preserve">T61 </t>
        </is>
      </c>
      <c r="F432" s="83" t="inlineStr">
        <is>
          <t>samenkracht en burgerparticipatie</t>
        </is>
      </c>
    </row>
    <row r="433" ht="15" customHeight="1" s="402">
      <c r="A433" s="192" t="n">
        <v>636038</v>
      </c>
      <c r="B433" s="205" t="inlineStr">
        <is>
          <t>bs mantelzorg</t>
        </is>
      </c>
      <c r="C433" s="124" t="n"/>
      <c r="D433" s="8" t="inlineStr">
        <is>
          <t>sociaal domein</t>
        </is>
      </c>
      <c r="E433" s="199" t="inlineStr">
        <is>
          <t xml:space="preserve">T61 </t>
        </is>
      </c>
      <c r="F433" s="83" t="inlineStr">
        <is>
          <t>samenkracht en burgerparticipatie</t>
        </is>
      </c>
    </row>
    <row r="434" ht="15" customHeight="1" s="402">
      <c r="A434" s="192" t="n">
        <v>636039</v>
      </c>
      <c r="B434" s="205" t="inlineStr">
        <is>
          <t>bs één tegen eenzaamheid</t>
        </is>
      </c>
      <c r="C434" s="124" t="n"/>
      <c r="D434" s="8" t="inlineStr">
        <is>
          <t>sociaal domein</t>
        </is>
      </c>
      <c r="E434" s="199" t="inlineStr">
        <is>
          <t xml:space="preserve">T61 </t>
        </is>
      </c>
      <c r="F434" s="83" t="inlineStr">
        <is>
          <t>samenkracht en burgerparticipatie</t>
        </is>
      </c>
    </row>
    <row r="435" ht="15" customHeight="1" s="402">
      <c r="A435" s="192" t="n">
        <v>636040</v>
      </c>
      <c r="B435" s="205" t="inlineStr">
        <is>
          <t>bs welzijn op recept</t>
        </is>
      </c>
      <c r="C435" s="124" t="n"/>
      <c r="D435" s="8" t="inlineStr">
        <is>
          <t>sociaal domein</t>
        </is>
      </c>
      <c r="E435" s="199" t="inlineStr">
        <is>
          <t>T61</t>
        </is>
      </c>
      <c r="F435" s="83" t="inlineStr">
        <is>
          <t>samenkracht en burgerparticipatie</t>
        </is>
      </c>
    </row>
    <row r="436" ht="15" customHeight="1" s="402">
      <c r="A436" s="192" t="n">
        <v>636041</v>
      </c>
      <c r="B436" s="205" t="inlineStr">
        <is>
          <t>comp kst maatsch organisaties</t>
        </is>
      </c>
      <c r="C436" s="124" t="n"/>
      <c r="D436" s="8" t="inlineStr">
        <is>
          <t>sociaal domein</t>
        </is>
      </c>
      <c r="E436" s="199" t="inlineStr">
        <is>
          <t>T61</t>
        </is>
      </c>
      <c r="F436" s="83" t="inlineStr">
        <is>
          <t>samenkracht en burgerparticipatie</t>
        </is>
      </c>
    </row>
    <row r="437" ht="15" customHeight="1" s="402">
      <c r="A437" s="192" t="n">
        <v>636042</v>
      </c>
      <c r="B437" s="205" t="inlineStr">
        <is>
          <t>uitvoering vergrijzingsprogramma</t>
        </is>
      </c>
      <c r="C437" s="124" t="n"/>
      <c r="D437" s="8" t="inlineStr">
        <is>
          <t>sociaal domein</t>
        </is>
      </c>
      <c r="E437" s="199" t="inlineStr">
        <is>
          <t>T61</t>
        </is>
      </c>
      <c r="F437" s="83" t="inlineStr">
        <is>
          <t>samenkracht en burgerparticipatie</t>
        </is>
      </c>
    </row>
    <row r="438" ht="15" customHeight="1" s="402">
      <c r="A438" s="192" t="n">
        <v>636043</v>
      </c>
      <c r="B438" s="205" t="inlineStr">
        <is>
          <t>uitvoering inclusie-programma</t>
        </is>
      </c>
      <c r="C438" s="124" t="n"/>
      <c r="D438" s="8" t="inlineStr">
        <is>
          <t>sociaal domein</t>
        </is>
      </c>
      <c r="E438" s="199" t="inlineStr">
        <is>
          <t>T61</t>
        </is>
      </c>
      <c r="F438" s="83" t="inlineStr">
        <is>
          <t>samenkracht en burgerparticipatie</t>
        </is>
      </c>
    </row>
    <row r="439" ht="15" customHeight="1" s="402">
      <c r="A439" s="192" t="n">
        <v>636901</v>
      </c>
      <c r="B439" s="192" t="inlineStr">
        <is>
          <t>directe toerek samenkr burgerpartic</t>
        </is>
      </c>
      <c r="C439" s="124" t="n"/>
      <c r="D439" s="8" t="inlineStr">
        <is>
          <t>sociaal domein</t>
        </is>
      </c>
      <c r="E439" s="199" t="inlineStr">
        <is>
          <t>T61</t>
        </is>
      </c>
      <c r="F439" s="83" t="inlineStr">
        <is>
          <t>samenkracht en burgerparticipatie</t>
        </is>
      </c>
    </row>
    <row r="440" ht="15" customHeight="1" s="402">
      <c r="A440" s="192" t="n">
        <v>638001</v>
      </c>
      <c r="B440" s="113" t="inlineStr">
        <is>
          <t>inkomensvoorzieningen (buig)</t>
        </is>
      </c>
      <c r="C440" s="124" t="n"/>
      <c r="D440" s="8" t="inlineStr">
        <is>
          <t>sociaal domein</t>
        </is>
      </c>
      <c r="E440" s="199" t="inlineStr">
        <is>
          <t xml:space="preserve">T63 </t>
        </is>
      </c>
      <c r="F440" s="83" t="inlineStr">
        <is>
          <t>inkomensregelingen</t>
        </is>
      </c>
    </row>
    <row r="441" ht="15" customHeight="1" s="402">
      <c r="A441" s="192" t="n">
        <v>638002</v>
      </c>
      <c r="B441" s="113" t="inlineStr">
        <is>
          <t>participatiewet uitkeringen</t>
        </is>
      </c>
      <c r="C441" s="124" t="n"/>
      <c r="D441" s="8" t="inlineStr">
        <is>
          <t>sociaal domein</t>
        </is>
      </c>
      <c r="E441" s="199" t="inlineStr">
        <is>
          <t xml:space="preserve">T63 </t>
        </is>
      </c>
      <c r="F441" s="83" t="inlineStr">
        <is>
          <t>inkomensregelingen</t>
        </is>
      </c>
    </row>
    <row r="442" ht="15" customHeight="1" s="402">
      <c r="A442" s="192" t="n">
        <v>638003</v>
      </c>
      <c r="B442" s="113" t="inlineStr">
        <is>
          <t>participatiewet toesl bescherm woonv</t>
        </is>
      </c>
      <c r="C442" s="124" t="n"/>
      <c r="D442" s="8" t="inlineStr">
        <is>
          <t>sociaal domein</t>
        </is>
      </c>
      <c r="E442" s="199" t="inlineStr">
        <is>
          <t xml:space="preserve">T63 </t>
        </is>
      </c>
      <c r="F442" s="83" t="inlineStr">
        <is>
          <t>inkomensregelingen</t>
        </is>
      </c>
    </row>
    <row r="443" ht="15" customHeight="1" s="402">
      <c r="A443" s="192" t="n">
        <v>638004</v>
      </c>
      <c r="B443" s="113" t="inlineStr">
        <is>
          <t>uitvoer participatiewet compensabel</t>
        </is>
      </c>
      <c r="C443" s="124" t="n"/>
      <c r="D443" s="8" t="inlineStr">
        <is>
          <t>sociaal domein</t>
        </is>
      </c>
      <c r="E443" s="199" t="inlineStr">
        <is>
          <t xml:space="preserve">T63 </t>
        </is>
      </c>
      <c r="F443" s="83" t="inlineStr">
        <is>
          <t>inkomensregelingen</t>
        </is>
      </c>
    </row>
    <row r="444" ht="15" customHeight="1" s="402">
      <c r="A444" s="192" t="n">
        <v>638005</v>
      </c>
      <c r="B444" s="113" t="inlineStr">
        <is>
          <t>uitvoer participatiewet niet-compens</t>
        </is>
      </c>
      <c r="C444" s="124" t="n"/>
      <c r="D444" s="8" t="inlineStr">
        <is>
          <t>sociaal domein</t>
        </is>
      </c>
      <c r="E444" s="199" t="inlineStr">
        <is>
          <t xml:space="preserve">T63 </t>
        </is>
      </c>
      <c r="F444" s="83" t="inlineStr">
        <is>
          <t>inkomensregelingen</t>
        </is>
      </c>
    </row>
    <row r="445" ht="15" customHeight="1" s="402">
      <c r="A445" s="192" t="n">
        <v>638006</v>
      </c>
      <c r="B445" s="113" t="inlineStr">
        <is>
          <t>verhaal oh-bijdrage participatiewet</t>
        </is>
      </c>
      <c r="C445" s="124" t="n"/>
      <c r="D445" s="8" t="inlineStr">
        <is>
          <t>sociaal domein</t>
        </is>
      </c>
      <c r="E445" s="199" t="inlineStr">
        <is>
          <t xml:space="preserve">T63 </t>
        </is>
      </c>
      <c r="F445" s="83" t="inlineStr">
        <is>
          <t>inkomensregelingen</t>
        </is>
      </c>
    </row>
    <row r="446" ht="15" customHeight="1" s="402">
      <c r="A446" s="192" t="n">
        <v>638007</v>
      </c>
      <c r="B446" s="113" t="inlineStr">
        <is>
          <t>terugvord uitkeringen participatiew</t>
        </is>
      </c>
      <c r="C446" s="124" t="n"/>
      <c r="D446" s="8" t="inlineStr">
        <is>
          <t>sociaal domein</t>
        </is>
      </c>
      <c r="E446" s="199" t="inlineStr">
        <is>
          <t xml:space="preserve">T63 </t>
        </is>
      </c>
      <c r="F446" s="83" t="inlineStr">
        <is>
          <t>inkomensregelingen</t>
        </is>
      </c>
    </row>
    <row r="447" ht="15" customHeight="1" s="402">
      <c r="A447" s="192" t="n">
        <v>638008</v>
      </c>
      <c r="B447" s="113" t="inlineStr">
        <is>
          <t>boetes etc uitkeringen participatiew</t>
        </is>
      </c>
      <c r="C447" s="124" t="n"/>
      <c r="D447" s="8" t="inlineStr">
        <is>
          <t>sociaal domein</t>
        </is>
      </c>
      <c r="E447" s="199" t="inlineStr">
        <is>
          <t xml:space="preserve">T63 </t>
        </is>
      </c>
      <c r="F447" s="83" t="inlineStr">
        <is>
          <t>inkomensregelingen</t>
        </is>
      </c>
    </row>
    <row r="448" ht="15" customHeight="1" s="402">
      <c r="A448" s="192" t="n">
        <v>638009</v>
      </c>
      <c r="B448" s="192" t="inlineStr">
        <is>
          <t>loonkostensubsidie praticipatiewet</t>
        </is>
      </c>
      <c r="C448" s="124" t="n"/>
      <c r="D448" s="8" t="inlineStr">
        <is>
          <t>sociaal domein</t>
        </is>
      </c>
      <c r="E448" s="199" t="inlineStr">
        <is>
          <t xml:space="preserve">T63 </t>
        </is>
      </c>
      <c r="F448" s="83" t="inlineStr">
        <is>
          <t>inkomensregelingen</t>
        </is>
      </c>
    </row>
    <row r="449" ht="15" customHeight="1" s="402">
      <c r="A449" s="192" t="n">
        <v>638010</v>
      </c>
      <c r="B449" s="201" t="inlineStr">
        <is>
          <t>uwv assurance</t>
        </is>
      </c>
      <c r="C449" s="124" t="n"/>
      <c r="D449" s="8" t="inlineStr">
        <is>
          <t>sociaal domein</t>
        </is>
      </c>
      <c r="E449" s="199" t="inlineStr">
        <is>
          <t xml:space="preserve">T63 </t>
        </is>
      </c>
      <c r="F449" s="83" t="inlineStr">
        <is>
          <t>inkomensregelingen</t>
        </is>
      </c>
    </row>
    <row r="450" ht="15" customHeight="1" s="402">
      <c r="A450" s="192" t="n">
        <v>638011</v>
      </c>
      <c r="B450" s="113" t="inlineStr">
        <is>
          <t>bbz uitk en kapverstr bbz ondernemer</t>
        </is>
      </c>
      <c r="C450" s="124" t="n"/>
      <c r="D450" s="8" t="inlineStr">
        <is>
          <t>sociaal domein</t>
        </is>
      </c>
      <c r="E450" s="199" t="inlineStr">
        <is>
          <t xml:space="preserve">T63 </t>
        </is>
      </c>
      <c r="F450" s="83" t="inlineStr">
        <is>
          <t>inkomensregelingen</t>
        </is>
      </c>
    </row>
    <row r="451" ht="15" customHeight="1" s="402">
      <c r="A451" s="192" t="n">
        <v>638012</v>
      </c>
      <c r="B451" s="113" t="inlineStr">
        <is>
          <t>kapitaalverstrekking bbz uitgaven</t>
        </is>
      </c>
      <c r="C451" s="124" t="n"/>
      <c r="D451" s="8" t="inlineStr">
        <is>
          <t>sociaal domein</t>
        </is>
      </c>
      <c r="E451" s="199" t="inlineStr">
        <is>
          <t xml:space="preserve">T63 </t>
        </is>
      </c>
      <c r="F451" s="83" t="inlineStr">
        <is>
          <t>inkomensregelingen</t>
        </is>
      </c>
    </row>
    <row r="452" ht="15" customHeight="1" s="402">
      <c r="A452" s="192" t="n">
        <v>638013</v>
      </c>
      <c r="B452" s="113" t="inlineStr">
        <is>
          <t>kapitaalverstrekk bbz afdracht rijk</t>
        </is>
      </c>
      <c r="C452" s="124" t="n"/>
      <c r="D452" s="8" t="inlineStr">
        <is>
          <t>sociaal domein</t>
        </is>
      </c>
      <c r="E452" s="199" t="inlineStr">
        <is>
          <t xml:space="preserve">T63 </t>
        </is>
      </c>
      <c r="F452" s="83" t="inlineStr">
        <is>
          <t>inkomensregelingen</t>
        </is>
      </c>
    </row>
    <row r="453" ht="15" customHeight="1" s="402">
      <c r="A453" s="192" t="n">
        <v>638014</v>
      </c>
      <c r="B453" s="192" t="inlineStr">
        <is>
          <t>rente kapitaalverstrekking bbz</t>
        </is>
      </c>
      <c r="C453" s="124" t="n"/>
      <c r="D453" s="8" t="inlineStr">
        <is>
          <t>sociaal domein</t>
        </is>
      </c>
      <c r="E453" s="199" t="inlineStr">
        <is>
          <t xml:space="preserve">T63 </t>
        </is>
      </c>
      <c r="F453" s="83" t="inlineStr">
        <is>
          <t>inkomensregelingen</t>
        </is>
      </c>
    </row>
    <row r="454" ht="15" customHeight="1" s="402">
      <c r="A454" s="192" t="n">
        <v>638015</v>
      </c>
      <c r="B454" s="113" t="inlineStr">
        <is>
          <t>bbz advieskosten uitg/afdr rijk</t>
        </is>
      </c>
      <c r="C454" s="124" t="n"/>
      <c r="D454" s="8" t="inlineStr">
        <is>
          <t>sociaal domein</t>
        </is>
      </c>
      <c r="E454" s="199" t="inlineStr">
        <is>
          <t xml:space="preserve">T63 </t>
        </is>
      </c>
      <c r="F454" s="83" t="inlineStr">
        <is>
          <t>inkomensregelingen</t>
        </is>
      </c>
    </row>
    <row r="455" ht="15" customHeight="1" s="402">
      <c r="A455" s="192" t="n">
        <v>638016</v>
      </c>
      <c r="B455" s="192" t="inlineStr">
        <is>
          <t>uitvoering bbz</t>
        </is>
      </c>
      <c r="C455" s="124" t="n"/>
      <c r="D455" s="8" t="inlineStr">
        <is>
          <t>sociaal domein</t>
        </is>
      </c>
      <c r="E455" s="199" t="inlineStr">
        <is>
          <t xml:space="preserve">T63 </t>
        </is>
      </c>
      <c r="F455" s="83" t="inlineStr">
        <is>
          <t>inkomensregelingen</t>
        </is>
      </c>
    </row>
    <row r="456" ht="15" customHeight="1" s="402">
      <c r="A456" s="192" t="n">
        <v>638017</v>
      </c>
      <c r="B456" s="113" t="inlineStr">
        <is>
          <t>Bbz uitk en kapverstrek bbz starters</t>
        </is>
      </c>
      <c r="C456" s="124" t="n"/>
      <c r="D456" s="8" t="inlineStr">
        <is>
          <t>sociaal domein</t>
        </is>
      </c>
      <c r="E456" s="199" t="inlineStr">
        <is>
          <t xml:space="preserve">T63 </t>
        </is>
      </c>
      <c r="F456" s="83" t="inlineStr">
        <is>
          <t>inkomensregelingen</t>
        </is>
      </c>
    </row>
    <row r="457" ht="15" customHeight="1" s="402">
      <c r="A457" s="192" t="n">
        <v>638018</v>
      </c>
      <c r="B457" s="201" t="inlineStr">
        <is>
          <t>bbz tozo levensonderhoud</t>
        </is>
      </c>
      <c r="C457" s="124" t="n"/>
      <c r="D457" s="8" t="inlineStr">
        <is>
          <t>sociaal domein</t>
        </is>
      </c>
      <c r="E457" s="199" t="inlineStr">
        <is>
          <t xml:space="preserve">T63 </t>
        </is>
      </c>
      <c r="F457" s="83" t="inlineStr">
        <is>
          <t>inkomensregelingen</t>
        </is>
      </c>
    </row>
    <row r="458" ht="15" customHeight="1" s="402">
      <c r="A458" s="192" t="n">
        <v>638019</v>
      </c>
      <c r="B458" s="201" t="inlineStr">
        <is>
          <t>bbz tozo bedrijfskapitaal</t>
        </is>
      </c>
      <c r="C458" s="124" t="n"/>
      <c r="D458" s="8" t="inlineStr">
        <is>
          <t>sociaal domein</t>
        </is>
      </c>
      <c r="E458" s="199" t="inlineStr">
        <is>
          <t xml:space="preserve">T63 </t>
        </is>
      </c>
      <c r="F458" s="83" t="inlineStr">
        <is>
          <t>inkomensregelingen</t>
        </is>
      </c>
    </row>
    <row r="459" ht="15" customHeight="1" s="402">
      <c r="A459" s="192" t="n">
        <v>638020</v>
      </c>
      <c r="B459" s="113" t="inlineStr">
        <is>
          <t>inkomstensvoorzieningen ioaw</t>
        </is>
      </c>
      <c r="C459" s="124" t="n"/>
      <c r="D459" s="8" t="inlineStr">
        <is>
          <t>sociaal domein</t>
        </is>
      </c>
      <c r="E459" s="199" t="inlineStr">
        <is>
          <t>T63</t>
        </is>
      </c>
      <c r="F459" s="83" t="inlineStr">
        <is>
          <t>inkomensregelingen</t>
        </is>
      </c>
    </row>
    <row r="460" ht="15" customHeight="1" s="402">
      <c r="A460" s="192" t="n">
        <v>638021</v>
      </c>
      <c r="B460" s="113" t="inlineStr">
        <is>
          <t>IInkomstensvoorzieningen ioaz</t>
        </is>
      </c>
      <c r="C460" s="124" t="n"/>
      <c r="D460" s="8" t="inlineStr">
        <is>
          <t>sociaal domein</t>
        </is>
      </c>
      <c r="E460" s="199" t="inlineStr">
        <is>
          <t>T63</t>
        </is>
      </c>
      <c r="F460" s="83" t="inlineStr">
        <is>
          <t>inkomensregelingen</t>
        </is>
      </c>
    </row>
    <row r="461" ht="15" customHeight="1" s="402">
      <c r="A461" s="192" t="n">
        <v>638022</v>
      </c>
      <c r="B461" s="192" t="inlineStr">
        <is>
          <t>advies ioaz</t>
        </is>
      </c>
      <c r="C461" s="124" t="n"/>
      <c r="D461" s="8" t="inlineStr">
        <is>
          <t>sociaal domein</t>
        </is>
      </c>
      <c r="E461" s="199" t="inlineStr">
        <is>
          <t>T63</t>
        </is>
      </c>
      <c r="F461" s="83" t="inlineStr">
        <is>
          <t>inkomensregelingen</t>
        </is>
      </c>
    </row>
    <row r="462" ht="15" customHeight="1" s="402">
      <c r="A462" s="192" t="n">
        <v>638023</v>
      </c>
      <c r="B462" s="192" t="inlineStr">
        <is>
          <t>bijzondere bijstand onbelast</t>
        </is>
      </c>
      <c r="C462" s="124" t="n"/>
      <c r="D462" s="8" t="inlineStr">
        <is>
          <t>sociaal domein</t>
        </is>
      </c>
      <c r="E462" s="199" t="inlineStr">
        <is>
          <t>T63</t>
        </is>
      </c>
      <c r="F462" s="83" t="inlineStr">
        <is>
          <t>inkomensregelingen</t>
        </is>
      </c>
    </row>
    <row r="463" ht="15" customHeight="1" s="402">
      <c r="A463" s="192" t="n">
        <v>638024</v>
      </c>
      <c r="B463" s="192" t="inlineStr">
        <is>
          <t>bijzondere bijstand belast</t>
        </is>
      </c>
      <c r="C463" s="124" t="n"/>
      <c r="D463" s="8" t="inlineStr">
        <is>
          <t>sociaal domein</t>
        </is>
      </c>
      <c r="E463" s="199" t="inlineStr">
        <is>
          <t>T63</t>
        </is>
      </c>
      <c r="F463" s="83" t="inlineStr">
        <is>
          <t>inkomensregelingen</t>
        </is>
      </c>
    </row>
    <row r="464" ht="15" customHeight="1" s="402">
      <c r="A464" s="192" t="n">
        <v>638025</v>
      </c>
      <c r="B464" s="192" t="inlineStr">
        <is>
          <t>sociaal fonds</t>
        </is>
      </c>
      <c r="C464" s="124" t="n"/>
      <c r="D464" s="8" t="inlineStr">
        <is>
          <t>sociaal domein</t>
        </is>
      </c>
      <c r="E464" s="199" t="inlineStr">
        <is>
          <t>T63</t>
        </is>
      </c>
      <c r="F464" s="83" t="inlineStr">
        <is>
          <t>inkomensregelingen</t>
        </is>
      </c>
    </row>
    <row r="465" ht="15" customHeight="1" s="402">
      <c r="A465" s="192" t="n">
        <v>638026</v>
      </c>
      <c r="B465" s="192" t="inlineStr">
        <is>
          <t>kwijtschelding gemeent belastingen</t>
        </is>
      </c>
      <c r="C465" s="124" t="n"/>
      <c r="D465" s="8" t="inlineStr">
        <is>
          <t>sociaal domein</t>
        </is>
      </c>
      <c r="E465" s="199" t="inlineStr">
        <is>
          <t>T63</t>
        </is>
      </c>
      <c r="F465" s="83" t="inlineStr">
        <is>
          <t>inkomensregelingen</t>
        </is>
      </c>
    </row>
    <row r="466" ht="15" customHeight="1" s="402">
      <c r="A466" s="192" t="n">
        <v>638027</v>
      </c>
      <c r="B466" s="192" t="inlineStr">
        <is>
          <t>ondersteuning minima / minimabeleid</t>
        </is>
      </c>
      <c r="C466" s="124" t="n"/>
      <c r="D466" s="8" t="inlineStr">
        <is>
          <t>sociaal domein</t>
        </is>
      </c>
      <c r="E466" s="199" t="inlineStr">
        <is>
          <t>T63</t>
        </is>
      </c>
      <c r="F466" s="83" t="inlineStr">
        <is>
          <t>inkomensregelingen</t>
        </is>
      </c>
    </row>
    <row r="467" ht="15" customHeight="1" s="402">
      <c r="A467" s="192" t="n">
        <v>638028</v>
      </c>
      <c r="B467" s="192" t="inlineStr">
        <is>
          <t>kosten voedselbank</t>
        </is>
      </c>
      <c r="C467" s="124" t="n"/>
      <c r="D467" s="8" t="inlineStr">
        <is>
          <t>sociaal domein</t>
        </is>
      </c>
      <c r="E467" s="199" t="inlineStr">
        <is>
          <t>T63</t>
        </is>
      </c>
      <c r="F467" s="83" t="inlineStr">
        <is>
          <t>inkomensregelingen</t>
        </is>
      </c>
    </row>
    <row r="468" ht="15" customHeight="1" s="402">
      <c r="A468" s="192" t="n">
        <v>638029</v>
      </c>
      <c r="B468" s="192" t="inlineStr">
        <is>
          <t>gemeentelijke kredietbank</t>
        </is>
      </c>
      <c r="C468" s="124" t="n"/>
      <c r="D468" s="8" t="inlineStr">
        <is>
          <t>sociaal domein</t>
        </is>
      </c>
      <c r="E468" s="199" t="inlineStr">
        <is>
          <t>T63</t>
        </is>
      </c>
      <c r="F468" s="83" t="inlineStr">
        <is>
          <t>inkomensregelingen</t>
        </is>
      </c>
    </row>
    <row r="469" ht="15" customHeight="1" s="402">
      <c r="A469" s="192" t="n">
        <v>638030</v>
      </c>
      <c r="B469" s="113" t="inlineStr">
        <is>
          <t>compensatie eigen bijdr ziektekosten</t>
        </is>
      </c>
      <c r="C469" s="124" t="n"/>
      <c r="D469" s="8" t="inlineStr">
        <is>
          <t>sociaal domein</t>
        </is>
      </c>
      <c r="E469" s="199" t="inlineStr">
        <is>
          <t>T63</t>
        </is>
      </c>
      <c r="F469" s="83" t="inlineStr">
        <is>
          <t>inkomensregelingen</t>
        </is>
      </c>
    </row>
    <row r="470" ht="15" customHeight="1" s="402">
      <c r="A470" s="192" t="n">
        <v>638031</v>
      </c>
      <c r="B470" s="113" t="inlineStr">
        <is>
          <t>reg spec uitk gedup toeslagen</t>
        </is>
      </c>
      <c r="C470" s="124" t="n"/>
      <c r="D470" s="8" t="inlineStr">
        <is>
          <t>sociaal domein</t>
        </is>
      </c>
      <c r="E470" s="199" t="inlineStr">
        <is>
          <t>T63</t>
        </is>
      </c>
      <c r="F470" s="83" t="inlineStr">
        <is>
          <t>inkomensregelingen</t>
        </is>
      </c>
    </row>
    <row r="471" ht="15" customHeight="1" s="402">
      <c r="A471" s="192" t="n">
        <v>638032</v>
      </c>
      <c r="B471" s="113" t="inlineStr">
        <is>
          <t>leefgeld vluchtelingen oekraine</t>
        </is>
      </c>
      <c r="C471" s="124" t="n"/>
      <c r="D471" s="8" t="inlineStr">
        <is>
          <t>sociaal domein</t>
        </is>
      </c>
      <c r="E471" s="199" t="inlineStr">
        <is>
          <t>T63</t>
        </is>
      </c>
      <c r="F471" s="83" t="inlineStr">
        <is>
          <t>inkomensregelingen</t>
        </is>
      </c>
    </row>
    <row r="472" ht="15" customHeight="1" s="402">
      <c r="A472" s="192" t="n">
        <v>638033</v>
      </c>
      <c r="B472" s="113" t="inlineStr">
        <is>
          <t>sociaal medische adviezen pw</t>
        </is>
      </c>
      <c r="C472" s="124" t="n"/>
      <c r="D472" s="8" t="inlineStr">
        <is>
          <t>sociaal domein</t>
        </is>
      </c>
      <c r="E472" s="199" t="inlineStr">
        <is>
          <t>T63</t>
        </is>
      </c>
      <c r="F472" s="83" t="inlineStr">
        <is>
          <t>inkomensregelingen</t>
        </is>
      </c>
    </row>
    <row r="473" ht="15" customHeight="1" s="402">
      <c r="A473" s="192" t="n">
        <v>638034</v>
      </c>
      <c r="B473" s="113" t="inlineStr">
        <is>
          <t>uitvoer paticipatiewet best-oirschot</t>
        </is>
      </c>
      <c r="C473" s="124" t="n"/>
      <c r="D473" s="8" t="inlineStr">
        <is>
          <t>sociaal domein</t>
        </is>
      </c>
      <c r="E473" s="199" t="inlineStr">
        <is>
          <t>T63</t>
        </is>
      </c>
      <c r="F473" s="83" t="inlineStr">
        <is>
          <t>inkomensregelingen</t>
        </is>
      </c>
    </row>
    <row r="474" ht="15" customHeight="1" s="402">
      <c r="A474" s="192" t="n">
        <v>638035</v>
      </c>
      <c r="B474" s="113" t="inlineStr">
        <is>
          <t>alleenverdienersproblematiek</t>
        </is>
      </c>
      <c r="C474" s="124" t="n"/>
      <c r="D474" s="8" t="inlineStr">
        <is>
          <t>sociaal domein</t>
        </is>
      </c>
      <c r="E474" s="199" t="inlineStr">
        <is>
          <t>T63</t>
        </is>
      </c>
      <c r="F474" s="83" t="inlineStr">
        <is>
          <t>inkomensregelingen</t>
        </is>
      </c>
    </row>
    <row r="475" ht="15" customHeight="1" s="402">
      <c r="A475" s="192" t="n">
        <v>638901</v>
      </c>
      <c r="B475" s="192" t="inlineStr">
        <is>
          <t>dir toerek ink voorzieningen</t>
        </is>
      </c>
      <c r="C475" s="124" t="n"/>
      <c r="D475" s="8" t="inlineStr">
        <is>
          <t>sociaal domein</t>
        </is>
      </c>
      <c r="E475" s="199" t="inlineStr">
        <is>
          <t>T63</t>
        </is>
      </c>
      <c r="F475" s="83" t="inlineStr">
        <is>
          <t>inkomensregelingen</t>
        </is>
      </c>
    </row>
    <row r="476">
      <c r="A476" s="192" t="n">
        <v>639001</v>
      </c>
      <c r="B476" s="113" t="inlineStr">
        <is>
          <t>uitvoeringwet sociale werkvoorz oud</t>
        </is>
      </c>
      <c r="C476" s="124" t="n"/>
      <c r="D476" s="8" t="inlineStr">
        <is>
          <t>sociaal domein</t>
        </is>
      </c>
      <c r="E476" s="113" t="inlineStr">
        <is>
          <t>T64</t>
        </is>
      </c>
      <c r="F476" s="124" t="inlineStr">
        <is>
          <t>wsw en beschut werk</t>
        </is>
      </c>
    </row>
    <row r="477">
      <c r="A477" s="192" t="n">
        <v>639002</v>
      </c>
      <c r="B477" s="113" t="inlineStr">
        <is>
          <t>beschut werk</t>
        </is>
      </c>
      <c r="C477" s="124" t="n"/>
      <c r="D477" s="8" t="inlineStr">
        <is>
          <t>sociaal domein</t>
        </is>
      </c>
      <c r="E477" s="113" t="inlineStr">
        <is>
          <t>T64</t>
        </is>
      </c>
      <c r="F477" s="124" t="inlineStr">
        <is>
          <t>wsw en beschut werk</t>
        </is>
      </c>
    </row>
    <row r="478">
      <c r="A478" s="192" t="n">
        <v>639901</v>
      </c>
      <c r="B478" s="192" t="inlineStr">
        <is>
          <t>dir toerek begel participatie</t>
        </is>
      </c>
      <c r="C478" s="124" t="n"/>
      <c r="D478" s="8" t="inlineStr">
        <is>
          <t>sociaal domein</t>
        </is>
      </c>
      <c r="E478" s="113" t="inlineStr">
        <is>
          <t>T64</t>
        </is>
      </c>
      <c r="F478" s="124" t="inlineStr">
        <is>
          <t>wsw en beschut werk</t>
        </is>
      </c>
    </row>
    <row r="479">
      <c r="A479" s="192" t="n">
        <v>640001</v>
      </c>
      <c r="B479" s="192" t="inlineStr">
        <is>
          <t>scholing/activering compensabel</t>
        </is>
      </c>
      <c r="C479" s="124" t="n"/>
      <c r="D479" s="8" t="inlineStr">
        <is>
          <t>sociaal domein</t>
        </is>
      </c>
      <c r="E479" s="113" t="inlineStr">
        <is>
          <t>T65</t>
        </is>
      </c>
      <c r="F479" s="124" t="inlineStr">
        <is>
          <t>arbeidsparticipatie</t>
        </is>
      </c>
    </row>
    <row r="480">
      <c r="A480" s="192" t="n">
        <v>640002</v>
      </c>
      <c r="B480" s="192" t="inlineStr">
        <is>
          <t>scholing/activering niet compensabel</t>
        </is>
      </c>
      <c r="C480" s="124" t="n"/>
      <c r="D480" s="8" t="inlineStr">
        <is>
          <t>sociaal domein</t>
        </is>
      </c>
      <c r="E480" s="113" t="inlineStr">
        <is>
          <t>T65</t>
        </is>
      </c>
      <c r="F480" s="124" t="inlineStr">
        <is>
          <t>arbeidsparticipatie</t>
        </is>
      </c>
    </row>
    <row r="481">
      <c r="A481" s="192" t="n">
        <v>640003</v>
      </c>
      <c r="B481" s="113" t="inlineStr">
        <is>
          <t>opleiding, begeleiding zelfstandigen</t>
        </is>
      </c>
      <c r="C481" s="124" t="n"/>
      <c r="D481" s="8" t="inlineStr">
        <is>
          <t>sociaal domein</t>
        </is>
      </c>
      <c r="E481" s="113" t="inlineStr">
        <is>
          <t>T65</t>
        </is>
      </c>
      <c r="F481" s="124" t="inlineStr">
        <is>
          <t>arbeidsparticipatie</t>
        </is>
      </c>
    </row>
    <row r="482">
      <c r="A482" s="192" t="n">
        <v>640004</v>
      </c>
      <c r="B482" s="201" t="inlineStr">
        <is>
          <t>reïntegratie sinti</t>
        </is>
      </c>
      <c r="C482" s="124" t="n"/>
      <c r="D482" s="8" t="inlineStr">
        <is>
          <t>sociaal domein</t>
        </is>
      </c>
      <c r="E482" s="113" t="inlineStr">
        <is>
          <t>T65</t>
        </is>
      </c>
      <c r="F482" s="124" t="inlineStr">
        <is>
          <t>arbeidsparticipatie</t>
        </is>
      </c>
    </row>
    <row r="483">
      <c r="A483" s="192" t="n">
        <v>640005</v>
      </c>
      <c r="B483" s="201" t="inlineStr">
        <is>
          <t>transformatiebudget sociaal domein</t>
        </is>
      </c>
      <c r="C483" s="124" t="n"/>
      <c r="D483" s="8" t="inlineStr">
        <is>
          <t>sociaal domein</t>
        </is>
      </c>
      <c r="E483" s="113" t="inlineStr">
        <is>
          <t>T65</t>
        </is>
      </c>
      <c r="F483" s="124" t="inlineStr">
        <is>
          <t>arbeidsparticipatie</t>
        </is>
      </c>
    </row>
    <row r="484">
      <c r="A484" s="192" t="n">
        <v>640006</v>
      </c>
      <c r="B484" s="201" t="inlineStr">
        <is>
          <t>wet inburgering</t>
        </is>
      </c>
      <c r="C484" s="124" t="n"/>
      <c r="D484" s="8" t="inlineStr">
        <is>
          <t>sociaal domein</t>
        </is>
      </c>
      <c r="E484" s="113" t="inlineStr">
        <is>
          <t>T65</t>
        </is>
      </c>
      <c r="F484" s="124" t="inlineStr">
        <is>
          <t>arbeidsparticipatie</t>
        </is>
      </c>
    </row>
    <row r="485">
      <c r="A485" s="192" t="n">
        <v>640007</v>
      </c>
      <c r="B485" s="201" t="inlineStr">
        <is>
          <t>onderwijsroute</t>
        </is>
      </c>
      <c r="C485" s="124" t="n"/>
      <c r="D485" s="8" t="inlineStr">
        <is>
          <t>sociaal domein</t>
        </is>
      </c>
      <c r="E485" s="113" t="inlineStr">
        <is>
          <t>T65</t>
        </is>
      </c>
      <c r="F485" s="124" t="inlineStr">
        <is>
          <t>arbeidsparticipatie</t>
        </is>
      </c>
    </row>
    <row r="486">
      <c r="A486" s="192" t="n">
        <v>640008</v>
      </c>
      <c r="B486" s="201" t="inlineStr">
        <is>
          <t>uitvoeringsbudget laaggeletterdheid</t>
        </is>
      </c>
      <c r="C486" s="124" t="n"/>
      <c r="D486" s="8" t="inlineStr">
        <is>
          <t>sociaal domein</t>
        </is>
      </c>
      <c r="E486" s="113" t="inlineStr">
        <is>
          <t>T65</t>
        </is>
      </c>
      <c r="F486" s="124" t="inlineStr">
        <is>
          <t>arbeidsparticipatie</t>
        </is>
      </c>
    </row>
    <row r="487">
      <c r="A487" s="192" t="n">
        <v>640901</v>
      </c>
      <c r="B487" s="192" t="inlineStr">
        <is>
          <t>directe toerek arbeidsparticip</t>
        </is>
      </c>
      <c r="C487" s="124" t="n"/>
      <c r="D487" s="8" t="inlineStr">
        <is>
          <t>sociaal domein</t>
        </is>
      </c>
      <c r="E487" s="113" t="inlineStr">
        <is>
          <t>T65</t>
        </is>
      </c>
      <c r="F487" s="124" t="inlineStr">
        <is>
          <t>arbeidsparticipatie</t>
        </is>
      </c>
    </row>
    <row r="488">
      <c r="A488" s="203" t="n">
        <v>646001</v>
      </c>
      <c r="B488" s="192" t="inlineStr">
        <is>
          <t>ggd</t>
        </is>
      </c>
      <c r="C488" s="124" t="n"/>
      <c r="D488" s="8" t="inlineStr">
        <is>
          <t>volksgezondheid en milieu</t>
        </is>
      </c>
      <c r="E488" s="192" t="inlineStr">
        <is>
          <t>T71</t>
        </is>
      </c>
      <c r="F488" s="192" t="inlineStr">
        <is>
          <t>volksgezondheid</t>
        </is>
      </c>
    </row>
    <row r="489">
      <c r="A489" s="203" t="n">
        <v>646002</v>
      </c>
      <c r="B489" s="192" t="inlineStr">
        <is>
          <t>lokaal gezondheidsbeleid</t>
        </is>
      </c>
      <c r="C489" s="124" t="n"/>
      <c r="D489" s="8" t="inlineStr">
        <is>
          <t>volksgezondheid en milieu</t>
        </is>
      </c>
      <c r="E489" s="192" t="inlineStr">
        <is>
          <t>T71</t>
        </is>
      </c>
      <c r="F489" s="192" t="inlineStr">
        <is>
          <t>volksgezondheid</t>
        </is>
      </c>
    </row>
    <row r="490">
      <c r="A490" s="203" t="n">
        <v>646003</v>
      </c>
      <c r="B490" s="192" t="inlineStr">
        <is>
          <t>collectieve preventie ggz</t>
        </is>
      </c>
      <c r="C490" s="124" t="n"/>
      <c r="D490" s="8" t="inlineStr">
        <is>
          <t>volksgezondheid en milieu</t>
        </is>
      </c>
      <c r="E490" s="192" t="inlineStr">
        <is>
          <t>T71</t>
        </is>
      </c>
      <c r="F490" s="192" t="inlineStr">
        <is>
          <t>volksgezondheid</t>
        </is>
      </c>
    </row>
    <row r="491">
      <c r="A491" s="192" t="n">
        <v>646004</v>
      </c>
      <c r="B491" s="192" t="inlineStr">
        <is>
          <t>jeugdgezondeidszorg</t>
        </is>
      </c>
      <c r="C491" s="124" t="n"/>
      <c r="D491" s="8" t="inlineStr">
        <is>
          <t>volksgezondheid en milieu</t>
        </is>
      </c>
      <c r="E491" s="192" t="inlineStr">
        <is>
          <t>T71</t>
        </is>
      </c>
      <c r="F491" s="192" t="inlineStr">
        <is>
          <t>volksgezondheid</t>
        </is>
      </c>
    </row>
    <row r="492">
      <c r="A492" s="192" t="n">
        <v>646005</v>
      </c>
      <c r="B492" s="192" t="inlineStr">
        <is>
          <t>vaccinatie-locatie</t>
        </is>
      </c>
      <c r="C492" s="124" t="n"/>
      <c r="D492" s="8" t="inlineStr">
        <is>
          <t>volksgezondheid en milieu</t>
        </is>
      </c>
      <c r="E492" s="192" t="inlineStr">
        <is>
          <t>T71</t>
        </is>
      </c>
      <c r="F492" s="192" t="inlineStr">
        <is>
          <t>volksgezondheid</t>
        </is>
      </c>
    </row>
    <row r="493">
      <c r="A493" s="192" t="n">
        <v>646006</v>
      </c>
      <c r="B493" s="192" t="inlineStr">
        <is>
          <t>uitvoering preventieakkoord</t>
        </is>
      </c>
      <c r="C493" s="124" t="n"/>
      <c r="D493" s="8" t="inlineStr">
        <is>
          <t>volksgezondheid en milieu</t>
        </is>
      </c>
      <c r="E493" s="192" t="inlineStr">
        <is>
          <t>T71</t>
        </is>
      </c>
      <c r="F493" s="192" t="inlineStr">
        <is>
          <t>volksgezondheid</t>
        </is>
      </c>
    </row>
    <row r="494">
      <c r="A494" s="192" t="n">
        <v>646007</v>
      </c>
      <c r="B494" s="192" t="inlineStr">
        <is>
          <t>spuk ondersteuningsbudget gala</t>
        </is>
      </c>
      <c r="C494" s="124" t="n"/>
      <c r="D494" s="8" t="inlineStr">
        <is>
          <t>volksgezondheid en milieu</t>
        </is>
      </c>
      <c r="E494" s="192" t="inlineStr">
        <is>
          <t>T71</t>
        </is>
      </c>
      <c r="F494" s="192" t="inlineStr">
        <is>
          <t>volksgezondheid</t>
        </is>
      </c>
    </row>
    <row r="495">
      <c r="A495" s="192" t="n">
        <v>646008</v>
      </c>
      <c r="B495" s="205" t="inlineStr">
        <is>
          <t>bs terugdringen gezondh achterstandn</t>
        </is>
      </c>
      <c r="C495" s="124" t="n"/>
      <c r="D495" s="8" t="inlineStr">
        <is>
          <t>volksgezondheid en milieu</t>
        </is>
      </c>
      <c r="E495" s="192" t="inlineStr">
        <is>
          <t>T71</t>
        </is>
      </c>
      <c r="F495" s="192" t="inlineStr">
        <is>
          <t>volksgezondheid</t>
        </is>
      </c>
    </row>
    <row r="496">
      <c r="A496" s="192" t="n">
        <v>646009</v>
      </c>
      <c r="B496" s="205" t="inlineStr">
        <is>
          <t>bs kansrijke start</t>
        </is>
      </c>
      <c r="C496" s="124" t="n"/>
      <c r="D496" s="8" t="inlineStr">
        <is>
          <t>volksgezondheid en milieu</t>
        </is>
      </c>
      <c r="E496" s="192" t="inlineStr">
        <is>
          <t>T71</t>
        </is>
      </c>
      <c r="F496" s="192" t="inlineStr">
        <is>
          <t>volksgezondheid</t>
        </is>
      </c>
    </row>
    <row r="497">
      <c r="A497" s="192" t="n">
        <v>646010</v>
      </c>
      <c r="B497" s="205" t="inlineStr">
        <is>
          <t>bs mentale gezondheid</t>
        </is>
      </c>
      <c r="C497" s="124" t="n"/>
      <c r="D497" s="8" t="inlineStr">
        <is>
          <t>volksgezondheid en milieu</t>
        </is>
      </c>
      <c r="E497" s="192" t="inlineStr">
        <is>
          <t>T71</t>
        </is>
      </c>
      <c r="F497" s="192" t="inlineStr">
        <is>
          <t>volksgezondheid</t>
        </is>
      </c>
    </row>
    <row r="498">
      <c r="A498" s="192" t="n">
        <v>646011</v>
      </c>
      <c r="B498" s="205" t="inlineStr">
        <is>
          <t>bs aanpak overgewicht en obesitas</t>
        </is>
      </c>
      <c r="C498" s="124" t="n"/>
      <c r="D498" s="8" t="inlineStr">
        <is>
          <t>volksgezondheid en milieu</t>
        </is>
      </c>
      <c r="E498" s="192" t="inlineStr">
        <is>
          <t>T71</t>
        </is>
      </c>
      <c r="F498" s="192" t="inlineStr">
        <is>
          <t>volksgezondheid</t>
        </is>
      </c>
    </row>
    <row r="499">
      <c r="A499" s="192" t="n">
        <v>646012</v>
      </c>
      <c r="B499" s="205" t="inlineStr">
        <is>
          <t>bs leefomgeving</t>
        </is>
      </c>
      <c r="C499" s="124" t="n"/>
      <c r="D499" s="8" t="inlineStr">
        <is>
          <t>volksgezondheid en milieu</t>
        </is>
      </c>
      <c r="E499" s="192" t="inlineStr">
        <is>
          <t>T71</t>
        </is>
      </c>
      <c r="F499" s="192" t="inlineStr">
        <is>
          <t>volksgezondheid</t>
        </is>
      </c>
    </row>
    <row r="500">
      <c r="A500" s="192" t="n">
        <v>646013</v>
      </c>
      <c r="B500" s="205" t="inlineStr">
        <is>
          <t>bs opgroei kansr omg/sign alcoholprb</t>
        </is>
      </c>
      <c r="C500" s="124" t="n"/>
      <c r="D500" s="8" t="inlineStr">
        <is>
          <t>volksgezondheid en milieu</t>
        </is>
      </c>
      <c r="E500" s="192" t="inlineStr">
        <is>
          <t>T71</t>
        </is>
      </c>
      <c r="F500" s="192" t="inlineStr">
        <is>
          <t>volksgezondheid</t>
        </is>
      </c>
    </row>
    <row r="501">
      <c r="A501" s="192" t="n">
        <v>646014</v>
      </c>
      <c r="B501" s="205" t="inlineStr">
        <is>
          <t>bs versterken kennis/adviesfunct ggd</t>
        </is>
      </c>
      <c r="C501" s="124" t="n"/>
      <c r="D501" s="8" t="inlineStr">
        <is>
          <t>volksgezondheid en milieu</t>
        </is>
      </c>
      <c r="E501" s="192" t="inlineStr">
        <is>
          <t>T71</t>
        </is>
      </c>
      <c r="F501" s="192" t="inlineStr">
        <is>
          <t>volksgezondheid</t>
        </is>
      </c>
    </row>
    <row r="502">
      <c r="A502" s="192" t="n">
        <v>646015</v>
      </c>
      <c r="B502" s="205" t="inlineStr">
        <is>
          <t>bs coordinatie-kst regio aanp preven</t>
        </is>
      </c>
      <c r="C502" s="124" t="n"/>
      <c r="D502" s="8" t="inlineStr">
        <is>
          <t>volksgezondheid en milieu</t>
        </is>
      </c>
      <c r="E502" s="192" t="inlineStr">
        <is>
          <t>T71</t>
        </is>
      </c>
      <c r="F502" s="192" t="inlineStr">
        <is>
          <t>volksgezondheid</t>
        </is>
      </c>
    </row>
    <row r="503">
      <c r="A503" s="192" t="n">
        <v>646901</v>
      </c>
      <c r="B503" s="192" t="inlineStr">
        <is>
          <t>directe toerek volksgezondheid</t>
        </is>
      </c>
      <c r="C503" s="124" t="n"/>
      <c r="D503" s="8" t="inlineStr">
        <is>
          <t>volksgezondheid en milieu</t>
        </is>
      </c>
      <c r="E503" s="192" t="inlineStr">
        <is>
          <t>T71</t>
        </is>
      </c>
      <c r="F503" s="192" t="inlineStr">
        <is>
          <t>volksgezondheid</t>
        </is>
      </c>
    </row>
    <row r="504">
      <c r="A504" s="192" t="n">
        <v>647001</v>
      </c>
      <c r="B504" s="192" t="inlineStr">
        <is>
          <t>riolen algemeen</t>
        </is>
      </c>
      <c r="C504" s="124" t="n"/>
      <c r="D504" s="8" t="inlineStr">
        <is>
          <t>volksgezondheid en milieu</t>
        </is>
      </c>
      <c r="E504" s="192" t="inlineStr">
        <is>
          <t>T72</t>
        </is>
      </c>
      <c r="F504" s="192" t="inlineStr">
        <is>
          <t>riolering</t>
        </is>
      </c>
    </row>
    <row r="505">
      <c r="A505" s="192" t="n">
        <v>647002</v>
      </c>
      <c r="B505" s="192" t="inlineStr">
        <is>
          <t>drukriolering</t>
        </is>
      </c>
      <c r="C505" s="124" t="n"/>
      <c r="D505" s="8" t="inlineStr">
        <is>
          <t>volksgezondheid en milieu</t>
        </is>
      </c>
      <c r="E505" s="192" t="inlineStr">
        <is>
          <t>T72</t>
        </is>
      </c>
      <c r="F505" s="192" t="inlineStr">
        <is>
          <t>riolering</t>
        </is>
      </c>
    </row>
    <row r="506">
      <c r="A506" s="192" t="n">
        <v>647003</v>
      </c>
      <c r="B506" s="192" t="inlineStr">
        <is>
          <t>kolkenzuiger</t>
        </is>
      </c>
      <c r="C506" s="124" t="n"/>
      <c r="D506" s="8" t="inlineStr">
        <is>
          <t>volksgezondheid en milieu</t>
        </is>
      </c>
      <c r="E506" s="192" t="inlineStr">
        <is>
          <t>T72</t>
        </is>
      </c>
      <c r="F506" s="192" t="inlineStr">
        <is>
          <t>riolering</t>
        </is>
      </c>
    </row>
    <row r="507">
      <c r="A507" s="192" t="n">
        <v>647004</v>
      </c>
      <c r="B507" s="192" t="inlineStr">
        <is>
          <t>rioolhuisaansluitingen</t>
        </is>
      </c>
      <c r="C507" s="124" t="n"/>
      <c r="D507" s="8" t="inlineStr">
        <is>
          <t>volksgezondheid en milieu</t>
        </is>
      </c>
      <c r="E507" s="192" t="inlineStr">
        <is>
          <t>T72</t>
        </is>
      </c>
      <c r="F507" s="192" t="inlineStr">
        <is>
          <t>riolering</t>
        </is>
      </c>
    </row>
    <row r="508">
      <c r="A508" s="192" t="n">
        <v>647005</v>
      </c>
      <c r="B508" s="192" t="inlineStr">
        <is>
          <t>rioolrechten</t>
        </is>
      </c>
      <c r="C508" s="124" t="n"/>
      <c r="D508" s="8" t="inlineStr">
        <is>
          <t>volksgezondheid en milieu</t>
        </is>
      </c>
      <c r="E508" s="192" t="inlineStr">
        <is>
          <t>T72</t>
        </is>
      </c>
      <c r="F508" s="192" t="inlineStr">
        <is>
          <t>riolering</t>
        </is>
      </c>
    </row>
    <row r="509">
      <c r="A509" s="192" t="n">
        <v>647006</v>
      </c>
      <c r="B509" s="201" t="inlineStr">
        <is>
          <t>corr compensabele btw op riolering</t>
        </is>
      </c>
      <c r="C509" s="124" t="n"/>
      <c r="D509" s="8" t="inlineStr">
        <is>
          <t>volksgezondheid en milieu</t>
        </is>
      </c>
      <c r="E509" s="192" t="inlineStr">
        <is>
          <t>T72</t>
        </is>
      </c>
      <c r="F509" s="192" t="inlineStr">
        <is>
          <t>riolering</t>
        </is>
      </c>
    </row>
    <row r="510">
      <c r="A510" s="192" t="n">
        <v>647007</v>
      </c>
      <c r="B510" s="192" t="inlineStr">
        <is>
          <t>straatreiniging (dbl 617017)</t>
        </is>
      </c>
      <c r="C510" s="124" t="n"/>
      <c r="D510" s="8" t="inlineStr">
        <is>
          <t>volksgezondheid en milieu</t>
        </is>
      </c>
      <c r="E510" s="192" t="inlineStr">
        <is>
          <t>T72</t>
        </is>
      </c>
      <c r="F510" s="192" t="inlineStr">
        <is>
          <t>riolering</t>
        </is>
      </c>
    </row>
    <row r="511">
      <c r="A511" s="192" t="n">
        <v>647008</v>
      </c>
      <c r="B511" s="192" t="inlineStr">
        <is>
          <t>klimaatadaptief watersysteem</t>
        </is>
      </c>
      <c r="C511" s="124" t="n"/>
      <c r="D511" s="8" t="inlineStr">
        <is>
          <t>volksgezondheid en milieu</t>
        </is>
      </c>
      <c r="E511" s="192" t="inlineStr">
        <is>
          <t>T72</t>
        </is>
      </c>
      <c r="F511" s="192" t="inlineStr">
        <is>
          <t>riolering</t>
        </is>
      </c>
    </row>
    <row r="512">
      <c r="A512" s="192" t="n">
        <v>647901</v>
      </c>
      <c r="B512" s="192" t="inlineStr">
        <is>
          <t>directe toerek riolering</t>
        </is>
      </c>
      <c r="C512" s="124" t="n"/>
      <c r="D512" s="8" t="inlineStr">
        <is>
          <t>volksgezondheid en milieu</t>
        </is>
      </c>
      <c r="E512" s="192" t="inlineStr">
        <is>
          <t>T72</t>
        </is>
      </c>
      <c r="F512" s="192" t="inlineStr">
        <is>
          <t>riolering</t>
        </is>
      </c>
    </row>
    <row r="513">
      <c r="A513" s="192" t="n">
        <v>648001</v>
      </c>
      <c r="B513" s="192" t="inlineStr">
        <is>
          <t>huisvuilophaaldienst</t>
        </is>
      </c>
      <c r="C513" s="124" t="n"/>
      <c r="D513" s="8" t="inlineStr">
        <is>
          <t>volksgezondheid en milieu</t>
        </is>
      </c>
      <c r="E513" s="113" t="inlineStr">
        <is>
          <t>T73</t>
        </is>
      </c>
      <c r="F513" s="124" t="inlineStr">
        <is>
          <t>afval</t>
        </is>
      </c>
    </row>
    <row r="514">
      <c r="A514" s="192" t="n">
        <v>648002</v>
      </c>
      <c r="B514" s="192" t="inlineStr">
        <is>
          <t>milieustraat</t>
        </is>
      </c>
      <c r="C514" s="124" t="n"/>
      <c r="D514" s="8" t="inlineStr">
        <is>
          <t>volksgezondheid en milieu</t>
        </is>
      </c>
      <c r="E514" s="113" t="inlineStr">
        <is>
          <t>T73</t>
        </is>
      </c>
      <c r="F514" s="124" t="inlineStr">
        <is>
          <t>afval</t>
        </is>
      </c>
    </row>
    <row r="515">
      <c r="A515" s="192" t="n">
        <v>648003</v>
      </c>
      <c r="B515" s="201" t="inlineStr">
        <is>
          <t>corr compensabele btw op afval</t>
        </is>
      </c>
      <c r="C515" s="124" t="n"/>
      <c r="D515" s="8" t="inlineStr">
        <is>
          <t>volksgezondheid en milieu</t>
        </is>
      </c>
      <c r="E515" s="113" t="inlineStr">
        <is>
          <t>T73</t>
        </is>
      </c>
      <c r="F515" s="124" t="inlineStr">
        <is>
          <t>afval</t>
        </is>
      </c>
    </row>
    <row r="516">
      <c r="A516" s="192" t="n">
        <v>648004</v>
      </c>
      <c r="B516" s="192" t="inlineStr">
        <is>
          <t>afvalstoffenheffing/reinigingsrecht</t>
        </is>
      </c>
      <c r="C516" s="124" t="n"/>
      <c r="D516" s="8" t="inlineStr">
        <is>
          <t>volksgezondheid en milieu</t>
        </is>
      </c>
      <c r="E516" s="113" t="inlineStr">
        <is>
          <t>T73</t>
        </is>
      </c>
      <c r="F516" s="124" t="inlineStr">
        <is>
          <t>afval</t>
        </is>
      </c>
    </row>
    <row r="517">
      <c r="A517" s="192" t="n">
        <v>648005</v>
      </c>
      <c r="B517" s="192" t="inlineStr">
        <is>
          <t>inzamelen klandestien gestort vuil</t>
        </is>
      </c>
      <c r="C517" s="124" t="n"/>
      <c r="D517" s="8" t="inlineStr">
        <is>
          <t>volksgezondheid en milieu</t>
        </is>
      </c>
      <c r="E517" s="113" t="inlineStr">
        <is>
          <t>T73</t>
        </is>
      </c>
      <c r="F517" s="124" t="inlineStr">
        <is>
          <t>afval</t>
        </is>
      </c>
    </row>
    <row r="518">
      <c r="A518" s="192" t="n">
        <v>648006</v>
      </c>
      <c r="B518" s="192" t="inlineStr">
        <is>
          <t>straatreiniging (dbl 617017)</t>
        </is>
      </c>
      <c r="C518" s="124" t="n"/>
      <c r="D518" s="8" t="inlineStr">
        <is>
          <t>volksgezondheid en milieu</t>
        </is>
      </c>
      <c r="E518" s="113" t="inlineStr">
        <is>
          <t>T73</t>
        </is>
      </c>
      <c r="F518" s="124" t="inlineStr">
        <is>
          <t>afval</t>
        </is>
      </c>
    </row>
    <row r="519">
      <c r="A519" s="192" t="n">
        <v>648901</v>
      </c>
      <c r="B519" s="192" t="inlineStr">
        <is>
          <t>directe toerek afval</t>
        </is>
      </c>
      <c r="C519" s="124" t="n"/>
      <c r="D519" s="8" t="inlineStr">
        <is>
          <t>volksgezondheid en milieu</t>
        </is>
      </c>
      <c r="E519" s="113" t="inlineStr">
        <is>
          <t>T73</t>
        </is>
      </c>
      <c r="F519" s="124" t="inlineStr">
        <is>
          <t>afval</t>
        </is>
      </c>
    </row>
    <row r="520">
      <c r="A520" s="192" t="n">
        <v>649001</v>
      </c>
      <c r="B520" s="192" t="inlineStr">
        <is>
          <t>milieubeleid</t>
        </is>
      </c>
      <c r="C520" s="124" t="n"/>
      <c r="D520" s="8" t="inlineStr">
        <is>
          <t>volksgezondheid en milieu</t>
        </is>
      </c>
      <c r="E520" s="113" t="inlineStr">
        <is>
          <t>T74</t>
        </is>
      </c>
      <c r="F520" s="124" t="inlineStr">
        <is>
          <t>milieubeheer</t>
        </is>
      </c>
    </row>
    <row r="521">
      <c r="A521" s="192" t="n">
        <v>649002</v>
      </c>
      <c r="B521" s="192" t="inlineStr">
        <is>
          <t>geluidsonderzoeken</t>
        </is>
      </c>
      <c r="C521" s="124" t="n"/>
      <c r="D521" s="8" t="inlineStr">
        <is>
          <t>volksgezondheid en milieu</t>
        </is>
      </c>
      <c r="E521" s="113" t="inlineStr">
        <is>
          <t>T74</t>
        </is>
      </c>
      <c r="F521" s="124" t="inlineStr">
        <is>
          <t>milieubeheer</t>
        </is>
      </c>
    </row>
    <row r="522">
      <c r="A522" s="192" t="n">
        <v>649003</v>
      </c>
      <c r="B522" s="201" t="inlineStr">
        <is>
          <t>bevordering duurzaamheid</t>
        </is>
      </c>
      <c r="C522" s="124" t="n"/>
      <c r="D522" s="8" t="inlineStr">
        <is>
          <t>volksgezondheid en milieu</t>
        </is>
      </c>
      <c r="E522" s="113" t="inlineStr">
        <is>
          <t>T74</t>
        </is>
      </c>
      <c r="F522" s="124" t="inlineStr">
        <is>
          <t>milieubeheer</t>
        </is>
      </c>
    </row>
    <row r="523">
      <c r="A523" s="192" t="n">
        <v>649004</v>
      </c>
      <c r="B523" s="201" t="inlineStr">
        <is>
          <t>initiatieven duurzaamheid</t>
        </is>
      </c>
      <c r="C523" s="124" t="n"/>
      <c r="D523" s="8" t="inlineStr">
        <is>
          <t>volksgezondheid en milieu</t>
        </is>
      </c>
      <c r="E523" s="113" t="inlineStr">
        <is>
          <t>T74</t>
        </is>
      </c>
      <c r="F523" s="124" t="inlineStr">
        <is>
          <t>milieubeheer</t>
        </is>
      </c>
    </row>
    <row r="524">
      <c r="A524" s="192" t="n">
        <v>649005</v>
      </c>
      <c r="B524" s="201" t="inlineStr">
        <is>
          <t>duurzaamheid</t>
        </is>
      </c>
      <c r="C524" s="124" t="n"/>
      <c r="D524" s="8" t="inlineStr">
        <is>
          <t>volksgezondheid en milieu</t>
        </is>
      </c>
      <c r="E524" s="113" t="inlineStr">
        <is>
          <t>T74</t>
        </is>
      </c>
      <c r="F524" s="124" t="inlineStr">
        <is>
          <t>milieubeheer</t>
        </is>
      </c>
    </row>
    <row r="525">
      <c r="A525" s="192" t="n">
        <v>649006</v>
      </c>
      <c r="B525" s="192" t="inlineStr">
        <is>
          <t>vergunningverlening milieu</t>
        </is>
      </c>
      <c r="C525" s="124" t="n"/>
      <c r="D525" s="8" t="inlineStr">
        <is>
          <t>volksgezondheid en milieu</t>
        </is>
      </c>
      <c r="E525" s="113" t="inlineStr">
        <is>
          <t>T74</t>
        </is>
      </c>
      <c r="F525" s="124" t="inlineStr">
        <is>
          <t>milieubeheer</t>
        </is>
      </c>
    </row>
    <row r="526">
      <c r="A526" s="192" t="n">
        <v>649007</v>
      </c>
      <c r="B526" s="192" t="inlineStr">
        <is>
          <t>odzob milieu vergunningen</t>
        </is>
      </c>
      <c r="C526" s="124" t="n"/>
      <c r="D526" s="8" t="inlineStr">
        <is>
          <t>volksgezondheid en milieu</t>
        </is>
      </c>
      <c r="E526" s="113" t="inlineStr">
        <is>
          <t>T74</t>
        </is>
      </c>
      <c r="F526" s="124" t="inlineStr">
        <is>
          <t>milieubeheer</t>
        </is>
      </c>
    </row>
    <row r="527">
      <c r="A527" s="192" t="n">
        <v>649008</v>
      </c>
      <c r="B527" s="201" t="inlineStr">
        <is>
          <t>berekening hogere waarden</t>
        </is>
      </c>
      <c r="C527" s="124" t="n"/>
      <c r="D527" s="8" t="inlineStr">
        <is>
          <t>volksgezondheid en milieu</t>
        </is>
      </c>
      <c r="E527" s="113" t="inlineStr">
        <is>
          <t>T74</t>
        </is>
      </c>
      <c r="F527" s="124" t="inlineStr">
        <is>
          <t>milieubeheer</t>
        </is>
      </c>
    </row>
    <row r="528">
      <c r="A528" s="192" t="n">
        <v>649009</v>
      </c>
      <c r="B528" s="201" t="inlineStr">
        <is>
          <t>uitv milieuwetgeving</t>
        </is>
      </c>
      <c r="C528" s="124" t="n"/>
      <c r="D528" s="8" t="inlineStr">
        <is>
          <t>volksgezondheid en milieu</t>
        </is>
      </c>
      <c r="E528" s="113" t="inlineStr">
        <is>
          <t>T74</t>
        </is>
      </c>
      <c r="F528" s="124" t="inlineStr">
        <is>
          <t>milieubeheer</t>
        </is>
      </c>
    </row>
    <row r="529">
      <c r="A529" s="192" t="n">
        <v>649010</v>
      </c>
      <c r="B529" s="192" t="inlineStr">
        <is>
          <t>odzob milieu mbt leges</t>
        </is>
      </c>
      <c r="C529" s="124" t="n"/>
      <c r="D529" s="8" t="inlineStr">
        <is>
          <t>volksgezondheid en milieu</t>
        </is>
      </c>
      <c r="E529" s="113" t="inlineStr">
        <is>
          <t>T74</t>
        </is>
      </c>
      <c r="F529" s="124" t="inlineStr">
        <is>
          <t>milieubeheer</t>
        </is>
      </c>
    </row>
    <row r="530">
      <c r="A530" s="192" t="n">
        <v>649011</v>
      </c>
      <c r="B530" s="192" t="inlineStr">
        <is>
          <t>odzob milieu juridische ondersteun</t>
        </is>
      </c>
      <c r="C530" s="124" t="n"/>
      <c r="D530" s="8" t="inlineStr">
        <is>
          <t>volksgezondheid en milieu</t>
        </is>
      </c>
      <c r="E530" s="113" t="inlineStr">
        <is>
          <t>T74</t>
        </is>
      </c>
      <c r="F530" s="124" t="inlineStr">
        <is>
          <t>milieubeheer</t>
        </is>
      </c>
    </row>
    <row r="531">
      <c r="A531" s="192" t="n">
        <v>649012</v>
      </c>
      <c r="B531" s="192" t="inlineStr">
        <is>
          <t>odzob onderzoek en advies</t>
        </is>
      </c>
      <c r="C531" s="124" t="n"/>
      <c r="D531" s="8" t="inlineStr">
        <is>
          <t>volksgezondheid en milieu</t>
        </is>
      </c>
      <c r="E531" s="113" t="inlineStr">
        <is>
          <t>T74</t>
        </is>
      </c>
      <c r="F531" s="124" t="inlineStr">
        <is>
          <t>milieubeheer</t>
        </is>
      </c>
    </row>
    <row r="532">
      <c r="A532" s="192" t="n">
        <v>649013</v>
      </c>
      <c r="B532" s="192" t="inlineStr">
        <is>
          <t>bestrijding van plaagdieren</t>
        </is>
      </c>
      <c r="C532" s="124" t="n"/>
      <c r="D532" s="8" t="inlineStr">
        <is>
          <t>volksgezondheid en milieu</t>
        </is>
      </c>
      <c r="E532" s="113" t="inlineStr">
        <is>
          <t>T74</t>
        </is>
      </c>
      <c r="F532" s="124" t="inlineStr">
        <is>
          <t>milieubeheer</t>
        </is>
      </c>
    </row>
    <row r="533">
      <c r="A533" s="192" t="n">
        <v>649014</v>
      </c>
      <c r="B533" s="192" t="inlineStr">
        <is>
          <t>handhaving milieuwetgeving</t>
        </is>
      </c>
      <c r="C533" s="124" t="n"/>
      <c r="D533" s="8" t="inlineStr">
        <is>
          <t>volksgezondheid en milieu</t>
        </is>
      </c>
      <c r="E533" s="113" t="inlineStr">
        <is>
          <t>T74</t>
        </is>
      </c>
      <c r="F533" s="124" t="inlineStr">
        <is>
          <t>milieubeheer</t>
        </is>
      </c>
    </row>
    <row r="534">
      <c r="A534" s="192" t="n">
        <v>649015</v>
      </c>
      <c r="B534" s="201" t="inlineStr">
        <is>
          <t>zonnepanelen</t>
        </is>
      </c>
      <c r="C534" s="124" t="n"/>
      <c r="D534" s="8" t="inlineStr">
        <is>
          <t>volksgezondheid en milieu</t>
        </is>
      </c>
      <c r="E534" s="113" t="inlineStr">
        <is>
          <t>T74</t>
        </is>
      </c>
      <c r="F534" s="124" t="inlineStr">
        <is>
          <t>milieubeheer</t>
        </is>
      </c>
    </row>
    <row r="535">
      <c r="A535" s="192" t="n">
        <v>649016</v>
      </c>
      <c r="B535" s="201" t="inlineStr">
        <is>
          <t>reductie energieverbruik woningen</t>
        </is>
      </c>
      <c r="C535" s="124" t="n"/>
      <c r="D535" s="8" t="inlineStr">
        <is>
          <t>volksgezondheid en milieu</t>
        </is>
      </c>
      <c r="E535" s="113" t="inlineStr">
        <is>
          <t>T74</t>
        </is>
      </c>
      <c r="F535" s="124" t="inlineStr">
        <is>
          <t>milieubeheer</t>
        </is>
      </c>
    </row>
    <row r="536">
      <c r="A536" s="192" t="n">
        <v>649017</v>
      </c>
      <c r="B536" s="201" t="inlineStr">
        <is>
          <t>aanpak energiearmoede</t>
        </is>
      </c>
      <c r="C536" s="124" t="n"/>
      <c r="D536" s="8" t="inlineStr">
        <is>
          <t>volksgezondheid en milieu</t>
        </is>
      </c>
      <c r="E536" s="113" t="inlineStr">
        <is>
          <t>T74</t>
        </is>
      </c>
      <c r="F536" s="124" t="inlineStr">
        <is>
          <t>milieubeheer</t>
        </is>
      </c>
    </row>
    <row r="537">
      <c r="A537" s="192" t="n">
        <v>649018</v>
      </c>
      <c r="B537" s="201" t="inlineStr">
        <is>
          <t>capaciteit klimaatbeleid</t>
        </is>
      </c>
      <c r="C537" s="124" t="n"/>
      <c r="D537" s="8" t="inlineStr">
        <is>
          <t>volksgezondheid en milieu</t>
        </is>
      </c>
      <c r="E537" s="113" t="inlineStr">
        <is>
          <t>T74</t>
        </is>
      </c>
      <c r="F537" s="124" t="inlineStr">
        <is>
          <t>milieubeheer</t>
        </is>
      </c>
    </row>
    <row r="538">
      <c r="A538" s="192" t="n">
        <v>649019</v>
      </c>
      <c r="B538" s="201" t="inlineStr">
        <is>
          <t>nip-gelden</t>
        </is>
      </c>
      <c r="C538" s="124" t="n"/>
      <c r="D538" s="8" t="inlineStr">
        <is>
          <t>volksgezondheid en milieu</t>
        </is>
      </c>
      <c r="E538" s="113" t="inlineStr">
        <is>
          <t>T74</t>
        </is>
      </c>
      <c r="F538" s="124" t="inlineStr">
        <is>
          <t>milieubeheer</t>
        </is>
      </c>
    </row>
    <row r="539">
      <c r="A539" s="192" t="n">
        <v>649020</v>
      </c>
      <c r="B539" s="201" t="inlineStr">
        <is>
          <t>verduurz maatsch vastgoed derden</t>
        </is>
      </c>
      <c r="C539" s="124" t="n"/>
      <c r="D539" s="8" t="inlineStr">
        <is>
          <t>volksgezondheid en milieu</t>
        </is>
      </c>
      <c r="E539" s="113" t="inlineStr">
        <is>
          <t>T74</t>
        </is>
      </c>
      <c r="F539" s="124" t="inlineStr">
        <is>
          <t>milieubeheer</t>
        </is>
      </c>
    </row>
    <row r="540">
      <c r="A540" s="192" t="n">
        <v>649021</v>
      </c>
      <c r="B540" s="201" t="inlineStr">
        <is>
          <t>duurzaamheidsacties met partners</t>
        </is>
      </c>
      <c r="C540" s="124" t="n"/>
      <c r="D540" s="8" t="inlineStr">
        <is>
          <t>volksgezondheid en milieu</t>
        </is>
      </c>
      <c r="E540" s="113" t="inlineStr">
        <is>
          <t>T74</t>
        </is>
      </c>
      <c r="F540" s="124" t="inlineStr">
        <is>
          <t>milieubeheer</t>
        </is>
      </c>
    </row>
    <row r="541">
      <c r="A541" s="192" t="n">
        <v>649022</v>
      </c>
      <c r="B541" s="201" t="inlineStr">
        <is>
          <t>soorten management plan(smp)</t>
        </is>
      </c>
      <c r="C541" s="124" t="n"/>
      <c r="D541" s="8" t="inlineStr">
        <is>
          <t>volksgezondheid en milieu</t>
        </is>
      </c>
      <c r="E541" s="113" t="inlineStr">
        <is>
          <t>T74</t>
        </is>
      </c>
      <c r="F541" s="124" t="inlineStr">
        <is>
          <t>milieubeheer</t>
        </is>
      </c>
    </row>
    <row r="542">
      <c r="A542" s="192" t="n">
        <v>649023</v>
      </c>
      <c r="B542" s="201" t="inlineStr">
        <is>
          <t>groene daken</t>
        </is>
      </c>
      <c r="C542" s="124" t="n"/>
      <c r="D542" s="8" t="inlineStr">
        <is>
          <t>volksgezondheid en milieu</t>
        </is>
      </c>
      <c r="E542" s="113" t="inlineStr">
        <is>
          <t>T74</t>
        </is>
      </c>
      <c r="F542" s="124" t="inlineStr">
        <is>
          <t>milieubeheer</t>
        </is>
      </c>
    </row>
    <row r="543">
      <c r="A543" s="192" t="n">
        <v>649024</v>
      </c>
      <c r="B543" s="201" t="inlineStr">
        <is>
          <t>warmtenet</t>
        </is>
      </c>
      <c r="C543" s="124" t="n"/>
      <c r="D543" s="8" t="inlineStr">
        <is>
          <t>volksgezondheid en milieu</t>
        </is>
      </c>
      <c r="E543" s="113" t="inlineStr">
        <is>
          <t>T74</t>
        </is>
      </c>
      <c r="F543" s="124" t="inlineStr">
        <is>
          <t>milieubeheer</t>
        </is>
      </c>
    </row>
    <row r="544">
      <c r="A544" s="192" t="n">
        <v>649901</v>
      </c>
      <c r="B544" s="192" t="inlineStr">
        <is>
          <t>directe toerek leges milieu titel 2</t>
        </is>
      </c>
      <c r="C544" s="124" t="n"/>
      <c r="D544" s="8" t="inlineStr">
        <is>
          <t>volksgezondheid en milieu</t>
        </is>
      </c>
      <c r="E544" s="113" t="inlineStr">
        <is>
          <t>T74</t>
        </is>
      </c>
      <c r="F544" s="124" t="inlineStr">
        <is>
          <t>milieubeheer</t>
        </is>
      </c>
    </row>
    <row r="545">
      <c r="A545" s="192" t="n">
        <v>649902</v>
      </c>
      <c r="B545" s="192" t="inlineStr">
        <is>
          <t>directe toerek milieubeheer</t>
        </is>
      </c>
      <c r="C545" s="124" t="n"/>
      <c r="D545" s="8" t="inlineStr">
        <is>
          <t>volksgezondheid en milieu</t>
        </is>
      </c>
      <c r="E545" s="113" t="inlineStr">
        <is>
          <t>T74</t>
        </is>
      </c>
      <c r="F545" s="124" t="inlineStr">
        <is>
          <t>milieubeheer</t>
        </is>
      </c>
    </row>
    <row r="546">
      <c r="A546" s="192" t="n">
        <v>650001</v>
      </c>
      <c r="B546" s="192" t="inlineStr">
        <is>
          <t>algemene begraafplaats</t>
        </is>
      </c>
      <c r="C546" s="124" t="n"/>
      <c r="D546" s="8" t="inlineStr">
        <is>
          <t>volksgezondheid en milieu</t>
        </is>
      </c>
      <c r="E546" s="113" t="inlineStr">
        <is>
          <t>T75</t>
        </is>
      </c>
      <c r="F546" s="124" t="inlineStr">
        <is>
          <t>begraafplaatsen en crematoria</t>
        </is>
      </c>
    </row>
    <row r="547">
      <c r="A547" s="192" t="n">
        <v>650901</v>
      </c>
      <c r="B547" s="192" t="inlineStr">
        <is>
          <t>directe toerek begraafpl ed</t>
        </is>
      </c>
      <c r="C547" s="124" t="n"/>
      <c r="D547" s="8" t="inlineStr">
        <is>
          <t>volksgezondheid en milieu</t>
        </is>
      </c>
      <c r="E547" s="113" t="inlineStr">
        <is>
          <t>T75</t>
        </is>
      </c>
      <c r="F547" s="124" t="inlineStr">
        <is>
          <t>begraafplaatsen en crematoria</t>
        </is>
      </c>
    </row>
    <row r="548">
      <c r="A548" s="192" t="n">
        <v>651001</v>
      </c>
      <c r="B548" s="192" t="inlineStr">
        <is>
          <t>bestemmingsplannen</t>
        </is>
      </c>
      <c r="C548" s="124" t="n"/>
      <c r="D548" s="8" t="inlineStr">
        <is>
          <t>volkshuisv., ro en stedelijke vernieuwing</t>
        </is>
      </c>
      <c r="E548" s="192" t="inlineStr">
        <is>
          <t>T81</t>
        </is>
      </c>
      <c r="F548" s="192" t="inlineStr">
        <is>
          <t>ruimtelijke ordening</t>
        </is>
      </c>
    </row>
    <row r="549">
      <c r="A549" s="192" t="n">
        <v>651002</v>
      </c>
      <c r="B549" s="201" t="inlineStr">
        <is>
          <t>omgevingswet</t>
        </is>
      </c>
      <c r="C549" s="124" t="n"/>
      <c r="D549" s="8" t="inlineStr">
        <is>
          <t>volkshuisv., ro en stedelijke vernieuwing</t>
        </is>
      </c>
      <c r="E549" s="192" t="inlineStr">
        <is>
          <t>T81</t>
        </is>
      </c>
      <c r="F549" s="192" t="inlineStr">
        <is>
          <t>ruimtelijke ordening</t>
        </is>
      </c>
    </row>
    <row r="550">
      <c r="A550" s="192" t="n">
        <v>651003</v>
      </c>
      <c r="B550" s="192" t="inlineStr">
        <is>
          <t>omgevingsplan</t>
        </is>
      </c>
      <c r="C550" s="124" t="n"/>
      <c r="D550" s="8" t="inlineStr">
        <is>
          <t>volkshuisv., ro en stedelijke vernieuwing</t>
        </is>
      </c>
      <c r="E550" s="192" t="inlineStr">
        <is>
          <t>T81</t>
        </is>
      </c>
      <c r="F550" s="192" t="inlineStr">
        <is>
          <t>ruimtelijke ordening</t>
        </is>
      </c>
    </row>
    <row r="551">
      <c r="A551" s="192" t="n">
        <v>651004</v>
      </c>
      <c r="B551" s="192" t="inlineStr">
        <is>
          <t>samenwerkingsverb brainpoort avenue</t>
        </is>
      </c>
      <c r="C551" s="124" t="n"/>
      <c r="D551" s="8" t="inlineStr">
        <is>
          <t>volkshuisv., ro en stedelijke vernieuwing</t>
        </is>
      </c>
      <c r="E551" s="192" t="inlineStr">
        <is>
          <t>T81</t>
        </is>
      </c>
      <c r="F551" s="192" t="inlineStr">
        <is>
          <t>ruimtelijke ordening</t>
        </is>
      </c>
    </row>
    <row r="552">
      <c r="A552" s="192" t="n">
        <v>651005</v>
      </c>
      <c r="B552" s="201" t="inlineStr">
        <is>
          <t>netwerksamenwerkingen</t>
        </is>
      </c>
      <c r="C552" s="124" t="n"/>
      <c r="D552" s="8" t="inlineStr">
        <is>
          <t>volkshuisv., ro en stedelijke vernieuwing</t>
        </is>
      </c>
      <c r="E552" s="192" t="inlineStr">
        <is>
          <t>T81</t>
        </is>
      </c>
      <c r="F552" s="192" t="inlineStr">
        <is>
          <t>ruimtelijke ordening</t>
        </is>
      </c>
    </row>
    <row r="553">
      <c r="A553" s="192" t="n">
        <v>651006</v>
      </c>
      <c r="B553" s="201" t="inlineStr">
        <is>
          <t>leges ipni, titel 2</t>
        </is>
      </c>
      <c r="C553" s="124" t="n"/>
      <c r="D553" s="8" t="inlineStr">
        <is>
          <t>volkshuisv., ro en stedelijke vernieuwing</t>
        </is>
      </c>
      <c r="E553" s="192" t="inlineStr">
        <is>
          <t>T81</t>
        </is>
      </c>
      <c r="F553" s="192" t="inlineStr">
        <is>
          <t>ruimtelijke ordening</t>
        </is>
      </c>
    </row>
    <row r="554">
      <c r="A554" s="192" t="n">
        <v>651007</v>
      </c>
      <c r="B554" s="201" t="inlineStr">
        <is>
          <t>kostenverhaal derden</t>
        </is>
      </c>
      <c r="C554" s="124" t="n"/>
      <c r="D554" s="8" t="inlineStr">
        <is>
          <t>volkshuisv., ro en stedelijke vernieuwing</t>
        </is>
      </c>
      <c r="E554" s="192" t="inlineStr">
        <is>
          <t>T81</t>
        </is>
      </c>
      <c r="F554" s="192" t="inlineStr">
        <is>
          <t>ruimtelijke ordening</t>
        </is>
      </c>
    </row>
    <row r="555">
      <c r="A555" s="192" t="n">
        <v>651008</v>
      </c>
      <c r="B555" s="201" t="inlineStr">
        <is>
          <t>herinrichting stationsgebied west</t>
        </is>
      </c>
      <c r="C555" s="124" t="n"/>
      <c r="D555" s="8" t="inlineStr">
        <is>
          <t>volkshuisv., ro en stedelijke vernieuwing</t>
        </is>
      </c>
      <c r="E555" s="192" t="inlineStr">
        <is>
          <t>T81</t>
        </is>
      </c>
      <c r="F555" s="192" t="inlineStr">
        <is>
          <t>ruimtelijke ordening</t>
        </is>
      </c>
    </row>
    <row r="556">
      <c r="A556" s="192" t="n">
        <v>651009</v>
      </c>
      <c r="B556" s="201" t="inlineStr">
        <is>
          <t>visie woonwagenzaken</t>
        </is>
      </c>
      <c r="C556" s="124" t="n"/>
      <c r="D556" s="8" t="inlineStr">
        <is>
          <t>volkshuisv., ro en stedelijke vernieuwing</t>
        </is>
      </c>
      <c r="E556" s="192" t="inlineStr">
        <is>
          <t>T81</t>
        </is>
      </c>
      <c r="F556" s="192" t="inlineStr">
        <is>
          <t>ruimtelijke ordening</t>
        </is>
      </c>
    </row>
    <row r="557">
      <c r="A557" s="192" t="n">
        <v>651010</v>
      </c>
      <c r="B557" s="201" t="inlineStr">
        <is>
          <t>rvr inrichting heuveleindseweg</t>
        </is>
      </c>
      <c r="C557" s="124" t="n"/>
      <c r="D557" s="8" t="inlineStr">
        <is>
          <t>volkshuisv., ro en stedelijke vernieuwing</t>
        </is>
      </c>
      <c r="E557" s="192" t="inlineStr">
        <is>
          <t>T81</t>
        </is>
      </c>
      <c r="F557" s="192" t="inlineStr">
        <is>
          <t>ruimtelijke ordening</t>
        </is>
      </c>
    </row>
    <row r="558">
      <c r="A558" s="192" t="n">
        <v>651011</v>
      </c>
      <c r="B558" s="201" t="inlineStr">
        <is>
          <t>gebiedsvisie wilhelminadorp</t>
        </is>
      </c>
      <c r="C558" s="124" t="n"/>
      <c r="D558" s="8" t="inlineStr">
        <is>
          <t>volkshuisv., ro en stedelijke vernieuwing</t>
        </is>
      </c>
      <c r="E558" s="192" t="inlineStr">
        <is>
          <t>T81</t>
        </is>
      </c>
      <c r="F558" s="192" t="inlineStr">
        <is>
          <t>ruimtelijke ordening</t>
        </is>
      </c>
    </row>
    <row r="559">
      <c r="A559" s="192" t="n">
        <v>651012</v>
      </c>
      <c r="B559" s="201" t="inlineStr">
        <is>
          <t>stedebouwkundige visie dorpsplein</t>
        </is>
      </c>
      <c r="C559" s="124" t="n"/>
      <c r="D559" s="8" t="inlineStr">
        <is>
          <t>volkshuisv., ro en stedelijke vernieuwing</t>
        </is>
      </c>
      <c r="E559" s="192" t="inlineStr">
        <is>
          <t>T81</t>
        </is>
      </c>
      <c r="F559" s="192" t="inlineStr">
        <is>
          <t>ruimtelijke ordening</t>
        </is>
      </c>
    </row>
    <row r="560">
      <c r="A560" s="192" t="n">
        <v>651013</v>
      </c>
      <c r="B560" s="92" t="inlineStr">
        <is>
          <t>fin bijdr ruimtelijke ontwikk</t>
        </is>
      </c>
      <c r="C560" s="124" t="n"/>
      <c r="D560" s="8" t="inlineStr">
        <is>
          <t>volkshuisv., ro en stedelijke vernieuwing</t>
        </is>
      </c>
      <c r="E560" s="192" t="inlineStr">
        <is>
          <t>T81</t>
        </is>
      </c>
      <c r="F560" s="192" t="inlineStr">
        <is>
          <t>ruimtelijke ordening</t>
        </is>
      </c>
    </row>
    <row r="561">
      <c r="A561" s="192" t="n">
        <v>651014</v>
      </c>
      <c r="B561" s="92" t="inlineStr">
        <is>
          <t>project structuurvisie buitengebied</t>
        </is>
      </c>
      <c r="C561" s="124" t="n"/>
      <c r="D561" s="8" t="inlineStr">
        <is>
          <t>volkshuisv., ro en stedelijke vernieuwing</t>
        </is>
      </c>
      <c r="E561" s="192" t="inlineStr">
        <is>
          <t>T81</t>
        </is>
      </c>
      <c r="F561" s="192" t="inlineStr">
        <is>
          <t>ruimtelijke ordening</t>
        </is>
      </c>
    </row>
    <row r="562">
      <c r="A562" s="192" t="n">
        <v>651015</v>
      </c>
      <c r="B562" s="92" t="inlineStr">
        <is>
          <t>actualisatie omgevingsvisie</t>
        </is>
      </c>
      <c r="C562" s="124" t="n"/>
      <c r="D562" s="8" t="inlineStr">
        <is>
          <t>volkshuisv., ro en stedelijke vernieuwing</t>
        </is>
      </c>
      <c r="E562" s="192" t="inlineStr">
        <is>
          <t>T81</t>
        </is>
      </c>
      <c r="F562" s="192" t="inlineStr">
        <is>
          <t>ruimtelijke ordening</t>
        </is>
      </c>
    </row>
    <row r="563">
      <c r="A563" s="192" t="n">
        <v>651901</v>
      </c>
      <c r="B563" s="192" t="inlineStr">
        <is>
          <t>directe toerek ruimtelijke ord</t>
        </is>
      </c>
      <c r="C563" s="124" t="n"/>
      <c r="D563" s="8" t="inlineStr">
        <is>
          <t>volkshuisv., ro en stedelijke vernieuwing</t>
        </is>
      </c>
      <c r="E563" s="192" t="inlineStr">
        <is>
          <t>T81</t>
        </is>
      </c>
      <c r="F563" s="192" t="inlineStr">
        <is>
          <t>ruimtelijke ordening</t>
        </is>
      </c>
    </row>
    <row r="564">
      <c r="A564" s="192" t="n">
        <v>651902</v>
      </c>
      <c r="B564" s="192" t="inlineStr">
        <is>
          <t>directe toerek ipni titel 2</t>
        </is>
      </c>
      <c r="C564" s="124" t="n"/>
      <c r="D564" s="8" t="inlineStr">
        <is>
          <t>volkshuisv., ro en stedelijke vernieuwing</t>
        </is>
      </c>
      <c r="E564" s="192" t="inlineStr">
        <is>
          <t>T81</t>
        </is>
      </c>
      <c r="F564" s="192" t="inlineStr">
        <is>
          <t>ruimtelijke ordening</t>
        </is>
      </c>
    </row>
    <row r="565">
      <c r="A565" s="192" t="n">
        <v>651903</v>
      </c>
      <c r="B565" s="192" t="inlineStr">
        <is>
          <t>directe toerek kostenverhaal</t>
        </is>
      </c>
      <c r="C565" s="124" t="n"/>
      <c r="D565" s="8" t="inlineStr">
        <is>
          <t>volkshuisv., ro en stedelijke vernieuwing</t>
        </is>
      </c>
      <c r="E565" s="192" t="inlineStr">
        <is>
          <t>T81</t>
        </is>
      </c>
      <c r="F565" s="192" t="inlineStr">
        <is>
          <t>ruimtelijke ordening</t>
        </is>
      </c>
    </row>
    <row r="566">
      <c r="A566" s="192" t="n">
        <v>652001</v>
      </c>
      <c r="B566" s="192" t="inlineStr">
        <is>
          <t>verwerving aankoop grond</t>
        </is>
      </c>
      <c r="C566" s="124" t="n"/>
      <c r="D566" s="8" t="inlineStr">
        <is>
          <t>volkshuisv., ro en stedelijke vernieuwing</t>
        </is>
      </c>
      <c r="E566" s="113" t="inlineStr">
        <is>
          <t>T82</t>
        </is>
      </c>
      <c r="F566" s="124" t="inlineStr">
        <is>
          <t>grondexploitatie (niet bedrijventerreinen)</t>
        </is>
      </c>
    </row>
    <row r="567">
      <c r="A567" s="192" t="n">
        <v>652002</v>
      </c>
      <c r="B567" s="192" t="inlineStr">
        <is>
          <t>verwerving taxatiewerkzaamheden</t>
        </is>
      </c>
      <c r="C567" s="124" t="n"/>
      <c r="D567" s="8" t="inlineStr">
        <is>
          <t>volkshuisv., ro en stedelijke vernieuwing</t>
        </is>
      </c>
      <c r="E567" s="113" t="inlineStr">
        <is>
          <t>T82</t>
        </is>
      </c>
      <c r="F567" s="124" t="inlineStr">
        <is>
          <t>grondexploitatie (niet bedrijventerreinen)</t>
        </is>
      </c>
    </row>
    <row r="568">
      <c r="A568" s="192" t="n">
        <v>652003</v>
      </c>
      <c r="B568" s="192" t="inlineStr">
        <is>
          <t>verwerving notaris</t>
        </is>
      </c>
      <c r="C568" s="124" t="n"/>
      <c r="D568" s="8" t="inlineStr">
        <is>
          <t>volkshuisv., ro en stedelijke vernieuwing</t>
        </is>
      </c>
      <c r="E568" s="113" t="inlineStr">
        <is>
          <t>T82</t>
        </is>
      </c>
      <c r="F568" s="124" t="inlineStr">
        <is>
          <t>grondexploitatie (niet bedrijventerreinen)</t>
        </is>
      </c>
    </row>
    <row r="569">
      <c r="A569" s="192" t="n">
        <v>652004</v>
      </c>
      <c r="B569" s="192" t="inlineStr">
        <is>
          <t>verwerving advies derden</t>
        </is>
      </c>
      <c r="C569" s="124" t="n"/>
      <c r="D569" s="8" t="inlineStr">
        <is>
          <t>volkshuisv., ro en stedelijke vernieuwing</t>
        </is>
      </c>
      <c r="E569" s="113" t="inlineStr">
        <is>
          <t>T82</t>
        </is>
      </c>
      <c r="F569" s="124" t="inlineStr">
        <is>
          <t>grondexploitatie (niet bedrijventerreinen)</t>
        </is>
      </c>
    </row>
    <row r="570">
      <c r="A570" s="192" t="n">
        <v>652005</v>
      </c>
      <c r="B570" s="192" t="inlineStr">
        <is>
          <t>verwerving overige</t>
        </is>
      </c>
      <c r="C570" s="124" t="n"/>
      <c r="D570" s="8" t="inlineStr">
        <is>
          <t>volkshuisv., ro en stedelijke vernieuwing</t>
        </is>
      </c>
      <c r="E570" s="113" t="inlineStr">
        <is>
          <t>T82</t>
        </is>
      </c>
      <c r="F570" s="124" t="inlineStr">
        <is>
          <t>grondexploitatie (niet bedrijventerreinen)</t>
        </is>
      </c>
    </row>
    <row r="571">
      <c r="A571" s="192" t="n">
        <v>652006</v>
      </c>
      <c r="B571" s="192" t="inlineStr">
        <is>
          <t>planontwikk inhuur derden</t>
        </is>
      </c>
      <c r="C571" s="124" t="n"/>
      <c r="D571" s="8" t="inlineStr">
        <is>
          <t>volkshuisv., ro en stedelijke vernieuwing</t>
        </is>
      </c>
      <c r="E571" s="113" t="inlineStr">
        <is>
          <t>T82</t>
        </is>
      </c>
      <c r="F571" s="124" t="inlineStr">
        <is>
          <t>grondexploitatie (niet bedrijventerreinen)</t>
        </is>
      </c>
    </row>
    <row r="572">
      <c r="A572" s="192" t="n">
        <v>652007</v>
      </c>
      <c r="B572" s="192" t="inlineStr">
        <is>
          <t>planontwikk adviezen derden</t>
        </is>
      </c>
      <c r="C572" s="124" t="n"/>
      <c r="D572" s="8" t="inlineStr">
        <is>
          <t>volkshuisv., ro en stedelijke vernieuwing</t>
        </is>
      </c>
      <c r="E572" s="113" t="inlineStr">
        <is>
          <t>T82</t>
        </is>
      </c>
      <c r="F572" s="124" t="inlineStr">
        <is>
          <t>grondexploitatie (niet bedrijventerreinen)</t>
        </is>
      </c>
    </row>
    <row r="573">
      <c r="A573" s="192" t="n">
        <v>652008</v>
      </c>
      <c r="B573" s="192" t="inlineStr">
        <is>
          <t>planontwikk overige</t>
        </is>
      </c>
      <c r="C573" s="124" t="n"/>
      <c r="D573" s="8" t="inlineStr">
        <is>
          <t>volkshuisv., ro en stedelijke vernieuwing</t>
        </is>
      </c>
      <c r="E573" s="113" t="inlineStr">
        <is>
          <t>T82</t>
        </is>
      </c>
      <c r="F573" s="124" t="inlineStr">
        <is>
          <t>grondexploitatie (niet bedrijventerreinen)</t>
        </is>
      </c>
    </row>
    <row r="574">
      <c r="A574" s="192" t="n">
        <v>652009</v>
      </c>
      <c r="B574" s="192" t="inlineStr">
        <is>
          <t>planontwikk planschade</t>
        </is>
      </c>
      <c r="C574" s="124" t="n"/>
      <c r="D574" s="8" t="inlineStr">
        <is>
          <t>volkshuisv., ro en stedelijke vernieuwing</t>
        </is>
      </c>
      <c r="E574" s="113" t="inlineStr">
        <is>
          <t>T82</t>
        </is>
      </c>
      <c r="F574" s="124" t="inlineStr">
        <is>
          <t>grondexploitatie (niet bedrijventerreinen)</t>
        </is>
      </c>
    </row>
    <row r="575">
      <c r="A575" s="192" t="n">
        <v>652010</v>
      </c>
      <c r="B575" s="192" t="inlineStr">
        <is>
          <t>planontwikk onderzoekskosten</t>
        </is>
      </c>
      <c r="C575" s="124" t="n"/>
      <c r="D575" s="8" t="inlineStr">
        <is>
          <t>volkshuisv., ro en stedelijke vernieuwing</t>
        </is>
      </c>
      <c r="E575" s="113" t="inlineStr">
        <is>
          <t>T82</t>
        </is>
      </c>
      <c r="F575" s="124" t="inlineStr">
        <is>
          <t>grondexploitatie (niet bedrijventerreinen)</t>
        </is>
      </c>
    </row>
    <row r="576">
      <c r="A576" s="192" t="n">
        <v>652011</v>
      </c>
      <c r="B576" s="192" t="inlineStr">
        <is>
          <t>vtu inhuur derden</t>
        </is>
      </c>
      <c r="C576" s="124" t="n"/>
      <c r="D576" s="8" t="inlineStr">
        <is>
          <t>volkshuisv., ro en stedelijke vernieuwing</t>
        </is>
      </c>
      <c r="E576" s="113" t="inlineStr">
        <is>
          <t>T82</t>
        </is>
      </c>
      <c r="F576" s="124" t="inlineStr">
        <is>
          <t>grondexploitatie (niet bedrijventerreinen)</t>
        </is>
      </c>
    </row>
    <row r="577">
      <c r="A577" s="192" t="n">
        <v>652012</v>
      </c>
      <c r="B577" s="192" t="inlineStr">
        <is>
          <t>vtu advies derden</t>
        </is>
      </c>
      <c r="C577" s="124" t="n"/>
      <c r="D577" s="8" t="inlineStr">
        <is>
          <t>volkshuisv., ro en stedelijke vernieuwing</t>
        </is>
      </c>
      <c r="E577" s="113" t="inlineStr">
        <is>
          <t>T82</t>
        </is>
      </c>
      <c r="F577" s="124" t="inlineStr">
        <is>
          <t>grondexploitatie (niet bedrijventerreinen)</t>
        </is>
      </c>
    </row>
    <row r="578">
      <c r="A578" s="192" t="n">
        <v>652013</v>
      </c>
      <c r="B578" s="192" t="inlineStr">
        <is>
          <t>brm sloop en grondwerken</t>
        </is>
      </c>
      <c r="C578" s="124" t="n"/>
      <c r="D578" s="8" t="inlineStr">
        <is>
          <t>volkshuisv., ro en stedelijke vernieuwing</t>
        </is>
      </c>
      <c r="E578" s="113" t="inlineStr">
        <is>
          <t>T82</t>
        </is>
      </c>
      <c r="F578" s="124" t="inlineStr">
        <is>
          <t>grondexploitatie (niet bedrijventerreinen)</t>
        </is>
      </c>
    </row>
    <row r="579">
      <c r="A579" s="192" t="n">
        <v>652014</v>
      </c>
      <c r="B579" s="192" t="inlineStr">
        <is>
          <t>brm riolering en bouwwegen</t>
        </is>
      </c>
      <c r="C579" s="124" t="n"/>
      <c r="D579" s="8" t="inlineStr">
        <is>
          <t>volkshuisv., ro en stedelijke vernieuwing</t>
        </is>
      </c>
      <c r="E579" s="113" t="inlineStr">
        <is>
          <t>T82</t>
        </is>
      </c>
      <c r="F579" s="124" t="inlineStr">
        <is>
          <t>grondexploitatie (niet bedrijventerreinen)</t>
        </is>
      </c>
    </row>
    <row r="580">
      <c r="A580" s="192" t="n">
        <v>652015</v>
      </c>
      <c r="B580" s="192" t="inlineStr">
        <is>
          <t>brm straatverlichting</t>
        </is>
      </c>
      <c r="C580" s="124" t="n"/>
      <c r="D580" s="8" t="inlineStr">
        <is>
          <t>volkshuisv., ro en stedelijke vernieuwing</t>
        </is>
      </c>
      <c r="E580" s="113" t="inlineStr">
        <is>
          <t>T82</t>
        </is>
      </c>
      <c r="F580" s="124" t="inlineStr">
        <is>
          <t>grondexploitatie (niet bedrijventerreinen)</t>
        </is>
      </c>
    </row>
    <row r="581">
      <c r="A581" s="192" t="n">
        <v>652016</v>
      </c>
      <c r="B581" s="192" t="inlineStr">
        <is>
          <t>brm huisaansluitingen en inritten</t>
        </is>
      </c>
      <c r="C581" s="124" t="n"/>
      <c r="D581" s="8" t="inlineStr">
        <is>
          <t>volkshuisv., ro en stedelijke vernieuwing</t>
        </is>
      </c>
      <c r="E581" s="113" t="inlineStr">
        <is>
          <t>T82</t>
        </is>
      </c>
      <c r="F581" s="124" t="inlineStr">
        <is>
          <t>grondexploitatie (niet bedrijventerreinen)</t>
        </is>
      </c>
    </row>
    <row r="582">
      <c r="A582" s="192" t="n">
        <v>652017</v>
      </c>
      <c r="B582" s="192" t="inlineStr">
        <is>
          <t>wrm riolering en wegaanleg</t>
        </is>
      </c>
      <c r="C582" s="124" t="n"/>
      <c r="D582" s="8" t="inlineStr">
        <is>
          <t>volkshuisv., ro en stedelijke vernieuwing</t>
        </is>
      </c>
      <c r="E582" s="113" t="inlineStr">
        <is>
          <t>T82</t>
        </is>
      </c>
      <c r="F582" s="124" t="inlineStr">
        <is>
          <t>grondexploitatie (niet bedrijventerreinen)</t>
        </is>
      </c>
    </row>
    <row r="583">
      <c r="A583" s="192" t="n">
        <v>652018</v>
      </c>
      <c r="B583" s="192" t="inlineStr">
        <is>
          <t>wrm straatverlichting</t>
        </is>
      </c>
      <c r="C583" s="124" t="n"/>
      <c r="D583" s="8" t="inlineStr">
        <is>
          <t>volkshuisv., ro en stedelijke vernieuwing</t>
        </is>
      </c>
      <c r="E583" s="113" t="inlineStr">
        <is>
          <t>T82</t>
        </is>
      </c>
      <c r="F583" s="124" t="inlineStr">
        <is>
          <t>grondexploitatie (niet bedrijventerreinen)</t>
        </is>
      </c>
    </row>
    <row r="584">
      <c r="A584" s="192" t="n">
        <v>652019</v>
      </c>
      <c r="B584" s="192" t="inlineStr">
        <is>
          <t>wrm groenvoorziening</t>
        </is>
      </c>
      <c r="C584" s="124" t="n"/>
      <c r="D584" s="8" t="inlineStr">
        <is>
          <t>volkshuisv., ro en stedelijke vernieuwing</t>
        </is>
      </c>
      <c r="E584" s="113" t="inlineStr">
        <is>
          <t>T82</t>
        </is>
      </c>
      <c r="F584" s="124" t="inlineStr">
        <is>
          <t>grondexploitatie (niet bedrijventerreinen)</t>
        </is>
      </c>
    </row>
    <row r="585">
      <c r="A585" s="192" t="n">
        <v>652020</v>
      </c>
      <c r="B585" s="192" t="inlineStr">
        <is>
          <t>wrm kunst openbare ruimte</t>
        </is>
      </c>
      <c r="C585" s="124" t="n"/>
      <c r="D585" s="8" t="inlineStr">
        <is>
          <t>volkshuisv., ro en stedelijke vernieuwing</t>
        </is>
      </c>
      <c r="E585" s="113" t="inlineStr">
        <is>
          <t>T82</t>
        </is>
      </c>
      <c r="F585" s="124" t="inlineStr">
        <is>
          <t>grondexploitatie (niet bedrijventerreinen)</t>
        </is>
      </c>
    </row>
    <row r="586">
      <c r="A586" s="192" t="n">
        <v>652021</v>
      </c>
      <c r="B586" s="192" t="inlineStr">
        <is>
          <t>wrm infra kunstwerken</t>
        </is>
      </c>
      <c r="C586" s="124" t="n"/>
      <c r="D586" s="8" t="inlineStr">
        <is>
          <t>volkshuisv., ro en stedelijke vernieuwing</t>
        </is>
      </c>
      <c r="E586" s="113" t="inlineStr">
        <is>
          <t>T82</t>
        </is>
      </c>
      <c r="F586" s="124" t="inlineStr">
        <is>
          <t>grondexploitatie (niet bedrijventerreinen)</t>
        </is>
      </c>
    </row>
    <row r="587">
      <c r="A587" s="192" t="n">
        <v>652022</v>
      </c>
      <c r="B587" s="192" t="inlineStr">
        <is>
          <t>afdracht overige</t>
        </is>
      </c>
      <c r="C587" s="124" t="n"/>
      <c r="D587" s="8" t="inlineStr">
        <is>
          <t>volkshuisv., ro en stedelijke vernieuwing</t>
        </is>
      </c>
      <c r="E587" s="113" t="inlineStr">
        <is>
          <t>T82</t>
        </is>
      </c>
      <c r="F587" s="124" t="inlineStr">
        <is>
          <t>grondexploitatie (niet bedrijventerreinen)</t>
        </is>
      </c>
    </row>
    <row r="588">
      <c r="A588" s="192" t="n">
        <v>652023</v>
      </c>
      <c r="B588" s="192" t="inlineStr">
        <is>
          <t>rente rekening courant</t>
        </is>
      </c>
      <c r="C588" s="124" t="n"/>
      <c r="D588" s="8" t="inlineStr">
        <is>
          <t>volkshuisv., ro en stedelijke vernieuwing</t>
        </is>
      </c>
      <c r="E588" s="113" t="inlineStr">
        <is>
          <t>T82</t>
        </is>
      </c>
      <c r="F588" s="124" t="inlineStr">
        <is>
          <t>grondexploitatie (niet bedrijventerreinen)</t>
        </is>
      </c>
    </row>
    <row r="589">
      <c r="A589" s="192" t="n">
        <v>652024</v>
      </c>
      <c r="B589" s="192" t="inlineStr">
        <is>
          <t>rente derden</t>
        </is>
      </c>
      <c r="C589" s="124" t="n"/>
      <c r="D589" s="8" t="inlineStr">
        <is>
          <t>volkshuisv., ro en stedelijke vernieuwing</t>
        </is>
      </c>
      <c r="E589" s="113" t="inlineStr">
        <is>
          <t>T82</t>
        </is>
      </c>
      <c r="F589" s="124" t="inlineStr">
        <is>
          <t>grondexploitatie (niet bedrijventerreinen)</t>
        </is>
      </c>
    </row>
    <row r="590">
      <c r="A590" s="192" t="n">
        <v>652025</v>
      </c>
      <c r="B590" s="192" t="inlineStr">
        <is>
          <t>grondverk soc woningbouw</t>
        </is>
      </c>
      <c r="C590" s="124" t="n"/>
      <c r="D590" s="8" t="inlineStr">
        <is>
          <t>volkshuisv., ro en stedelijke vernieuwing</t>
        </is>
      </c>
      <c r="E590" s="113" t="inlineStr">
        <is>
          <t>T82</t>
        </is>
      </c>
      <c r="F590" s="124" t="inlineStr">
        <is>
          <t>grondexploitatie (niet bedrijventerreinen)</t>
        </is>
      </c>
    </row>
    <row r="591">
      <c r="A591" s="192" t="n">
        <v>652026</v>
      </c>
      <c r="B591" s="192" t="inlineStr">
        <is>
          <t>grondverk vrije sector</t>
        </is>
      </c>
      <c r="C591" s="124" t="n"/>
      <c r="D591" s="8" t="inlineStr">
        <is>
          <t>volkshuisv., ro en stedelijke vernieuwing</t>
        </is>
      </c>
      <c r="E591" s="113" t="inlineStr">
        <is>
          <t>T82</t>
        </is>
      </c>
      <c r="F591" s="124" t="inlineStr">
        <is>
          <t>grondexploitatie (niet bedrijventerreinen)</t>
        </is>
      </c>
    </row>
    <row r="592">
      <c r="A592" s="192" t="n">
        <v>652027</v>
      </c>
      <c r="B592" s="192" t="inlineStr">
        <is>
          <t>grondverk overig</t>
        </is>
      </c>
      <c r="C592" s="124" t="n"/>
      <c r="D592" s="8" t="inlineStr">
        <is>
          <t>volkshuisv., ro en stedelijke vernieuwing</t>
        </is>
      </c>
      <c r="E592" s="113" t="inlineStr">
        <is>
          <t>T82</t>
        </is>
      </c>
      <c r="F592" s="124" t="inlineStr">
        <is>
          <t>grondexploitatie (niet bedrijventerreinen)</t>
        </is>
      </c>
    </row>
    <row r="593">
      <c r="A593" s="192" t="n">
        <v>652028</v>
      </c>
      <c r="B593" s="192" t="inlineStr">
        <is>
          <t>bijdrage provincie</t>
        </is>
      </c>
      <c r="C593" s="124" t="n"/>
      <c r="D593" s="8" t="inlineStr">
        <is>
          <t>volkshuisv., ro en stedelijke vernieuwing</t>
        </is>
      </c>
      <c r="E593" s="113" t="inlineStr">
        <is>
          <t>T82</t>
        </is>
      </c>
      <c r="F593" s="124" t="inlineStr">
        <is>
          <t>grondexploitatie (niet bedrijventerreinen)</t>
        </is>
      </c>
    </row>
    <row r="594">
      <c r="A594" s="192" t="n">
        <v>652029</v>
      </c>
      <c r="B594" s="192" t="inlineStr">
        <is>
          <t>bijdrage derden</t>
        </is>
      </c>
      <c r="C594" s="124" t="n"/>
      <c r="D594" s="8" t="inlineStr">
        <is>
          <t>volkshuisv., ro en stedelijke vernieuwing</t>
        </is>
      </c>
      <c r="E594" s="113" t="inlineStr">
        <is>
          <t>T83</t>
        </is>
      </c>
      <c r="F594" s="124" t="inlineStr">
        <is>
          <t>wonen en bouwen</t>
        </is>
      </c>
    </row>
    <row r="595">
      <c r="A595" s="192" t="n">
        <v>652030</v>
      </c>
      <c r="B595" s="192" t="inlineStr">
        <is>
          <t>mutatie bouwgrondexploitatie</t>
        </is>
      </c>
      <c r="C595" s="124" t="n"/>
      <c r="D595" s="8" t="inlineStr">
        <is>
          <t>volkshuisv., ro en stedelijke vernieuwing</t>
        </is>
      </c>
      <c r="E595" s="113" t="inlineStr">
        <is>
          <t>T83</t>
        </is>
      </c>
      <c r="F595" s="124" t="inlineStr">
        <is>
          <t>wonen en bouwen</t>
        </is>
      </c>
    </row>
    <row r="596">
      <c r="A596" s="192" t="n">
        <v>652031</v>
      </c>
      <c r="B596" s="192" t="inlineStr">
        <is>
          <t>tijdelijk beheer</t>
        </is>
      </c>
      <c r="C596" s="124" t="n"/>
      <c r="D596" s="8" t="inlineStr">
        <is>
          <t>volkshuisv., ro en stedelijke vernieuwing</t>
        </is>
      </c>
      <c r="E596" s="113" t="inlineStr">
        <is>
          <t>T83</t>
        </is>
      </c>
      <c r="F596" s="124" t="inlineStr">
        <is>
          <t>wonen en bouwen</t>
        </is>
      </c>
    </row>
    <row r="597">
      <c r="A597" s="192" t="n">
        <v>652032</v>
      </c>
      <c r="B597" s="192" t="inlineStr">
        <is>
          <t>algemene prijsaanpassingen grex</t>
        </is>
      </c>
      <c r="C597" s="124" t="n"/>
      <c r="D597" s="8" t="inlineStr">
        <is>
          <t>volkshuisv., ro en stedelijke vernieuwing</t>
        </is>
      </c>
      <c r="E597" s="113" t="inlineStr">
        <is>
          <t>T83</t>
        </is>
      </c>
      <c r="F597" s="124" t="inlineStr">
        <is>
          <t>wonen en bouwen</t>
        </is>
      </c>
    </row>
    <row r="598">
      <c r="A598" s="192" t="n">
        <v>652033</v>
      </c>
      <c r="B598" s="192" t="inlineStr">
        <is>
          <t>doorbelasting overhead aan grex</t>
        </is>
      </c>
      <c r="C598" s="124" t="n"/>
      <c r="D598" s="8" t="inlineStr">
        <is>
          <t>volkshuisv., ro en stedelijke vernieuwing</t>
        </is>
      </c>
      <c r="E598" s="113" t="inlineStr">
        <is>
          <t>T83</t>
        </is>
      </c>
      <c r="F598" s="124" t="inlineStr">
        <is>
          <t>wonen en bouwen</t>
        </is>
      </c>
    </row>
    <row r="599">
      <c r="A599" s="192" t="n">
        <v>652034</v>
      </c>
      <c r="B599" s="192" t="inlineStr">
        <is>
          <t>brm overige</t>
        </is>
      </c>
      <c r="C599" s="124" t="n"/>
      <c r="D599" s="8" t="inlineStr">
        <is>
          <t>volkshuisv., ro en stedelijke vernieuwing</t>
        </is>
      </c>
      <c r="E599" s="113" t="inlineStr">
        <is>
          <t>T83</t>
        </is>
      </c>
      <c r="F599" s="124" t="inlineStr">
        <is>
          <t>wonen en bouwen</t>
        </is>
      </c>
    </row>
    <row r="600">
      <c r="A600" s="192" t="n">
        <v>652035</v>
      </c>
      <c r="B600" s="192" t="inlineStr">
        <is>
          <t>wrm overige</t>
        </is>
      </c>
      <c r="C600" s="124" t="n"/>
      <c r="D600" s="8" t="inlineStr">
        <is>
          <t>volkshuisv., ro en stedelijke vernieuwing</t>
        </is>
      </c>
      <c r="E600" s="113" t="inlineStr">
        <is>
          <t>T83</t>
        </is>
      </c>
      <c r="F600" s="124" t="inlineStr">
        <is>
          <t>wonen en bouwen</t>
        </is>
      </c>
    </row>
    <row r="601">
      <c r="A601" s="192" t="n">
        <v>652901</v>
      </c>
      <c r="B601" s="192" t="inlineStr">
        <is>
          <t>directe toerek planvoorbereiding</t>
        </is>
      </c>
      <c r="C601" s="124" t="n"/>
      <c r="D601" s="8" t="inlineStr">
        <is>
          <t>volkshuisv., ro en stedelijke vernieuwing</t>
        </is>
      </c>
      <c r="E601" s="113" t="inlineStr">
        <is>
          <t>T83</t>
        </is>
      </c>
      <c r="F601" s="124" t="inlineStr">
        <is>
          <t>wonen en bouwen</t>
        </is>
      </c>
    </row>
    <row r="602">
      <c r="A602" s="192" t="n">
        <v>652902</v>
      </c>
      <c r="B602" s="192" t="inlineStr">
        <is>
          <t>directe toerek voorb toez uitv</t>
        </is>
      </c>
      <c r="C602" s="124" t="n"/>
      <c r="D602" s="8" t="inlineStr">
        <is>
          <t>volkshuisv., ro en stedelijke vernieuwing</t>
        </is>
      </c>
      <c r="E602" s="113" t="inlineStr">
        <is>
          <t>T83</t>
        </is>
      </c>
      <c r="F602" s="124" t="inlineStr">
        <is>
          <t>wonen en bouwen</t>
        </is>
      </c>
    </row>
    <row r="603">
      <c r="A603" s="192" t="n">
        <v>653001</v>
      </c>
      <c r="B603" s="192" t="inlineStr">
        <is>
          <t>welstandstoezicht</t>
        </is>
      </c>
      <c r="C603" s="124" t="n"/>
      <c r="D603" s="8" t="inlineStr">
        <is>
          <t>volkshuisv., ro en stedelijke vernieuwing</t>
        </is>
      </c>
      <c r="E603" s="113" t="inlineStr">
        <is>
          <t>T83</t>
        </is>
      </c>
      <c r="F603" s="124" t="inlineStr">
        <is>
          <t>wonen en bouwen</t>
        </is>
      </c>
    </row>
    <row r="604">
      <c r="A604" s="192" t="n">
        <v>653002</v>
      </c>
      <c r="B604" s="192" t="inlineStr">
        <is>
          <t>omgevingsvergunningen</t>
        </is>
      </c>
      <c r="C604" s="124" t="n"/>
      <c r="D604" s="8" t="inlineStr">
        <is>
          <t>volkshuisv., ro en stedelijke vernieuwing</t>
        </is>
      </c>
      <c r="E604" s="113" t="inlineStr">
        <is>
          <t>T83</t>
        </is>
      </c>
      <c r="F604" s="124" t="inlineStr">
        <is>
          <t>wonen en bouwen</t>
        </is>
      </c>
    </row>
    <row r="605">
      <c r="A605" s="192" t="n">
        <v>653003</v>
      </c>
      <c r="B605" s="192" t="inlineStr">
        <is>
          <t>odzob bouw</t>
        </is>
      </c>
      <c r="C605" s="124" t="n"/>
      <c r="D605" s="8" t="inlineStr">
        <is>
          <t>volkshuisv., ro en stedelijke vernieuwing</t>
        </is>
      </c>
      <c r="E605" s="113" t="inlineStr">
        <is>
          <t>T83</t>
        </is>
      </c>
      <c r="F605" s="124" t="inlineStr">
        <is>
          <t>wonen en bouwen</t>
        </is>
      </c>
    </row>
    <row r="606">
      <c r="A606" s="192" t="n">
        <v>653004</v>
      </c>
      <c r="B606" s="201" t="inlineStr">
        <is>
          <t>odzob collectieve taken</t>
        </is>
      </c>
      <c r="C606" s="124" t="n"/>
      <c r="D606" s="8" t="inlineStr">
        <is>
          <t>volkshuisv., ro en stedelijke vernieuwing</t>
        </is>
      </c>
      <c r="E606" s="113" t="inlineStr">
        <is>
          <t>T83</t>
        </is>
      </c>
      <c r="F606" s="124" t="inlineStr">
        <is>
          <t>wonen en bouwen</t>
        </is>
      </c>
    </row>
    <row r="607">
      <c r="A607" s="192" t="n">
        <v>653005</v>
      </c>
      <c r="B607" s="192" t="inlineStr">
        <is>
          <t>leges omgevingsvergunningen</t>
        </is>
      </c>
      <c r="C607" s="124" t="n"/>
      <c r="D607" s="8" t="inlineStr">
        <is>
          <t>volkshuisv., ro en stedelijke vernieuwing</t>
        </is>
      </c>
      <c r="E607" s="113" t="inlineStr">
        <is>
          <t>T83</t>
        </is>
      </c>
      <c r="F607" s="124" t="inlineStr">
        <is>
          <t>wonen en bouwen</t>
        </is>
      </c>
    </row>
    <row r="608">
      <c r="A608" s="192" t="n">
        <v>653006</v>
      </c>
      <c r="B608" s="192" t="inlineStr">
        <is>
          <t>handhaving ruimtelijke regelgeving</t>
        </is>
      </c>
      <c r="C608" s="124" t="n"/>
      <c r="D608" s="8" t="inlineStr">
        <is>
          <t>volkshuisv., ro en stedelijke vernieuwing</t>
        </is>
      </c>
      <c r="E608" s="113" t="inlineStr">
        <is>
          <t>T83</t>
        </is>
      </c>
      <c r="F608" s="124" t="inlineStr">
        <is>
          <t>wonen en bouwen</t>
        </is>
      </c>
    </row>
    <row r="609">
      <c r="A609" s="192" t="n">
        <v>653007</v>
      </c>
      <c r="B609" s="192" t="inlineStr">
        <is>
          <t>handhaving woonwagencentrum</t>
        </is>
      </c>
      <c r="C609" s="124" t="n"/>
      <c r="D609" s="8" t="inlineStr">
        <is>
          <t>volkshuisv., ro en stedelijke vernieuwing</t>
        </is>
      </c>
      <c r="E609" s="113" t="inlineStr">
        <is>
          <t>T83</t>
        </is>
      </c>
      <c r="F609" s="124" t="inlineStr">
        <is>
          <t>wonen en bouwen</t>
        </is>
      </c>
    </row>
    <row r="610">
      <c r="A610" s="192" t="n">
        <v>653008</v>
      </c>
      <c r="B610" s="192" t="inlineStr">
        <is>
          <t>wet bibob fase 2</t>
        </is>
      </c>
      <c r="C610" s="124" t="n"/>
      <c r="D610" s="8" t="inlineStr">
        <is>
          <t>volkshuisv., ro en stedelijke vernieuwing</t>
        </is>
      </c>
      <c r="E610" s="113" t="inlineStr">
        <is>
          <t>T83</t>
        </is>
      </c>
      <c r="F610" s="124" t="inlineStr">
        <is>
          <t>wonen en bouwen</t>
        </is>
      </c>
    </row>
    <row r="611">
      <c r="A611" s="192" t="n">
        <v>653009</v>
      </c>
      <c r="B611" s="192" t="inlineStr">
        <is>
          <t>odzob toezicht</t>
        </is>
      </c>
      <c r="C611" s="124" t="n"/>
      <c r="D611" s="8" t="inlineStr">
        <is>
          <t>volkshuisv., ro en stedelijke vernieuwing</t>
        </is>
      </c>
      <c r="E611" s="113" t="inlineStr">
        <is>
          <t>T83</t>
        </is>
      </c>
      <c r="F611" s="124" t="inlineStr">
        <is>
          <t>wonen en bouwen</t>
        </is>
      </c>
    </row>
    <row r="612">
      <c r="A612" s="192" t="n">
        <v>653010</v>
      </c>
      <c r="B612" s="201" t="inlineStr">
        <is>
          <t>odzob handhaving klacht afhandeling</t>
        </is>
      </c>
      <c r="C612" s="124" t="n"/>
      <c r="D612" s="8" t="inlineStr">
        <is>
          <t>volkshuisv., ro en stedelijke vernieuwing</t>
        </is>
      </c>
      <c r="E612" s="113" t="inlineStr">
        <is>
          <t>T83</t>
        </is>
      </c>
      <c r="F612" s="124" t="inlineStr">
        <is>
          <t>wonen en bouwen</t>
        </is>
      </c>
    </row>
    <row r="613">
      <c r="A613" s="192" t="n">
        <v>653011</v>
      </c>
      <c r="B613" s="201" t="inlineStr">
        <is>
          <t>odzob samen sterk in buitengebied</t>
        </is>
      </c>
      <c r="C613" s="124" t="n"/>
      <c r="D613" s="8" t="inlineStr">
        <is>
          <t>volkshuisv., ro en stedelijke vernieuwing</t>
        </is>
      </c>
      <c r="E613" s="113" t="inlineStr">
        <is>
          <t>T83</t>
        </is>
      </c>
      <c r="F613" s="124" t="inlineStr">
        <is>
          <t>wonen en bouwen</t>
        </is>
      </c>
    </row>
    <row r="614">
      <c r="A614" s="192" t="n">
        <v>653012</v>
      </c>
      <c r="B614" s="192" t="inlineStr">
        <is>
          <t>uitvoering urgentieverordening</t>
        </is>
      </c>
      <c r="C614" s="124" t="n"/>
      <c r="D614" s="8" t="inlineStr">
        <is>
          <t>volkshuisv., ro en stedelijke vernieuwing</t>
        </is>
      </c>
      <c r="E614" s="113" t="inlineStr">
        <is>
          <t>T83</t>
        </is>
      </c>
      <c r="F614" s="124" t="inlineStr">
        <is>
          <t>wonen en bouwen</t>
        </is>
      </c>
    </row>
    <row r="615">
      <c r="A615" s="192" t="n">
        <v>653013</v>
      </c>
      <c r="B615" s="192" t="inlineStr">
        <is>
          <t>woningbouwversnelling</t>
        </is>
      </c>
      <c r="C615" s="124" t="n"/>
      <c r="D615" s="8" t="inlineStr">
        <is>
          <t>volkshuisv., ro en stedelijke vernieuwing</t>
        </is>
      </c>
      <c r="E615" s="113" t="inlineStr">
        <is>
          <t>T83</t>
        </is>
      </c>
      <c r="F615" s="124" t="inlineStr">
        <is>
          <t>wonen en bouwen</t>
        </is>
      </c>
    </row>
    <row r="616">
      <c r="A616" s="192" t="n">
        <v>653014</v>
      </c>
      <c r="B616" s="192" t="inlineStr">
        <is>
          <t>leefbare en duurzame wijken</t>
        </is>
      </c>
      <c r="C616" s="124" t="n"/>
      <c r="D616" s="8" t="inlineStr">
        <is>
          <t>volkshuisv., ro en stedelijke vernieuwing</t>
        </is>
      </c>
      <c r="E616" s="113" t="inlineStr">
        <is>
          <t>T83</t>
        </is>
      </c>
      <c r="F616" s="124" t="inlineStr">
        <is>
          <t>wonen en bouwen</t>
        </is>
      </c>
    </row>
    <row r="617">
      <c r="A617" s="192" t="n">
        <v>653901</v>
      </c>
      <c r="B617" s="192" t="inlineStr">
        <is>
          <t>directe toerek wonen en bouwen</t>
        </is>
      </c>
      <c r="C617" s="124" t="n"/>
      <c r="D617" s="8" t="inlineStr">
        <is>
          <t>volkshuisv., ro en stedelijke vernieuwing</t>
        </is>
      </c>
      <c r="E617" s="113" t="inlineStr">
        <is>
          <t>T83</t>
        </is>
      </c>
      <c r="F617" s="124" t="inlineStr">
        <is>
          <t>wonen en bouwen</t>
        </is>
      </c>
    </row>
    <row r="618">
      <c r="A618" s="192" t="n">
        <v>653902</v>
      </c>
      <c r="B618" s="192" t="inlineStr">
        <is>
          <t>directe toerek verg wonen titel 2</t>
        </is>
      </c>
      <c r="C618" s="124" t="n"/>
      <c r="D618" s="8" t="inlineStr">
        <is>
          <t>volkshuisv., ro en stedelijke vernieuwing</t>
        </is>
      </c>
      <c r="E618" s="113" t="inlineStr">
        <is>
          <t>T83</t>
        </is>
      </c>
      <c r="F618" s="124" t="inlineStr">
        <is>
          <t>wonen en bouwen</t>
        </is>
      </c>
    </row>
    <row r="619">
      <c r="A619" s="192" t="n">
        <v>678001</v>
      </c>
      <c r="B619" s="192" t="inlineStr">
        <is>
          <t>hulpmiddelen rolstoelen</t>
        </is>
      </c>
      <c r="C619" s="124" t="n"/>
      <c r="D619" s="8" t="inlineStr">
        <is>
          <t>sociaal domein</t>
        </is>
      </c>
      <c r="E619" s="192" t="inlineStr">
        <is>
          <t>T660</t>
        </is>
      </c>
      <c r="F619" s="192" t="inlineStr">
        <is>
          <t>hulpmiddelen en diensten</t>
        </is>
      </c>
    </row>
    <row r="620">
      <c r="A620" s="192" t="n">
        <v>678002</v>
      </c>
      <c r="B620" s="192" t="inlineStr">
        <is>
          <t>coll vaagafhankelijk vervoer</t>
        </is>
      </c>
      <c r="C620" s="124" t="n"/>
      <c r="D620" s="8" t="inlineStr">
        <is>
          <t>sociaal domein</t>
        </is>
      </c>
      <c r="E620" s="192" t="inlineStr">
        <is>
          <t>T660</t>
        </is>
      </c>
      <c r="F620" s="192" t="inlineStr">
        <is>
          <t>hulpmiddelen en diensten</t>
        </is>
      </c>
    </row>
    <row r="621">
      <c r="A621" s="192" t="n">
        <v>678003</v>
      </c>
      <c r="B621" s="192" t="inlineStr">
        <is>
          <t>hulpmiddelen vervoersvoorzieningen</t>
        </is>
      </c>
      <c r="C621" s="124" t="n"/>
      <c r="D621" s="8" t="inlineStr">
        <is>
          <t>sociaal domein</t>
        </is>
      </c>
      <c r="E621" s="192" t="inlineStr">
        <is>
          <t>T660</t>
        </is>
      </c>
      <c r="F621" s="192" t="inlineStr">
        <is>
          <t>hulpmiddelen en diensten</t>
        </is>
      </c>
    </row>
    <row r="622">
      <c r="A622" s="192" t="n">
        <v>678004</v>
      </c>
      <c r="B622" s="192" t="inlineStr">
        <is>
          <t>gehandicaptenparkeerkaart</t>
        </is>
      </c>
      <c r="C622" s="124" t="n"/>
      <c r="D622" s="8" t="inlineStr">
        <is>
          <t>sociaal domein</t>
        </is>
      </c>
      <c r="E622" s="192" t="inlineStr">
        <is>
          <t>T660</t>
        </is>
      </c>
      <c r="F622" s="192" t="inlineStr">
        <is>
          <t>hulpmiddelen en diensten</t>
        </is>
      </c>
    </row>
    <row r="623">
      <c r="A623" s="192" t="n">
        <v>678005</v>
      </c>
      <c r="B623" s="192" t="inlineStr">
        <is>
          <t>aanpassing hulpmiddelen</t>
        </is>
      </c>
      <c r="C623" s="124" t="n"/>
      <c r="D623" s="8" t="inlineStr">
        <is>
          <t>sociaal domein</t>
        </is>
      </c>
      <c r="E623" s="192" t="inlineStr">
        <is>
          <t>T660</t>
        </is>
      </c>
      <c r="F623" s="192" t="inlineStr">
        <is>
          <t>hulpmiddelen en diensten</t>
        </is>
      </c>
    </row>
    <row r="624">
      <c r="A624" s="192" t="n">
        <v>678006</v>
      </c>
      <c r="B624" s="192" t="inlineStr">
        <is>
          <t>hulpmiddelen woonvoorziengen</t>
        </is>
      </c>
      <c r="C624" s="124" t="n"/>
      <c r="D624" s="8" t="inlineStr">
        <is>
          <t>sociaal domein</t>
        </is>
      </c>
      <c r="E624" s="192" t="inlineStr">
        <is>
          <t>T660</t>
        </is>
      </c>
      <c r="F624" s="192" t="inlineStr">
        <is>
          <t>hulpmiddelen en diensten</t>
        </is>
      </c>
    </row>
    <row r="625">
      <c r="A625" s="192" t="n">
        <v>678007</v>
      </c>
      <c r="B625" s="192" t="inlineStr">
        <is>
          <t>trapliften</t>
        </is>
      </c>
      <c r="C625" s="124" t="n"/>
      <c r="D625" s="8" t="inlineStr">
        <is>
          <t>sociaal domein</t>
        </is>
      </c>
      <c r="E625" s="192" t="inlineStr">
        <is>
          <t>T660</t>
        </is>
      </c>
      <c r="F625" s="192" t="inlineStr">
        <is>
          <t>hulpmiddelen en diensten</t>
        </is>
      </c>
    </row>
    <row r="626">
      <c r="A626" s="192" t="n">
        <v>678008</v>
      </c>
      <c r="B626" s="192" t="inlineStr">
        <is>
          <t>woningaanpassingen</t>
        </is>
      </c>
      <c r="C626" s="124" t="n"/>
      <c r="D626" s="8" t="inlineStr">
        <is>
          <t>sociaal domein</t>
        </is>
      </c>
      <c r="E626" s="192" t="inlineStr">
        <is>
          <t>T660</t>
        </is>
      </c>
      <c r="F626" s="192" t="inlineStr">
        <is>
          <t>hulpmiddelen en diensten</t>
        </is>
      </c>
    </row>
    <row r="627">
      <c r="A627" s="192" t="n">
        <v>678009</v>
      </c>
      <c r="B627" s="192" t="inlineStr">
        <is>
          <t>sociaal medische adviezen</t>
        </is>
      </c>
      <c r="C627" s="124" t="n"/>
      <c r="D627" s="8" t="inlineStr">
        <is>
          <t>sociaal domein</t>
        </is>
      </c>
      <c r="E627" s="192" t="inlineStr">
        <is>
          <t>T660</t>
        </is>
      </c>
      <c r="F627" s="192" t="inlineStr">
        <is>
          <t>hulpmiddelen en diensten</t>
        </is>
      </c>
    </row>
    <row r="628">
      <c r="A628" s="192" t="n">
        <v>678010</v>
      </c>
      <c r="B628" s="201" t="inlineStr">
        <is>
          <t>uitvoeringskosten nota moz</t>
        </is>
      </c>
      <c r="C628" s="124" t="n"/>
      <c r="D628" s="8" t="inlineStr">
        <is>
          <t>sociaal domein</t>
        </is>
      </c>
      <c r="E628" s="192" t="inlineStr">
        <is>
          <t>T660</t>
        </is>
      </c>
      <c r="F628" s="192" t="inlineStr">
        <is>
          <t>hulpmiddelen en diensten</t>
        </is>
      </c>
    </row>
    <row r="629">
      <c r="A629" s="192" t="n">
        <v>678011</v>
      </c>
      <c r="B629" s="201" t="inlineStr">
        <is>
          <t>uitvoeringskosten nota wonen en zorg</t>
        </is>
      </c>
      <c r="C629" s="124" t="n"/>
      <c r="D629" s="8" t="inlineStr">
        <is>
          <t>sociaal domein</t>
        </is>
      </c>
      <c r="E629" s="192" t="inlineStr">
        <is>
          <t>T660</t>
        </is>
      </c>
      <c r="F629" s="192" t="inlineStr">
        <is>
          <t>hulpmiddelen en diensten</t>
        </is>
      </c>
    </row>
    <row r="630">
      <c r="A630" s="192" t="n">
        <v>678901</v>
      </c>
      <c r="B630" s="192" t="inlineStr">
        <is>
          <t>directe toerek maatw voorz wmo</t>
        </is>
      </c>
      <c r="C630" s="124" t="n"/>
      <c r="D630" s="8" t="inlineStr">
        <is>
          <t>sociaal domein</t>
        </is>
      </c>
      <c r="E630" s="192" t="inlineStr">
        <is>
          <t>T660</t>
        </is>
      </c>
      <c r="F630" s="192" t="inlineStr">
        <is>
          <t>hulpmiddelen en diensten</t>
        </is>
      </c>
    </row>
    <row r="631">
      <c r="A631" s="192" t="n">
        <v>679001</v>
      </c>
      <c r="B631" s="124" t="inlineStr">
        <is>
          <t>huishoudelijke ondersteuning</t>
        </is>
      </c>
      <c r="C631" s="124" t="n"/>
      <c r="D631" s="8" t="inlineStr">
        <is>
          <t>sociaal domein</t>
        </is>
      </c>
      <c r="E631" s="192" t="inlineStr">
        <is>
          <t>T6711</t>
        </is>
      </c>
      <c r="F631" s="192" t="inlineStr">
        <is>
          <t>huishoudelijke hulp (wmo)</t>
        </is>
      </c>
    </row>
    <row r="632">
      <c r="A632" s="192" t="n">
        <v>679002</v>
      </c>
      <c r="B632" s="124" t="inlineStr">
        <is>
          <t>eigen bijdr huishoudlk ondersteuning</t>
        </is>
      </c>
      <c r="C632" s="124" t="n"/>
      <c r="D632" s="8" t="inlineStr">
        <is>
          <t>sociaal domein</t>
        </is>
      </c>
      <c r="E632" s="192" t="inlineStr">
        <is>
          <t>T6711</t>
        </is>
      </c>
      <c r="F632" s="192" t="inlineStr">
        <is>
          <t>huishoudelijke hulp (wmo)</t>
        </is>
      </c>
    </row>
    <row r="633">
      <c r="A633" s="192" t="n">
        <v>679901</v>
      </c>
      <c r="B633" s="124" t="inlineStr">
        <is>
          <t>directe toerek hulp huishouden (wmo)</t>
        </is>
      </c>
      <c r="C633" s="124" t="n"/>
      <c r="D633" s="8" t="inlineStr">
        <is>
          <t>sociaal domein</t>
        </is>
      </c>
      <c r="E633" s="192" t="inlineStr">
        <is>
          <t>T6711</t>
        </is>
      </c>
      <c r="F633" s="192" t="inlineStr">
        <is>
          <t>huishoudelijke hulp (wmo)</t>
        </is>
      </c>
    </row>
    <row r="634">
      <c r="A634" s="192" t="n">
        <v>680001</v>
      </c>
      <c r="B634" s="207" t="inlineStr">
        <is>
          <t>wmo begeleiding</t>
        </is>
      </c>
      <c r="C634" s="124" t="n"/>
      <c r="D634" s="8" t="inlineStr">
        <is>
          <t>sociaal domein</t>
        </is>
      </c>
      <c r="E634" s="192" t="inlineStr">
        <is>
          <t>T6712</t>
        </is>
      </c>
      <c r="F634" s="192" t="inlineStr">
        <is>
          <t>begeleiding (wmo)</t>
        </is>
      </c>
    </row>
    <row r="635">
      <c r="A635" s="192" t="n">
        <v>680002</v>
      </c>
      <c r="B635" s="207" t="inlineStr">
        <is>
          <t>eigen bijdr wmo begeleiding</t>
        </is>
      </c>
      <c r="C635" s="124" t="n"/>
      <c r="D635" s="8" t="inlineStr">
        <is>
          <t>sociaal domein</t>
        </is>
      </c>
      <c r="E635" s="192" t="inlineStr">
        <is>
          <t>T6712</t>
        </is>
      </c>
      <c r="F635" s="192" t="inlineStr">
        <is>
          <t>begeleiding (wmo)</t>
        </is>
      </c>
    </row>
    <row r="636">
      <c r="A636" s="192" t="n">
        <v>680901</v>
      </c>
      <c r="B636" s="124" t="inlineStr">
        <is>
          <t>directe toerek begeleiding (wmo)</t>
        </is>
      </c>
      <c r="C636" s="124" t="n"/>
      <c r="D636" s="8" t="inlineStr">
        <is>
          <t>sociaal domein</t>
        </is>
      </c>
      <c r="E636" s="192" t="inlineStr">
        <is>
          <t>T6712</t>
        </is>
      </c>
      <c r="F636" s="192" t="inlineStr">
        <is>
          <t>begeleiding (wmo)</t>
        </is>
      </c>
    </row>
    <row r="637">
      <c r="A637" s="192" t="n">
        <v>681001</v>
      </c>
      <c r="B637" s="207" t="inlineStr">
        <is>
          <t>wmo dagbesteding</t>
        </is>
      </c>
      <c r="C637" s="124" t="n"/>
      <c r="D637" s="8" t="inlineStr">
        <is>
          <t>sociaal domein</t>
        </is>
      </c>
      <c r="E637" s="192" t="inlineStr">
        <is>
          <t>T6713</t>
        </is>
      </c>
      <c r="F637" s="192" t="inlineStr">
        <is>
          <t>dagbesteding (wmo)</t>
        </is>
      </c>
    </row>
    <row r="638">
      <c r="A638" s="192" t="n">
        <v>681002</v>
      </c>
      <c r="B638" s="207" t="inlineStr">
        <is>
          <t>inloopfunctie ggz</t>
        </is>
      </c>
      <c r="C638" s="124" t="n"/>
      <c r="D638" s="8" t="inlineStr">
        <is>
          <t>sociaal domein</t>
        </is>
      </c>
      <c r="E638" s="192" t="inlineStr">
        <is>
          <t>T6713</t>
        </is>
      </c>
      <c r="F638" s="192" t="inlineStr">
        <is>
          <t>dagbesteding (wmo)</t>
        </is>
      </c>
    </row>
    <row r="639">
      <c r="A639" s="192" t="n">
        <v>681901</v>
      </c>
      <c r="B639" s="124" t="inlineStr">
        <is>
          <t>directe toerek dagbesteding (wmo)</t>
        </is>
      </c>
      <c r="C639" s="124" t="n"/>
      <c r="D639" s="8" t="inlineStr">
        <is>
          <t>sociaal domein</t>
        </is>
      </c>
      <c r="E639" s="192" t="inlineStr">
        <is>
          <t>T6713</t>
        </is>
      </c>
      <c r="F639" s="192" t="inlineStr">
        <is>
          <t>dagbesteding (wmo)</t>
        </is>
      </c>
    </row>
    <row r="640">
      <c r="A640" s="192" t="n">
        <v>682001</v>
      </c>
      <c r="B640" s="207" t="inlineStr">
        <is>
          <t>overige maatwerkarrangementen wmo</t>
        </is>
      </c>
      <c r="C640" s="124" t="n"/>
      <c r="D640" s="8" t="inlineStr">
        <is>
          <t>sociaal domein</t>
        </is>
      </c>
      <c r="E640" s="192" t="inlineStr">
        <is>
          <t>T6714</t>
        </is>
      </c>
      <c r="F640" s="192" t="inlineStr">
        <is>
          <t>overige maatwerkarrangementen (wmo)</t>
        </is>
      </c>
    </row>
    <row r="641">
      <c r="A641" s="192" t="n">
        <v>682901</v>
      </c>
      <c r="B641" s="124" t="inlineStr">
        <is>
          <t>directe toerek ov maatwerkarrangem</t>
        </is>
      </c>
      <c r="C641" s="124" t="n"/>
      <c r="D641" s="8" t="inlineStr">
        <is>
          <t>sociaal domein</t>
        </is>
      </c>
      <c r="E641" s="192" t="inlineStr">
        <is>
          <t>T6714</t>
        </is>
      </c>
      <c r="F641" s="192" t="inlineStr">
        <is>
          <t>overige maatwerkarrangementen (wmo)</t>
        </is>
      </c>
    </row>
    <row r="642">
      <c r="A642" s="192" t="n">
        <v>683001</v>
      </c>
      <c r="B642" s="208" t="inlineStr">
        <is>
          <t>pgb's op grond van de wmo</t>
        </is>
      </c>
      <c r="C642" s="124" t="n"/>
      <c r="D642" s="8" t="inlineStr">
        <is>
          <t>sociaal domein</t>
        </is>
      </c>
      <c r="E642" s="192" t="inlineStr">
        <is>
          <t>T6791</t>
        </is>
      </c>
      <c r="F642" s="192" t="inlineStr">
        <is>
          <t>pgb wmo</t>
        </is>
      </c>
    </row>
    <row r="643">
      <c r="A643" s="192" t="n">
        <v>683901</v>
      </c>
      <c r="B643" s="208" t="inlineStr">
        <is>
          <t>directe toerek pgb's wmo</t>
        </is>
      </c>
      <c r="C643" s="124" t="n"/>
      <c r="D643" s="8" t="inlineStr">
        <is>
          <t>sociaal domein</t>
        </is>
      </c>
      <c r="E643" s="192" t="inlineStr">
        <is>
          <t>T6791</t>
        </is>
      </c>
      <c r="F643" s="192" t="inlineStr">
        <is>
          <t>pgb wmo</t>
        </is>
      </c>
    </row>
    <row r="644">
      <c r="A644" s="192" t="n">
        <v>684901</v>
      </c>
      <c r="B644" s="208" t="inlineStr">
        <is>
          <t>directe toerek perslstn wmo</t>
        </is>
      </c>
      <c r="C644" s="124" t="n"/>
      <c r="D644" s="8" t="inlineStr">
        <is>
          <t>sociaal domein</t>
        </is>
      </c>
      <c r="E644" s="192" t="inlineStr">
        <is>
          <t>T691</t>
        </is>
      </c>
      <c r="F644" s="192" t="inlineStr">
        <is>
          <t>coordinatie en beleid wmo</t>
        </is>
      </c>
    </row>
    <row r="645">
      <c r="A645" s="192" t="n">
        <v>685001</v>
      </c>
      <c r="B645" s="207" t="inlineStr">
        <is>
          <t>wmo beschermd wonen</t>
        </is>
      </c>
      <c r="C645" s="124" t="n"/>
      <c r="D645" s="8" t="inlineStr">
        <is>
          <t>sociaal domein</t>
        </is>
      </c>
      <c r="E645" s="192" t="inlineStr">
        <is>
          <t>T6811</t>
        </is>
      </c>
      <c r="F645" s="192" t="inlineStr">
        <is>
          <t>beschermd women (wmo)</t>
        </is>
      </c>
    </row>
    <row r="646">
      <c r="A646" s="192" t="n">
        <v>685901</v>
      </c>
      <c r="B646" s="124" t="inlineStr">
        <is>
          <t>directe toerek beschermd wonen</t>
        </is>
      </c>
      <c r="C646" s="124" t="n"/>
      <c r="D646" s="8" t="inlineStr">
        <is>
          <t>sociaal domein</t>
        </is>
      </c>
      <c r="E646" s="192" t="inlineStr">
        <is>
          <t>T6811</t>
        </is>
      </c>
      <c r="F646" s="192" t="inlineStr">
        <is>
          <t>beschermd women (wmo)</t>
        </is>
      </c>
    </row>
    <row r="647">
      <c r="A647" s="192" t="n">
        <v>686001</v>
      </c>
      <c r="B647" s="207" t="inlineStr">
        <is>
          <t>maatschappelijke- en vrouwenopvang</t>
        </is>
      </c>
      <c r="C647" s="124" t="n"/>
      <c r="D647" s="8" t="inlineStr">
        <is>
          <t>sociaal domein</t>
        </is>
      </c>
      <c r="E647" s="192" t="inlineStr">
        <is>
          <t>T6812</t>
        </is>
      </c>
      <c r="F647" s="192" t="inlineStr">
        <is>
          <t>maatschappelijke- en vrouwenopvang (wmo)</t>
        </is>
      </c>
    </row>
    <row r="648">
      <c r="A648" s="192" t="n">
        <v>686901</v>
      </c>
      <c r="B648" s="124" t="inlineStr">
        <is>
          <t>directe toerek maatschap/vrouwenopv</t>
        </is>
      </c>
      <c r="C648" s="124" t="n"/>
      <c r="D648" s="8" t="inlineStr">
        <is>
          <t>sociaal domein</t>
        </is>
      </c>
      <c r="E648" s="192" t="inlineStr">
        <is>
          <t>T6812</t>
        </is>
      </c>
      <c r="F648" s="192" t="inlineStr">
        <is>
          <t>maatschappelijke- en vrouwenopvang (wmo)</t>
        </is>
      </c>
    </row>
    <row r="649">
      <c r="A649" s="192" t="n">
        <v>687001</v>
      </c>
      <c r="B649" s="208" t="inlineStr">
        <is>
          <t>jeugdhulp begeleiding lokaal</t>
        </is>
      </c>
      <c r="C649" s="124" t="n"/>
      <c r="D649" s="8" t="inlineStr">
        <is>
          <t>sociaal domein</t>
        </is>
      </c>
      <c r="E649" s="192" t="inlineStr">
        <is>
          <t>T6751</t>
        </is>
      </c>
      <c r="F649" s="192" t="inlineStr">
        <is>
          <t>jeugdhulp ambulant lokaal</t>
        </is>
      </c>
    </row>
    <row r="650">
      <c r="A650" s="192" t="n">
        <v>687002</v>
      </c>
      <c r="B650" s="207" t="inlineStr">
        <is>
          <t>jeugdhulp behandeling lokaal</t>
        </is>
      </c>
      <c r="C650" s="124" t="n"/>
      <c r="D650" s="8" t="inlineStr">
        <is>
          <t>sociaal domein</t>
        </is>
      </c>
      <c r="E650" s="192" t="inlineStr">
        <is>
          <t>T6751</t>
        </is>
      </c>
      <c r="F650" s="192" t="inlineStr">
        <is>
          <t>jeugdhulp ambulant lokaal</t>
        </is>
      </c>
    </row>
    <row r="651">
      <c r="A651" s="192" t="n">
        <v>687003</v>
      </c>
      <c r="B651" s="207" t="inlineStr">
        <is>
          <t>jeugdhulp dagbesteding lokaal</t>
        </is>
      </c>
      <c r="C651" s="124" t="n"/>
      <c r="D651" s="8" t="inlineStr">
        <is>
          <t>sociaal domein</t>
        </is>
      </c>
      <c r="E651" s="192" t="inlineStr">
        <is>
          <t>T6751</t>
        </is>
      </c>
      <c r="F651" s="192" t="inlineStr">
        <is>
          <t>jeugdhulp ambulant lokaal</t>
        </is>
      </c>
    </row>
    <row r="652">
      <c r="A652" s="192" t="n">
        <v>687004</v>
      </c>
      <c r="B652" s="207" t="inlineStr">
        <is>
          <t>ov jeugdhulp zond verbl lokaal</t>
        </is>
      </c>
      <c r="C652" s="124" t="n"/>
      <c r="D652" s="8" t="inlineStr">
        <is>
          <t>sociaal domein</t>
        </is>
      </c>
      <c r="E652" s="192" t="inlineStr">
        <is>
          <t>T6751</t>
        </is>
      </c>
      <c r="F652" s="192" t="inlineStr">
        <is>
          <t>jeugdhulp ambulant lokaal</t>
        </is>
      </c>
    </row>
    <row r="653">
      <c r="A653" s="192" t="n">
        <v>687005</v>
      </c>
      <c r="B653" s="207" t="inlineStr">
        <is>
          <t>jeugdhulp ggz zond verbl lokaal</t>
        </is>
      </c>
      <c r="C653" s="124" t="n"/>
      <c r="D653" s="8" t="inlineStr">
        <is>
          <t>sociaal domein</t>
        </is>
      </c>
      <c r="E653" s="192" t="inlineStr">
        <is>
          <t>T6751</t>
        </is>
      </c>
      <c r="F653" s="192" t="inlineStr">
        <is>
          <t>jeugdhulp ambulant lokaal</t>
        </is>
      </c>
    </row>
    <row r="654">
      <c r="A654" s="192" t="n">
        <v>687901</v>
      </c>
      <c r="B654" s="208" t="inlineStr">
        <is>
          <t>directe toerek jeugdhulp amb lokaal</t>
        </is>
      </c>
      <c r="C654" s="124" t="n"/>
      <c r="D654" s="8" t="inlineStr">
        <is>
          <t>sociaal domein</t>
        </is>
      </c>
      <c r="E654" s="192" t="inlineStr">
        <is>
          <t>T6751</t>
        </is>
      </c>
      <c r="F654" s="192" t="inlineStr">
        <is>
          <t>jeugdhulp ambulant lokaal</t>
        </is>
      </c>
    </row>
    <row r="655">
      <c r="A655" s="192" t="n">
        <v>688001</v>
      </c>
      <c r="B655" s="208" t="inlineStr">
        <is>
          <t>jeugdhulp begeleiding regionaal</t>
        </is>
      </c>
      <c r="C655" s="124" t="n"/>
      <c r="D655" s="8" t="inlineStr">
        <is>
          <t>sociaal domein</t>
        </is>
      </c>
      <c r="E655" s="192" t="inlineStr">
        <is>
          <t>T6752</t>
        </is>
      </c>
      <c r="F655" s="192" t="inlineStr">
        <is>
          <t>jeugdhulp ambulant regionaal</t>
        </is>
      </c>
    </row>
    <row r="656">
      <c r="A656" s="192" t="n">
        <v>688002</v>
      </c>
      <c r="B656" s="207" t="inlineStr">
        <is>
          <t>jeugdhulp behandeling regionaal</t>
        </is>
      </c>
      <c r="C656" s="124" t="n"/>
      <c r="D656" s="8" t="inlineStr">
        <is>
          <t>sociaal domein</t>
        </is>
      </c>
      <c r="E656" s="192" t="inlineStr">
        <is>
          <t>T6752</t>
        </is>
      </c>
      <c r="F656" s="192" t="inlineStr">
        <is>
          <t>jeugdhulp ambulant regionaal</t>
        </is>
      </c>
    </row>
    <row r="657">
      <c r="A657" s="192" t="n">
        <v>688003</v>
      </c>
      <c r="B657" s="207" t="inlineStr">
        <is>
          <t>jeugdhulp dagbesteding regionaal</t>
        </is>
      </c>
      <c r="C657" s="124" t="n"/>
      <c r="D657" s="8" t="inlineStr">
        <is>
          <t>sociaal domein</t>
        </is>
      </c>
      <c r="E657" s="192" t="inlineStr">
        <is>
          <t>T6752</t>
        </is>
      </c>
      <c r="F657" s="192" t="inlineStr">
        <is>
          <t>jeugdhulp ambulant regionaal</t>
        </is>
      </c>
    </row>
    <row r="658">
      <c r="A658" s="192" t="n">
        <v>688004</v>
      </c>
      <c r="B658" s="207" t="inlineStr">
        <is>
          <t>ov jeugdhulp zond verbl regionaal</t>
        </is>
      </c>
      <c r="C658" s="124" t="n"/>
      <c r="D658" s="8" t="inlineStr">
        <is>
          <t>sociaal domein</t>
        </is>
      </c>
      <c r="E658" s="192" t="inlineStr">
        <is>
          <t>T6752</t>
        </is>
      </c>
      <c r="F658" s="192" t="inlineStr">
        <is>
          <t>jeugdhulp ambulant regionaal</t>
        </is>
      </c>
    </row>
    <row r="659">
      <c r="A659" s="192" t="n">
        <v>688005</v>
      </c>
      <c r="B659" s="207" t="inlineStr">
        <is>
          <t>jeugdhulp ggz zond verbl regionaal</t>
        </is>
      </c>
      <c r="C659" s="124" t="n"/>
      <c r="D659" s="8" t="inlineStr">
        <is>
          <t>sociaal domein</t>
        </is>
      </c>
      <c r="E659" s="192" t="inlineStr">
        <is>
          <t>T6752</t>
        </is>
      </c>
      <c r="F659" s="192" t="inlineStr">
        <is>
          <t>jeugdhulp ambulant regionaal</t>
        </is>
      </c>
    </row>
    <row r="660">
      <c r="A660" s="192" t="n">
        <v>688006</v>
      </c>
      <c r="B660" s="207" t="inlineStr">
        <is>
          <t>sociaal medische adviezen jeugd</t>
        </is>
      </c>
      <c r="C660" s="124" t="n"/>
      <c r="D660" s="8" t="inlineStr">
        <is>
          <t>sociaal domein</t>
        </is>
      </c>
      <c r="E660" s="192" t="inlineStr">
        <is>
          <t>T6752</t>
        </is>
      </c>
      <c r="F660" s="192" t="inlineStr">
        <is>
          <t>jeugdhulp ambulant regionaal</t>
        </is>
      </c>
    </row>
    <row r="661">
      <c r="A661" s="192" t="n">
        <v>688901</v>
      </c>
      <c r="B661" s="208" t="inlineStr">
        <is>
          <t>directe toerek jeugdhulp amb regionl</t>
        </is>
      </c>
      <c r="C661" s="124" t="n"/>
      <c r="D661" s="8" t="inlineStr">
        <is>
          <t>sociaal domein</t>
        </is>
      </c>
      <c r="E661" s="192" t="inlineStr">
        <is>
          <t>T6752</t>
        </is>
      </c>
      <c r="F661" s="192" t="inlineStr">
        <is>
          <t>jeugdhulp ambulant regionaal</t>
        </is>
      </c>
    </row>
    <row r="662">
      <c r="A662" s="192" t="n">
        <v>689001</v>
      </c>
      <c r="B662" s="208" t="inlineStr">
        <is>
          <t>jeugdhulp begeleiding landelijk</t>
        </is>
      </c>
      <c r="C662" s="124" t="n"/>
      <c r="D662" s="8" t="inlineStr">
        <is>
          <t>sociaal domein</t>
        </is>
      </c>
      <c r="E662" s="192" t="inlineStr">
        <is>
          <t>T6753</t>
        </is>
      </c>
      <c r="F662" s="192" t="inlineStr">
        <is>
          <t>jeugdhulp ambulant landelijk</t>
        </is>
      </c>
    </row>
    <row r="663">
      <c r="A663" s="192" t="n">
        <v>689002</v>
      </c>
      <c r="B663" s="207" t="inlineStr">
        <is>
          <t>jeugdhulp behandeling landelijk</t>
        </is>
      </c>
      <c r="C663" s="124" t="n"/>
      <c r="D663" s="8" t="inlineStr">
        <is>
          <t>sociaal domein</t>
        </is>
      </c>
      <c r="E663" s="192" t="inlineStr">
        <is>
          <t>T6753</t>
        </is>
      </c>
      <c r="F663" s="192" t="inlineStr">
        <is>
          <t>jeugdhulp ambulant landelijk</t>
        </is>
      </c>
    </row>
    <row r="664">
      <c r="A664" s="192" t="n">
        <v>689003</v>
      </c>
      <c r="B664" s="207" t="inlineStr">
        <is>
          <t>jeugdhulp dagbesteding landelijk</t>
        </is>
      </c>
      <c r="C664" s="124" t="n"/>
      <c r="D664" s="8" t="inlineStr">
        <is>
          <t>sociaal domein</t>
        </is>
      </c>
      <c r="E664" s="192" t="inlineStr">
        <is>
          <t>T6753</t>
        </is>
      </c>
      <c r="F664" s="192" t="inlineStr">
        <is>
          <t>jeugdhulp ambulant landelijk</t>
        </is>
      </c>
    </row>
    <row r="665">
      <c r="A665" s="192" t="n">
        <v>689004</v>
      </c>
      <c r="B665" s="207" t="inlineStr">
        <is>
          <t>ov jeugdhulp zond verbl landelijk</t>
        </is>
      </c>
      <c r="C665" s="124" t="n"/>
      <c r="D665" s="8" t="inlineStr">
        <is>
          <t>sociaal domein</t>
        </is>
      </c>
      <c r="E665" s="192" t="inlineStr">
        <is>
          <t>T6753</t>
        </is>
      </c>
      <c r="F665" s="192" t="inlineStr">
        <is>
          <t>jeugdhulp ambulant landelijk</t>
        </is>
      </c>
    </row>
    <row r="666">
      <c r="A666" s="192" t="n">
        <v>689005</v>
      </c>
      <c r="B666" s="207" t="inlineStr">
        <is>
          <t>jeugdhulp ggz zond verbl landelijk</t>
        </is>
      </c>
      <c r="C666" s="124" t="n"/>
      <c r="D666" s="8" t="inlineStr">
        <is>
          <t>sociaal domein</t>
        </is>
      </c>
      <c r="E666" s="192" t="inlineStr">
        <is>
          <t>T6753</t>
        </is>
      </c>
      <c r="F666" s="192" t="inlineStr">
        <is>
          <t>jeugdhulp ambulant landelijk</t>
        </is>
      </c>
    </row>
    <row r="667">
      <c r="A667" s="192" t="n">
        <v>689901</v>
      </c>
      <c r="B667" s="208" t="inlineStr">
        <is>
          <t>directe toerek jeugdhulp amb landelk</t>
        </is>
      </c>
      <c r="C667" s="124" t="n"/>
      <c r="D667" s="8" t="inlineStr">
        <is>
          <t>sociaal domein</t>
        </is>
      </c>
      <c r="E667" s="192" t="inlineStr">
        <is>
          <t>T6753</t>
        </is>
      </c>
      <c r="F667" s="192" t="inlineStr">
        <is>
          <t>jeugdhulp ambulant landelijk</t>
        </is>
      </c>
    </row>
    <row r="668">
      <c r="A668" s="192" t="n">
        <v>690001</v>
      </c>
      <c r="B668" s="208" t="inlineStr">
        <is>
          <t>pleegzorg verblijf lokaal</t>
        </is>
      </c>
      <c r="C668" s="124" t="n"/>
      <c r="D668" s="8" t="inlineStr">
        <is>
          <t>sociaal domein</t>
        </is>
      </c>
      <c r="E668" s="192" t="inlineStr">
        <is>
          <t>T6761</t>
        </is>
      </c>
      <c r="F668" s="192" t="inlineStr">
        <is>
          <t>jeugdhulp met verblijf lokaal</t>
        </is>
      </c>
    </row>
    <row r="669">
      <c r="A669" s="192" t="n">
        <v>690002</v>
      </c>
      <c r="B669" s="207" t="inlineStr">
        <is>
          <t>gezinsgerichte jeugdhulp lokaal</t>
        </is>
      </c>
      <c r="C669" s="124" t="n"/>
      <c r="D669" s="8" t="inlineStr">
        <is>
          <t>sociaal domein</t>
        </is>
      </c>
      <c r="E669" s="192" t="inlineStr">
        <is>
          <t>T6761</t>
        </is>
      </c>
      <c r="F669" s="192" t="inlineStr">
        <is>
          <t>jeugdhulp met verblijf lokaal</t>
        </is>
      </c>
    </row>
    <row r="670">
      <c r="A670" s="192" t="n">
        <v>690003</v>
      </c>
      <c r="B670" s="207" t="inlineStr">
        <is>
          <t>ov jeugdhulp met verblijf lokaal</t>
        </is>
      </c>
      <c r="C670" s="124" t="n"/>
      <c r="D670" s="8" t="inlineStr">
        <is>
          <t>sociaal domein</t>
        </is>
      </c>
      <c r="E670" s="192" t="inlineStr">
        <is>
          <t>T6761</t>
        </is>
      </c>
      <c r="F670" s="192" t="inlineStr">
        <is>
          <t>jeugdhulp met verblijf lokaal</t>
        </is>
      </c>
    </row>
    <row r="671">
      <c r="A671" s="192" t="n">
        <v>690004</v>
      </c>
      <c r="B671" s="207" t="inlineStr">
        <is>
          <t>crisis jeugdhulp lokaal</t>
        </is>
      </c>
      <c r="C671" s="124" t="n"/>
      <c r="D671" s="8" t="inlineStr">
        <is>
          <t>sociaal domein</t>
        </is>
      </c>
      <c r="E671" s="192" t="inlineStr">
        <is>
          <t>T6761</t>
        </is>
      </c>
      <c r="F671" s="192" t="inlineStr">
        <is>
          <t>jeugdhulp met verblijf lokaal</t>
        </is>
      </c>
    </row>
    <row r="672">
      <c r="A672" s="192" t="n">
        <v>690005</v>
      </c>
      <c r="B672" s="207" t="inlineStr">
        <is>
          <t>jeugdhulp ggz met verblijf lokaal</t>
        </is>
      </c>
      <c r="C672" s="124" t="n"/>
      <c r="D672" s="8" t="inlineStr">
        <is>
          <t>sociaal domein</t>
        </is>
      </c>
      <c r="E672" s="192" t="inlineStr">
        <is>
          <t>T6761</t>
        </is>
      </c>
      <c r="F672" s="192" t="inlineStr">
        <is>
          <t>jeugdhulp met verblijf lokaal</t>
        </is>
      </c>
    </row>
    <row r="673">
      <c r="A673" s="192" t="n">
        <v>690006</v>
      </c>
      <c r="B673" s="207" t="inlineStr">
        <is>
          <t>jeugdhulp gesloten plaatsing lokaal</t>
        </is>
      </c>
      <c r="C673" s="124" t="n"/>
      <c r="D673" s="8" t="inlineStr">
        <is>
          <t>sociaal domein</t>
        </is>
      </c>
      <c r="E673" s="192" t="inlineStr">
        <is>
          <t>T6761</t>
        </is>
      </c>
      <c r="F673" s="192" t="inlineStr">
        <is>
          <t>jeugdhulp met verblijf lokaal</t>
        </is>
      </c>
    </row>
    <row r="674">
      <c r="A674" s="192" t="n">
        <v>690901</v>
      </c>
      <c r="B674" s="208" t="inlineStr">
        <is>
          <t>directe toerek jeugdhulp verbl lok</t>
        </is>
      </c>
      <c r="C674" s="124" t="n"/>
      <c r="D674" s="8" t="inlineStr">
        <is>
          <t>sociaal domein</t>
        </is>
      </c>
      <c r="E674" s="192" t="inlineStr">
        <is>
          <t>T6761</t>
        </is>
      </c>
      <c r="F674" s="192" t="inlineStr">
        <is>
          <t>jeugdhulp met verblijf lokaal</t>
        </is>
      </c>
    </row>
    <row r="675">
      <c r="A675" s="192" t="n">
        <v>691001</v>
      </c>
      <c r="B675" s="208" t="inlineStr">
        <is>
          <t>pleegzorg verblijf regionaal</t>
        </is>
      </c>
      <c r="C675" s="124" t="n"/>
      <c r="D675" s="8" t="inlineStr">
        <is>
          <t>sociaal domein</t>
        </is>
      </c>
      <c r="E675" s="192" t="inlineStr">
        <is>
          <t>T6762</t>
        </is>
      </c>
      <c r="F675" s="192" t="inlineStr">
        <is>
          <t>jeugdhulp met verblijf regionaal</t>
        </is>
      </c>
    </row>
    <row r="676">
      <c r="A676" s="192" t="n">
        <v>691002</v>
      </c>
      <c r="B676" s="207" t="inlineStr">
        <is>
          <t>gezinsgerichte jeugdhulp regionaal</t>
        </is>
      </c>
      <c r="C676" s="124" t="n"/>
      <c r="D676" s="8" t="inlineStr">
        <is>
          <t>sociaal domein</t>
        </is>
      </c>
      <c r="E676" s="192" t="inlineStr">
        <is>
          <t>T6762</t>
        </is>
      </c>
      <c r="F676" s="192" t="inlineStr">
        <is>
          <t>jeugdhulp met verblijf regionaal</t>
        </is>
      </c>
    </row>
    <row r="677">
      <c r="A677" s="192" t="n">
        <v>691003</v>
      </c>
      <c r="B677" s="207" t="inlineStr">
        <is>
          <t>ov jeugdhulp met verblijf regionaal</t>
        </is>
      </c>
      <c r="C677" s="124" t="n"/>
      <c r="D677" s="8" t="inlineStr">
        <is>
          <t>sociaal domein</t>
        </is>
      </c>
      <c r="E677" s="192" t="inlineStr">
        <is>
          <t>T6762</t>
        </is>
      </c>
      <c r="F677" s="192" t="inlineStr">
        <is>
          <t>jeugdhulp met verblijf regionaal</t>
        </is>
      </c>
    </row>
    <row r="678">
      <c r="A678" s="192" t="n">
        <v>691004</v>
      </c>
      <c r="B678" s="207" t="inlineStr">
        <is>
          <t>crisis jeugdhulp regionaal</t>
        </is>
      </c>
      <c r="C678" s="124" t="n"/>
      <c r="D678" s="8" t="inlineStr">
        <is>
          <t>sociaal domein</t>
        </is>
      </c>
      <c r="E678" s="192" t="inlineStr">
        <is>
          <t>T6762</t>
        </is>
      </c>
      <c r="F678" s="192" t="inlineStr">
        <is>
          <t>jeugdhulp met verblijf regionaal</t>
        </is>
      </c>
    </row>
    <row r="679">
      <c r="A679" s="192" t="n">
        <v>691005</v>
      </c>
      <c r="B679" s="207" t="inlineStr">
        <is>
          <t>jeugdhulp ggz met verblijf regionaal</t>
        </is>
      </c>
      <c r="C679" s="124" t="n"/>
      <c r="D679" s="8" t="inlineStr">
        <is>
          <t>sociaal domein</t>
        </is>
      </c>
      <c r="E679" s="192" t="inlineStr">
        <is>
          <t>T6762</t>
        </is>
      </c>
      <c r="F679" s="192" t="inlineStr">
        <is>
          <t>jeugdhulp met verblijf regionaal</t>
        </is>
      </c>
    </row>
    <row r="680">
      <c r="A680" s="192" t="n">
        <v>691006</v>
      </c>
      <c r="B680" s="207" t="inlineStr">
        <is>
          <t>jeugdhulp gesloten plaatsing region</t>
        </is>
      </c>
      <c r="C680" s="124" t="n"/>
      <c r="D680" s="8" t="inlineStr">
        <is>
          <t>sociaal domein</t>
        </is>
      </c>
      <c r="E680" s="192" t="inlineStr">
        <is>
          <t>T6762</t>
        </is>
      </c>
      <c r="F680" s="192" t="inlineStr">
        <is>
          <t>jeugdhulp met verblijf regionaal</t>
        </is>
      </c>
    </row>
    <row r="681">
      <c r="A681" s="192" t="n">
        <v>691901</v>
      </c>
      <c r="B681" s="208" t="inlineStr">
        <is>
          <t>directe toerek jeugdhulp verbl regio</t>
        </is>
      </c>
      <c r="C681" s="124" t="n"/>
      <c r="D681" s="8" t="inlineStr">
        <is>
          <t>sociaal domein</t>
        </is>
      </c>
      <c r="E681" s="192" t="inlineStr">
        <is>
          <t>T6762</t>
        </is>
      </c>
      <c r="F681" s="192" t="inlineStr">
        <is>
          <t>jeugdhulp met verblijf regionaal</t>
        </is>
      </c>
    </row>
    <row r="682">
      <c r="A682" s="192" t="n">
        <v>692001</v>
      </c>
      <c r="B682" s="208" t="inlineStr">
        <is>
          <t>pleegzorg verblijf landelijk</t>
        </is>
      </c>
      <c r="C682" s="124" t="n"/>
      <c r="D682" s="8" t="inlineStr">
        <is>
          <t>sociaal domein</t>
        </is>
      </c>
      <c r="E682" s="192" t="inlineStr">
        <is>
          <t>T6763</t>
        </is>
      </c>
      <c r="F682" s="192" t="inlineStr">
        <is>
          <t>jeugdhulp met verblijf landelijk</t>
        </is>
      </c>
    </row>
    <row r="683">
      <c r="A683" s="192" t="n">
        <v>692002</v>
      </c>
      <c r="B683" s="207" t="inlineStr">
        <is>
          <t>gezinsgerichte jeugdhulp landelijk</t>
        </is>
      </c>
      <c r="C683" s="124" t="n"/>
      <c r="D683" s="8" t="inlineStr">
        <is>
          <t>sociaal domein</t>
        </is>
      </c>
      <c r="E683" s="192" t="inlineStr">
        <is>
          <t>T6763</t>
        </is>
      </c>
      <c r="F683" s="192" t="inlineStr">
        <is>
          <t>jeugdhulp met verblijf landelijk</t>
        </is>
      </c>
    </row>
    <row r="684">
      <c r="A684" s="192" t="n">
        <v>692003</v>
      </c>
      <c r="B684" s="207" t="inlineStr">
        <is>
          <t>ov jeugdhulp met verblijf landelijk</t>
        </is>
      </c>
      <c r="C684" s="124" t="n"/>
      <c r="D684" s="8" t="inlineStr">
        <is>
          <t>sociaal domein</t>
        </is>
      </c>
      <c r="E684" s="192" t="inlineStr">
        <is>
          <t>T6763</t>
        </is>
      </c>
      <c r="F684" s="192" t="inlineStr">
        <is>
          <t>jeugdhulp met verblijf landelijk</t>
        </is>
      </c>
    </row>
    <row r="685">
      <c r="A685" s="192" t="n">
        <v>692004</v>
      </c>
      <c r="B685" s="207" t="inlineStr">
        <is>
          <t>crisis jeugdhulp landelijk</t>
        </is>
      </c>
      <c r="C685" s="124" t="n"/>
      <c r="D685" s="8" t="inlineStr">
        <is>
          <t>sociaal domein</t>
        </is>
      </c>
      <c r="E685" s="192" t="inlineStr">
        <is>
          <t>T6763</t>
        </is>
      </c>
      <c r="F685" s="192" t="inlineStr">
        <is>
          <t>jeugdhulp met verblijf landelijk</t>
        </is>
      </c>
    </row>
    <row r="686">
      <c r="A686" s="192" t="n">
        <v>692005</v>
      </c>
      <c r="B686" s="207" t="inlineStr">
        <is>
          <t>jeugdhulp ggz met verblijf landelijk</t>
        </is>
      </c>
      <c r="C686" s="124" t="n"/>
      <c r="D686" s="8" t="inlineStr">
        <is>
          <t>sociaal domein</t>
        </is>
      </c>
      <c r="E686" s="192" t="inlineStr">
        <is>
          <t>T6763</t>
        </is>
      </c>
      <c r="F686" s="192" t="inlineStr">
        <is>
          <t>jeugdhulp met verblijf landelijk</t>
        </is>
      </c>
    </row>
    <row r="687">
      <c r="A687" s="192" t="n">
        <v>692006</v>
      </c>
      <c r="B687" s="207" t="inlineStr">
        <is>
          <t>jeugdhulp gesloten plaatsing landelk</t>
        </is>
      </c>
      <c r="C687" s="124" t="n"/>
      <c r="D687" s="8" t="inlineStr">
        <is>
          <t>sociaal domein</t>
        </is>
      </c>
      <c r="E687" s="192" t="inlineStr">
        <is>
          <t>T6763</t>
        </is>
      </c>
      <c r="F687" s="192" t="inlineStr">
        <is>
          <t>jeugdhulp met verblijf landelijk</t>
        </is>
      </c>
    </row>
    <row r="688">
      <c r="A688" s="192" t="n">
        <v>692901</v>
      </c>
      <c r="B688" s="208" t="inlineStr">
        <is>
          <t>directe toerek jeugdhulp verbl land</t>
        </is>
      </c>
      <c r="C688" s="124" t="n"/>
      <c r="D688" s="8" t="inlineStr">
        <is>
          <t>sociaal domein</t>
        </is>
      </c>
      <c r="E688" s="192" t="inlineStr">
        <is>
          <t>T6763</t>
        </is>
      </c>
      <c r="F688" s="192" t="inlineStr">
        <is>
          <t>jeugdhulp met verblijf landelijk</t>
        </is>
      </c>
    </row>
    <row r="689">
      <c r="A689" s="192" t="n">
        <v>693001</v>
      </c>
      <c r="B689" s="208" t="inlineStr">
        <is>
          <t>pgb's op grond van de jeugdwet</t>
        </is>
      </c>
      <c r="C689" s="124" t="n"/>
      <c r="D689" s="8" t="inlineStr">
        <is>
          <t>sociaal domein</t>
        </is>
      </c>
      <c r="E689" s="192" t="inlineStr">
        <is>
          <t>T6792</t>
        </is>
      </c>
      <c r="F689" s="192" t="inlineStr">
        <is>
          <t>pgb jeugd</t>
        </is>
      </c>
    </row>
    <row r="690">
      <c r="A690" s="192" t="n">
        <v>693901</v>
      </c>
      <c r="B690" s="208" t="inlineStr">
        <is>
          <t>directe toerek pgb jeugd</t>
        </is>
      </c>
      <c r="C690" s="124" t="n"/>
      <c r="D690" s="8" t="inlineStr">
        <is>
          <t>sociaal domein</t>
        </is>
      </c>
      <c r="E690" s="192" t="inlineStr">
        <is>
          <t>T6792</t>
        </is>
      </c>
      <c r="F690" s="192" t="inlineStr">
        <is>
          <t>pgb jeugd</t>
        </is>
      </c>
    </row>
    <row r="691">
      <c r="A691" s="192" t="n">
        <v>694901</v>
      </c>
      <c r="B691" s="208" t="inlineStr">
        <is>
          <t>directe toerek perslstn jeugd</t>
        </is>
      </c>
      <c r="C691" s="124" t="n"/>
      <c r="D691" s="8" t="inlineStr">
        <is>
          <t>sociaal domein</t>
        </is>
      </c>
      <c r="E691" s="192" t="inlineStr">
        <is>
          <t>T692</t>
        </is>
      </c>
      <c r="F691" s="192" t="inlineStr">
        <is>
          <t>coordinatie en beleid jeugd</t>
        </is>
      </c>
    </row>
    <row r="692">
      <c r="A692" s="192" t="n">
        <v>695001</v>
      </c>
      <c r="B692" s="207" t="inlineStr">
        <is>
          <t>jeugdbescherming</t>
        </is>
      </c>
      <c r="C692" s="124" t="n"/>
      <c r="D692" s="8" t="inlineStr">
        <is>
          <t>sociaal domein</t>
        </is>
      </c>
      <c r="E692" s="192" t="inlineStr">
        <is>
          <t>T6821</t>
        </is>
      </c>
      <c r="F692" s="192" t="inlineStr">
        <is>
          <t>jeugdbescherming</t>
        </is>
      </c>
    </row>
    <row r="693">
      <c r="A693" s="192" t="n">
        <v>695901</v>
      </c>
      <c r="B693" s="124" t="inlineStr">
        <is>
          <t>directe toerek jeugdbescherming</t>
        </is>
      </c>
      <c r="C693" s="124" t="n"/>
      <c r="D693" s="8" t="inlineStr">
        <is>
          <t>sociaal domein</t>
        </is>
      </c>
      <c r="E693" s="192" t="inlineStr">
        <is>
          <t>T6821</t>
        </is>
      </c>
      <c r="F693" s="192" t="inlineStr">
        <is>
          <t>jeugdbescherming</t>
        </is>
      </c>
    </row>
    <row r="694">
      <c r="A694" s="192" t="n">
        <v>696001</v>
      </c>
      <c r="B694" s="207" t="inlineStr">
        <is>
          <t>jeugdreclassering</t>
        </is>
      </c>
      <c r="C694" s="124" t="n"/>
      <c r="D694" s="8" t="inlineStr">
        <is>
          <t>sociaal domein</t>
        </is>
      </c>
      <c r="E694" s="192" t="inlineStr">
        <is>
          <t>T6822</t>
        </is>
      </c>
      <c r="F694" s="192" t="inlineStr">
        <is>
          <t>jeugdreclassering</t>
        </is>
      </c>
    </row>
    <row r="695">
      <c r="A695" s="192" t="n">
        <v>696901</v>
      </c>
      <c r="B695" s="124" t="inlineStr">
        <is>
          <t>directe toerek jeugdreclassering</t>
        </is>
      </c>
      <c r="C695" s="124" t="n"/>
      <c r="D695" s="8" t="inlineStr">
        <is>
          <t>sociaal domein</t>
        </is>
      </c>
      <c r="E695" s="192" t="inlineStr">
        <is>
          <t>T6822</t>
        </is>
      </c>
      <c r="F695" s="192" t="inlineStr">
        <is>
          <t>jeugdreclassering</t>
        </is>
      </c>
    </row>
  </sheetData>
  <dataValidations count="2">
    <dataValidation sqref="B2:B57 B92:B93 B122:B152 B206:B292 B294:B617 B619:B630 D2:D695" showDropDown="0" showInputMessage="1" showErrorMessage="1" allowBlank="1" errorTitle="Ho" error="Te lang eikel, bietje minder kan ok wel!" type="textLength" operator="lessThanOrEqual">
      <formula1>36</formula1>
    </dataValidation>
    <dataValidation sqref="B293" showDropDown="0" showInputMessage="1" showErrorMessage="1" allowBlank="1" errorTitle="Ho" error="Wa stoat er nou! Omschrijving KORT eikel!" type="textLength" operator="lessThanOrEqual">
      <formula1>20</formula1>
    </dataValidation>
  </dataValidation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Michiel van Hoof</dc:creator>
  <dcterms:created xsi:type="dcterms:W3CDTF">2020-09-30T07:41:43Z</dcterms:created>
  <dcterms:modified xsi:type="dcterms:W3CDTF">2026-06-30T11:18:38Z</dcterms:modified>
  <cp:lastModifiedBy>Monique Strik - van Rooij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0x01010020DABF9C3266B94F94FE84638963182A</vt:lpwstr>
  </property>
  <property name="Order" fmtid="{D5CDD505-2E9C-101B-9397-08002B2CF9AE}" pid="3">
    <vt:r8>1350800</vt:r8>
  </property>
  <property name="MediaServiceImageTags" fmtid="{D5CDD505-2E9C-101B-9397-08002B2CF9AE}" pid="4">
    <vt:lpwstr/>
  </property>
</Properties>
</file>